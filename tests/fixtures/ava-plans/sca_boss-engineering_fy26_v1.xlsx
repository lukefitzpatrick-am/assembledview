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assembledmedia-my.sharepoint.com/personal/brad_easton_assembledmedia_com_au/Documents/"/>
    </mc:Choice>
  </mc:AlternateContent>
  <xr:revisionPtr revIDLastSave="0" documentId="8_{D169B5B9-F875-4EA4-B17C-C6849C13AF39}" xr6:coauthVersionLast="47" xr6:coauthVersionMax="47" xr10:uidLastSave="{00000000-0000-0000-0000-000000000000}"/>
  <bookViews>
    <workbookView xWindow="-120" yWindow="-120" windowWidth="29040" windowHeight="15720" tabRatio="712" xr2:uid="{4591E61D-2F96-43F4-8898-6A2EFC237207}"/>
  </bookViews>
  <sheets>
    <sheet name="Boss Engineering" sheetId="1" r:id="rId1"/>
  </sheets>
  <externalReferences>
    <externalReference r:id="rId2"/>
    <externalReference r:id="rId3"/>
  </externalReferences>
  <definedNames>
    <definedName name="draft" localSheetId="0">#REF!</definedName>
    <definedName name="draft">#REF!</definedName>
    <definedName name="FSI_1" localSheetId="0">#REF!</definedName>
    <definedName name="FSI_1">#REF!</definedName>
    <definedName name="FSI_2" localSheetId="0">#REF!</definedName>
    <definedName name="FSI_2">#REF!</definedName>
    <definedName name="FSI_3" localSheetId="0">#REF!</definedName>
    <definedName name="FSI_3">#REF!</definedName>
    <definedName name="FSI_4" localSheetId="0">#REF!</definedName>
    <definedName name="FSI_4">#REF!</definedName>
    <definedName name="Markets" localSheetId="0">#REF!</definedName>
    <definedName name="Markets">#REF!</definedName>
    <definedName name="MMMSydneyAugustRates">'[1]RM 2MMM'!#REF!</definedName>
    <definedName name="MMMSydneyJulyRates">'[1]RM 2MMM'!#REF!</definedName>
    <definedName name="MMMSydneySeptemberRates">'[1]RM 2MMM'!#REF!</definedName>
    <definedName name="Perth" localSheetId="0">#REF!</definedName>
    <definedName name="Perth">#REF!</definedName>
    <definedName name="_xlnm.Print_Area" localSheetId="0">'Boss Engineering'!$B$1:$BL$131</definedName>
    <definedName name="Rep_Date">'[2]Movement Report'!$B$4</definedName>
    <definedName name="SAPBEXdnldView" hidden="1">"50QHEDBP49JQPJZ7YWGBYSY5E"</definedName>
    <definedName name="SAPBEXhrIndnt" hidden="1">2</definedName>
    <definedName name="SAPBEXrevision" hidden="1">1</definedName>
    <definedName name="SAPBEXsysID" hidden="1">"BWP"</definedName>
    <definedName name="SAPBEXwbID" hidden="1">"F3BENWM6N91UQ8RUD6KYTIXC5"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G37" i="1" l="1"/>
  <c r="BL37" i="1" s="1"/>
  <c r="BG94" i="1"/>
  <c r="BG85" i="1"/>
  <c r="BG86" i="1"/>
  <c r="BG82" i="1"/>
  <c r="BG74" i="1"/>
  <c r="BG51" i="1"/>
  <c r="BL51" i="1" s="1"/>
  <c r="BG52" i="1"/>
  <c r="BL52" i="1" s="1"/>
  <c r="BG55" i="1"/>
  <c r="BL55" i="1" s="1"/>
  <c r="BG56" i="1"/>
  <c r="BL56" i="1" s="1"/>
  <c r="BG40" i="1"/>
  <c r="BL40" i="1" s="1"/>
  <c r="BG41" i="1"/>
  <c r="BL41" i="1" s="1"/>
  <c r="BG27" i="1"/>
  <c r="BL27" i="1" s="1"/>
  <c r="BG19" i="1"/>
  <c r="BL19" i="1" s="1"/>
  <c r="BI40" i="1" l="1"/>
  <c r="BI55" i="1"/>
  <c r="BI51" i="1"/>
  <c r="BG93" i="1"/>
  <c r="BG90" i="1"/>
  <c r="BG89" i="1"/>
  <c r="BI89" i="1" s="1"/>
  <c r="BG81" i="1"/>
  <c r="BI81" i="1" s="1"/>
  <c r="BG78" i="1"/>
  <c r="BG77" i="1"/>
  <c r="BG73" i="1"/>
  <c r="BI73" i="1" s="1"/>
  <c r="BG70" i="1"/>
  <c r="BG69" i="1"/>
  <c r="BG33" i="1"/>
  <c r="BL33" i="1" s="1"/>
  <c r="BG32" i="1"/>
  <c r="BG15" i="1"/>
  <c r="BG14" i="1"/>
  <c r="BL77" i="1" l="1"/>
  <c r="BI77" i="1"/>
  <c r="BG67" i="1"/>
  <c r="BL70" i="1"/>
  <c r="BL89" i="1"/>
  <c r="BL90" i="1"/>
  <c r="BI85" i="1"/>
  <c r="BL85" i="1"/>
  <c r="BI93" i="1"/>
  <c r="BL93" i="1"/>
  <c r="BL78" i="1"/>
  <c r="BL73" i="1"/>
  <c r="BI69" i="1"/>
  <c r="BL69" i="1"/>
  <c r="BL81" i="1"/>
  <c r="BI32" i="1"/>
  <c r="BL32" i="1"/>
  <c r="BI14" i="1"/>
  <c r="BL15" i="1"/>
  <c r="BL14" i="1"/>
  <c r="BG63" i="1"/>
  <c r="BG62" i="1"/>
  <c r="BG48" i="1"/>
  <c r="BG47" i="1"/>
  <c r="BG26" i="1"/>
  <c r="BL26" i="1" s="1"/>
  <c r="BG22" i="1"/>
  <c r="BG18" i="1"/>
  <c r="BG36" i="1"/>
  <c r="BI36" i="1" s="1"/>
  <c r="BG23" i="1"/>
  <c r="BL23" i="1" s="1"/>
  <c r="BL22" i="1" l="1"/>
  <c r="BI22" i="1"/>
  <c r="BG60" i="1"/>
  <c r="BI67" i="1"/>
  <c r="BL67" i="1"/>
  <c r="BI47" i="1"/>
  <c r="BI45" i="1" s="1"/>
  <c r="BG45" i="1"/>
  <c r="BI30" i="1"/>
  <c r="BG30" i="1"/>
  <c r="BG12" i="1"/>
  <c r="BL62" i="1"/>
  <c r="BI62" i="1"/>
  <c r="BI60" i="1" s="1"/>
  <c r="BL48" i="1"/>
  <c r="BL47" i="1"/>
  <c r="BL45" i="1" l="1"/>
  <c r="BL36" i="1"/>
  <c r="BL30" i="1" s="1"/>
  <c r="BL63" i="1" l="1"/>
  <c r="BL60" i="1" s="1"/>
  <c r="BL18" i="1"/>
  <c r="BL12" i="1" s="1"/>
  <c r="BI26" i="1"/>
  <c r="BI18" i="1"/>
  <c r="BL96" i="1" l="1"/>
  <c r="BL100" i="1" s="1"/>
  <c r="BL103" i="1" s="1"/>
  <c r="BI12" i="1"/>
  <c r="BG96" i="1"/>
  <c r="BI96" i="1" l="1"/>
  <c r="BI100" i="1"/>
  <c r="BI103" i="1" s="1"/>
</calcChain>
</file>

<file path=xl/sharedStrings.xml><?xml version="1.0" encoding="utf-8"?>
<sst xmlns="http://schemas.openxmlformats.org/spreadsheetml/2006/main" count="270" uniqueCount="90">
  <si>
    <t>Agency:</t>
  </si>
  <si>
    <t>Client:</t>
  </si>
  <si>
    <t>Campaign:</t>
  </si>
  <si>
    <t>Demo:</t>
  </si>
  <si>
    <t>Date submitted:</t>
  </si>
  <si>
    <t>Version:</t>
  </si>
  <si>
    <t xml:space="preserve">Media Description </t>
  </si>
  <si>
    <t>Length</t>
  </si>
  <si>
    <t>Days</t>
  </si>
  <si>
    <t>Daypart</t>
  </si>
  <si>
    <t>Total Stations</t>
  </si>
  <si>
    <t>Client Rate</t>
  </si>
  <si>
    <t>Client Total</t>
  </si>
  <si>
    <t>Market 
Rate</t>
  </si>
  <si>
    <t>Market 
Total</t>
  </si>
  <si>
    <t>TOTAL SPOTS</t>
  </si>
  <si>
    <t>TOTAL INVESTMENT</t>
  </si>
  <si>
    <t>TOTAL VALUE</t>
  </si>
  <si>
    <t>TOTAL</t>
  </si>
  <si>
    <t>PRODUCTION</t>
  </si>
  <si>
    <t>TOTAL CAMPAIGN INVESTMENT</t>
  </si>
  <si>
    <t>INVESTMENT</t>
  </si>
  <si>
    <t>VALUE</t>
  </si>
  <si>
    <t>BROADCAST RADIO</t>
  </si>
  <si>
    <t>SCA RESPONSE TERMS &amp; CONDITIONS</t>
  </si>
  <si>
    <t>Trading Terms</t>
  </si>
  <si>
    <t>All activity is subject to availability at the time of booking</t>
  </si>
  <si>
    <t>Rates are valid for 4 weeks post submission</t>
  </si>
  <si>
    <t>Total campaign is commissionable</t>
  </si>
  <si>
    <t>DAB+</t>
  </si>
  <si>
    <t xml:space="preserve">Spot rate includes DAB+ stations as outlined by market. </t>
  </si>
  <si>
    <t>Each spot will simulcast across the outlined DAB+ stations per market</t>
  </si>
  <si>
    <t>Solus breaks run last in break on DAB+ stations</t>
  </si>
  <si>
    <t>General Terms</t>
  </si>
  <si>
    <t>The Southern Cross Austereo Standard Advertising Terms &amp; Conditions ("Standard Terms") apply to all advertising and/or activity detailed in this Schedule. The Standard Terms are available at www.southerncrossaustereo.com.au/advertising/advertising-with-us/ or upon request from SCA.</t>
  </si>
  <si>
    <t>All advertising broadcast by Southern Cross Austereo must comply with the Commercial Radio Codes of Practice and the Australian Association of National Advertisers Code of Ethics as amended from time to time.</t>
  </si>
  <si>
    <t>SCA TERMS &amp; CONDITIONS</t>
  </si>
  <si>
    <t xml:space="preserve">This contract is subject to Southern Cross Austereo's standard terms and conditions document, available at: </t>
  </si>
  <si>
    <t>Terms &amp; Conditions</t>
  </si>
  <si>
    <t>Digital TERMS &amp; CONDITIONS</t>
  </si>
  <si>
    <t>All Inventory pending availbility at the time of booking</t>
  </si>
  <si>
    <t>All creative is subject to SCA creative Specifications &amp; Guidelines</t>
  </si>
  <si>
    <t>Social/Native media &amp; EDMs require content approval</t>
  </si>
  <si>
    <t>Min $20K Digital Media spend to access Social/Native</t>
  </si>
  <si>
    <t>Buyout (100% SOV) impressions figure are estimates only based on historical data</t>
  </si>
  <si>
    <t>Material Deadlines: Audio, video &amp; standard display ads + url must be built to SCA specs and received 3 days prior to live date</t>
  </si>
  <si>
    <t>Rich media ads must be built to SCA specs and 3rd party ad tags received 5 days prior to live date</t>
  </si>
  <si>
    <t>AD SPECS</t>
  </si>
  <si>
    <t>Click Here for SCA &amp; Soundcloud Ad Specifications</t>
  </si>
  <si>
    <t>Click Here for SCA Creative Guidelines</t>
  </si>
  <si>
    <t>Click Here for EDM Guidelines &amp; Spec</t>
  </si>
  <si>
    <t>LiSTNR</t>
  </si>
  <si>
    <t>30 sec</t>
  </si>
  <si>
    <t>Total Impacts</t>
  </si>
  <si>
    <t>BMAD 0530-1900</t>
  </si>
  <si>
    <t>Mon-Sun</t>
  </si>
  <si>
    <t xml:space="preserve">Brand Commercial </t>
  </si>
  <si>
    <r>
      <t xml:space="preserve">Brand Commercial - </t>
    </r>
    <r>
      <rPr>
        <b/>
        <sz val="12"/>
        <rFont val="Century Gothic"/>
        <family val="2"/>
      </rPr>
      <t>BONUS</t>
    </r>
  </si>
  <si>
    <t>Assembled Media</t>
  </si>
  <si>
    <t>Boss Engineering</t>
  </si>
  <si>
    <t>FY 26</t>
  </si>
  <si>
    <t>M 30-65</t>
  </si>
  <si>
    <t>NSW</t>
  </si>
  <si>
    <t xml:space="preserve">BROADCAST AUDIO </t>
  </si>
  <si>
    <t>VIC</t>
  </si>
  <si>
    <t xml:space="preserve">Triple M </t>
  </si>
  <si>
    <t xml:space="preserve">Triple M 97.9 Mildura </t>
  </si>
  <si>
    <t>Triple M 1152 Wagga</t>
  </si>
  <si>
    <t>Triple M  963 Griffith</t>
  </si>
  <si>
    <t>Triple M  93.5 Dubbo</t>
  </si>
  <si>
    <t>Triple M  105.1 Orange</t>
  </si>
  <si>
    <t xml:space="preserve">Triple M (3WM) Horsham </t>
  </si>
  <si>
    <t>Triple M (3SH) Swan Hill</t>
  </si>
  <si>
    <t>BTA 0530-2400</t>
  </si>
  <si>
    <t>QLD</t>
  </si>
  <si>
    <t>Rebel/Breeze Border</t>
  </si>
  <si>
    <t>Triple M 864 Toowoomba</t>
  </si>
  <si>
    <t>St George/Dalby 4DB/4EM Hot Country</t>
  </si>
  <si>
    <t>SA</t>
  </si>
  <si>
    <t xml:space="preserve">FlowFM Network </t>
  </si>
  <si>
    <t>WA</t>
  </si>
  <si>
    <t>Triple M 1098 Merredin</t>
  </si>
  <si>
    <t>Triple M  918 Narrogin</t>
  </si>
  <si>
    <t>Triple M 864 Northam</t>
  </si>
  <si>
    <t xml:space="preserve">Triple M 1071 Katanning </t>
  </si>
  <si>
    <t>Triple M 747 Esperance</t>
  </si>
  <si>
    <t>Triple M  981 Kalgoorlie</t>
  </si>
  <si>
    <t>Triple M  98.1 Geraldton</t>
  </si>
  <si>
    <t>Wheat Belt</t>
  </si>
  <si>
    <t>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</si>
</sst>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quot;$&quot;#,##0.00_);[Red]\(&quot;$&quot;#,##0.00\)"/>
    <numFmt numFmtId="165" formatCode="&quot;$&quot;#,##0_);[Red]\(&quot;$&quot;#,##0\)"/>
    <numFmt numFmtId="166" formatCode="&quot;$&quot;#,##0"/>
    <numFmt numFmtId="167" formatCode="&quot;$&quot;#,##0.00;[Red]&quot;$&quot;#,##0.00"/>
    <numFmt numFmtId="168" formatCode="[$-C09]dd\-mmm\-yy;@"/>
  </numFmts>
  <fonts count="46" x14ac:knownFonts="1">
    <font>
      <sz val="11"/>
      <color theme="1"/>
      <name val="Calibri"/>
      <family val="2"/>
      <scheme val="minor"/>
    </font>
    <font>
      <sz val="11"/>
      <color theme="1"/>
      <name val="Calibri"/>
      <family val="2"/>
      <scheme val="minor"/>
    </font>
    <font>
      <sz val="8"/>
      <name val="Helv"/>
    </font>
    <font>
      <sz val="6"/>
      <name val="Century Gothic"/>
      <family val="2"/>
    </font>
    <font>
      <sz val="14"/>
      <name val="Century Gothic"/>
      <family val="2"/>
    </font>
    <font>
      <sz val="8"/>
      <color rgb="FFFF99CC"/>
      <name val="Century Gothic"/>
      <family val="2"/>
    </font>
    <font>
      <sz val="8"/>
      <name val="Century Gothic"/>
      <family val="2"/>
    </font>
    <font>
      <b/>
      <i/>
      <sz val="14"/>
      <name val="Century Gothic"/>
      <family val="2"/>
    </font>
    <font>
      <b/>
      <sz val="14"/>
      <name val="Century Gothic"/>
      <family val="2"/>
    </font>
    <font>
      <sz val="11"/>
      <color theme="1"/>
      <name val="Century Gothic"/>
      <family val="2"/>
    </font>
    <font>
      <b/>
      <sz val="9"/>
      <name val="Century Gothic"/>
      <family val="2"/>
    </font>
    <font>
      <sz val="10"/>
      <name val="Helv"/>
    </font>
    <font>
      <b/>
      <sz val="12"/>
      <name val="Century Gothic"/>
      <family val="2"/>
    </font>
    <font>
      <sz val="12"/>
      <name val="Century Gothic"/>
      <family val="2"/>
    </font>
    <font>
      <b/>
      <sz val="12"/>
      <color theme="0"/>
      <name val="Century Gothic"/>
      <family val="2"/>
    </font>
    <font>
      <b/>
      <sz val="11"/>
      <color theme="0"/>
      <name val="Century Gothic"/>
      <family val="2"/>
    </font>
    <font>
      <b/>
      <sz val="6"/>
      <name val="Century Gothic"/>
      <family val="2"/>
    </font>
    <font>
      <sz val="12"/>
      <color theme="0"/>
      <name val="Century Gothic"/>
      <family val="2"/>
    </font>
    <font>
      <b/>
      <sz val="10"/>
      <color theme="0"/>
      <name val="Century Gothic"/>
      <family val="2"/>
    </font>
    <font>
      <sz val="9"/>
      <name val="Century Gothic"/>
      <family val="2"/>
    </font>
    <font>
      <b/>
      <sz val="14"/>
      <color theme="0"/>
      <name val="Century Gothic"/>
      <family val="2"/>
    </font>
    <font>
      <sz val="12"/>
      <color rgb="FFFF66CC"/>
      <name val="Century Gothic"/>
      <family val="2"/>
    </font>
    <font>
      <sz val="12"/>
      <color indexed="8"/>
      <name val="Century Gothic"/>
      <family val="2"/>
    </font>
    <font>
      <sz val="8"/>
      <color rgb="FFFF66CC"/>
      <name val="Century Gothic"/>
      <family val="2"/>
    </font>
    <font>
      <sz val="8"/>
      <color theme="0"/>
      <name val="Century Gothic"/>
      <family val="2"/>
    </font>
    <font>
      <b/>
      <u/>
      <sz val="9"/>
      <name val="Century Gothic"/>
      <family val="2"/>
    </font>
    <font>
      <sz val="9"/>
      <color theme="1"/>
      <name val="Century Gothic"/>
      <family val="2"/>
    </font>
    <font>
      <sz val="11"/>
      <color theme="1"/>
      <name val="Calibri"/>
      <family val="2"/>
    </font>
    <font>
      <sz val="10"/>
      <name val="Century Gothic"/>
      <family val="2"/>
    </font>
    <font>
      <i/>
      <sz val="10"/>
      <name val="Century Gothic"/>
      <family val="2"/>
    </font>
    <font>
      <b/>
      <sz val="10"/>
      <name val="Century Gothic"/>
      <family val="2"/>
    </font>
    <font>
      <sz val="6"/>
      <color indexed="8"/>
      <name val="Century Gothic"/>
      <family val="2"/>
    </font>
    <font>
      <b/>
      <sz val="9"/>
      <color theme="0"/>
      <name val="Century Gothic"/>
      <family val="2"/>
    </font>
    <font>
      <sz val="8"/>
      <color indexed="8"/>
      <name val="Century Gothic"/>
      <family val="2"/>
    </font>
    <font>
      <u/>
      <sz val="10"/>
      <color indexed="12"/>
      <name val="Arial"/>
      <family val="2"/>
    </font>
    <font>
      <b/>
      <u/>
      <sz val="10"/>
      <color rgb="FF000000"/>
      <name val="Century Gothic"/>
      <family val="2"/>
    </font>
    <font>
      <b/>
      <sz val="10"/>
      <color rgb="FF000000"/>
      <name val="Century Gothic"/>
      <family val="2"/>
    </font>
    <font>
      <sz val="10"/>
      <color theme="1"/>
      <name val="Century Gothic"/>
      <family val="2"/>
    </font>
    <font>
      <b/>
      <u/>
      <sz val="10"/>
      <color theme="1"/>
      <name val="Century Gothic"/>
      <family val="2"/>
    </font>
    <font>
      <u/>
      <sz val="10"/>
      <color indexed="12"/>
      <name val="Century Gothic"/>
      <family val="2"/>
    </font>
    <font>
      <sz val="10"/>
      <name val="Arial"/>
      <family val="2"/>
    </font>
    <font>
      <sz val="11"/>
      <color theme="1"/>
      <name val="Arial"/>
      <family val="2"/>
    </font>
    <font>
      <sz val="8"/>
      <name val="Calibri"/>
      <family val="2"/>
      <scheme val="minor"/>
    </font>
    <font>
      <u/>
      <sz val="10"/>
      <color theme="1"/>
      <name val="Century Gothic"/>
      <family val="2"/>
    </font>
    <font>
      <sz val="10"/>
      <name val="Calibri"/>
      <family val="2"/>
    </font>
    <font>
      <b/>
      <sz val="12"/>
      <color rgb="FFFF0000"/>
      <name val="Century Gothic"/>
      <family val="2"/>
    </font>
  </fonts>
  <fills count="8">
    <fill>
      <patternFill patternType="none"/>
    </fill>
    <fill>
      <patternFill patternType="gray125"/>
    </fill>
    <fill>
      <patternFill patternType="solid">
        <fgColor rgb="FF007FE2"/>
        <bgColor indexed="64"/>
      </patternFill>
    </fill>
    <fill>
      <patternFill patternType="solid">
        <fgColor rgb="FF002D4B"/>
        <bgColor indexed="64"/>
      </patternFill>
    </fill>
    <fill>
      <patternFill patternType="solid">
        <fgColor rgb="FFFFCC00"/>
        <bgColor indexed="64"/>
      </patternFill>
    </fill>
    <fill>
      <patternFill patternType="solid">
        <fgColor theme="0"/>
        <bgColor indexed="64"/>
      </patternFill>
    </fill>
    <fill>
      <patternFill patternType="solid">
        <fgColor rgb="FFFFF5C9"/>
        <bgColor indexed="64"/>
      </patternFill>
    </fill>
    <fill>
      <patternFill patternType="solid">
        <fgColor theme="9" tint="0.59999389629810485"/>
        <bgColor indexed="64"/>
      </patternFill>
    </fill>
  </fills>
  <borders count="34">
    <border>
      <left/>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hair">
        <color auto="1"/>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hair">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hair">
        <color auto="1"/>
      </top>
      <bottom style="hair">
        <color auto="1"/>
      </bottom>
      <diagonal/>
    </border>
    <border>
      <left style="medium">
        <color indexed="64"/>
      </left>
      <right style="medium">
        <color auto="1"/>
      </right>
      <top style="hair">
        <color auto="1"/>
      </top>
      <bottom style="hair">
        <color auto="1"/>
      </bottom>
      <diagonal/>
    </border>
  </borders>
  <cellStyleXfs count="1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4" fontId="11" fillId="0" borderId="0" applyFont="0" applyFill="0" applyBorder="0" applyAlignment="0" applyProtection="0"/>
    <xf numFmtId="0" fontId="27" fillId="0" borderId="0"/>
    <xf numFmtId="0" fontId="34" fillId="0" borderId="0" applyNumberFormat="0" applyFill="0" applyBorder="0" applyAlignment="0" applyProtection="0">
      <alignment vertical="top"/>
      <protection locked="0"/>
    </xf>
    <xf numFmtId="9" fontId="1" fillId="0" borderId="0" applyFont="0" applyFill="0" applyBorder="0" applyAlignment="0" applyProtection="0"/>
    <xf numFmtId="9" fontId="40" fillId="0" borderId="0" applyFont="0" applyFill="0" applyBorder="0" applyAlignment="0" applyProtection="0"/>
    <xf numFmtId="44" fontId="40" fillId="0" borderId="0" applyFont="0" applyFill="0" applyBorder="0" applyAlignment="0" applyProtection="0"/>
    <xf numFmtId="44" fontId="1" fillId="0" borderId="0" applyFont="0" applyFill="0" applyBorder="0" applyAlignment="0" applyProtection="0"/>
    <xf numFmtId="0" fontId="41" fillId="0" borderId="0"/>
    <xf numFmtId="0" fontId="44" fillId="0" borderId="0"/>
    <xf numFmtId="0" fontId="27" fillId="0" borderId="0"/>
  </cellStyleXfs>
  <cellXfs count="183">
    <xf numFmtId="0" fontId="0" fillId="0" borderId="0" xfId="0"/>
    <xf numFmtId="0" fontId="3" fillId="0" borderId="0" xfId="3" applyFont="1" applyAlignment="1">
      <alignment vertical="center"/>
    </xf>
    <xf numFmtId="0" fontId="3" fillId="0" borderId="0" xfId="3" applyFont="1" applyAlignment="1">
      <alignment vertical="center" wrapText="1"/>
    </xf>
    <xf numFmtId="0" fontId="4" fillId="0" borderId="0" xfId="3" applyFont="1" applyAlignment="1">
      <alignment horizontal="center" vertical="center" wrapText="1"/>
    </xf>
    <xf numFmtId="0" fontId="4" fillId="0" borderId="0" xfId="3" applyFont="1" applyAlignment="1">
      <alignment horizontal="center" vertical="center"/>
    </xf>
    <xf numFmtId="0" fontId="5" fillId="0" borderId="0" xfId="3" applyFont="1" applyAlignment="1">
      <alignment horizontal="center" vertical="center"/>
    </xf>
    <xf numFmtId="0" fontId="6" fillId="0" borderId="0" xfId="3" applyFont="1" applyAlignment="1">
      <alignment vertical="center"/>
    </xf>
    <xf numFmtId="0" fontId="7" fillId="0" borderId="0" xfId="3" applyFont="1" applyAlignment="1" applyProtection="1">
      <alignment horizontal="right" vertical="center"/>
      <protection locked="0"/>
    </xf>
    <xf numFmtId="0" fontId="3" fillId="0" borderId="0" xfId="3" applyFont="1" applyAlignment="1">
      <alignment horizontal="center" vertical="center"/>
    </xf>
    <xf numFmtId="0" fontId="9" fillId="0" borderId="0" xfId="0" applyFont="1" applyAlignment="1">
      <alignment vertical="center"/>
    </xf>
    <xf numFmtId="0" fontId="10" fillId="0" borderId="0" xfId="3" applyFont="1" applyAlignment="1" applyProtection="1">
      <alignment vertical="center" wrapText="1"/>
      <protection locked="0"/>
    </xf>
    <xf numFmtId="0" fontId="10" fillId="0" borderId="0" xfId="3" applyFont="1" applyAlignment="1" applyProtection="1">
      <alignment horizontal="center" vertical="center"/>
      <protection locked="0"/>
    </xf>
    <xf numFmtId="0" fontId="12" fillId="0" borderId="0" xfId="3" applyFont="1" applyAlignment="1" applyProtection="1">
      <alignment vertical="center"/>
      <protection locked="0"/>
    </xf>
    <xf numFmtId="0" fontId="12" fillId="0" borderId="0" xfId="3" applyFont="1" applyAlignment="1" applyProtection="1">
      <alignment vertical="center" wrapText="1"/>
      <protection locked="0"/>
    </xf>
    <xf numFmtId="0" fontId="12" fillId="0" borderId="0" xfId="3" applyFont="1" applyAlignment="1" applyProtection="1">
      <alignment horizontal="center" vertical="center"/>
      <protection locked="0"/>
    </xf>
    <xf numFmtId="0" fontId="13" fillId="0" borderId="0" xfId="3" applyFont="1" applyAlignment="1">
      <alignment vertical="center"/>
    </xf>
    <xf numFmtId="0" fontId="16" fillId="0" borderId="0" xfId="3" applyFont="1" applyAlignment="1">
      <alignment vertical="center"/>
    </xf>
    <xf numFmtId="0" fontId="18" fillId="2" borderId="12" xfId="3" applyFont="1" applyFill="1" applyBorder="1" applyAlignment="1">
      <alignment horizontal="center" vertical="center"/>
    </xf>
    <xf numFmtId="0" fontId="18" fillId="2" borderId="13" xfId="3" applyFont="1" applyFill="1" applyBorder="1" applyAlignment="1">
      <alignment horizontal="center" vertical="center"/>
    </xf>
    <xf numFmtId="0" fontId="18" fillId="2" borderId="14" xfId="3" applyFont="1" applyFill="1" applyBorder="1" applyAlignment="1">
      <alignment horizontal="center" vertical="center"/>
    </xf>
    <xf numFmtId="0" fontId="18" fillId="2" borderId="15" xfId="3" applyFont="1" applyFill="1" applyBorder="1" applyAlignment="1">
      <alignment horizontal="center" vertical="center"/>
    </xf>
    <xf numFmtId="0" fontId="14" fillId="3" borderId="5" xfId="3" applyFont="1" applyFill="1" applyBorder="1" applyAlignment="1">
      <alignment horizontal="center" vertical="center"/>
    </xf>
    <xf numFmtId="0" fontId="13" fillId="3" borderId="17" xfId="3" applyFont="1" applyFill="1" applyBorder="1" applyAlignment="1">
      <alignment horizontal="center" vertical="center" wrapText="1"/>
    </xf>
    <xf numFmtId="0" fontId="12" fillId="3" borderId="5" xfId="3" applyFont="1" applyFill="1" applyBorder="1" applyAlignment="1">
      <alignment horizontal="center" vertical="center"/>
    </xf>
    <xf numFmtId="0" fontId="12" fillId="3" borderId="0" xfId="3" applyFont="1" applyFill="1" applyAlignment="1">
      <alignment horizontal="center" vertical="center"/>
    </xf>
    <xf numFmtId="0" fontId="12" fillId="3" borderId="18" xfId="3" applyFont="1" applyFill="1" applyBorder="1" applyAlignment="1">
      <alignment horizontal="center" vertical="center"/>
    </xf>
    <xf numFmtId="165" fontId="13" fillId="3" borderId="17" xfId="4" applyNumberFormat="1" applyFont="1" applyFill="1" applyBorder="1" applyAlignment="1">
      <alignment horizontal="center" vertical="center"/>
    </xf>
    <xf numFmtId="0" fontId="13" fillId="0" borderId="19" xfId="3" applyFont="1" applyBorder="1" applyAlignment="1">
      <alignment horizontal="center" vertical="center" wrapText="1"/>
    </xf>
    <xf numFmtId="17" fontId="13" fillId="0" borderId="20" xfId="3" applyNumberFormat="1" applyFont="1" applyBorder="1" applyAlignment="1">
      <alignment horizontal="center" vertical="center" wrapText="1"/>
    </xf>
    <xf numFmtId="0" fontId="13" fillId="0" borderId="22" xfId="4" applyNumberFormat="1" applyFont="1" applyFill="1" applyBorder="1" applyAlignment="1">
      <alignment horizontal="center" vertical="center"/>
    </xf>
    <xf numFmtId="166" fontId="13" fillId="0" borderId="19" xfId="4" applyNumberFormat="1" applyFont="1" applyFill="1" applyBorder="1" applyAlignment="1">
      <alignment horizontal="center" vertical="center"/>
    </xf>
    <xf numFmtId="165" fontId="13" fillId="0" borderId="19" xfId="4" applyNumberFormat="1" applyFont="1" applyFill="1" applyBorder="1" applyAlignment="1">
      <alignment horizontal="center" vertical="center"/>
    </xf>
    <xf numFmtId="0" fontId="13" fillId="0" borderId="19" xfId="4" applyNumberFormat="1" applyFont="1" applyFill="1" applyBorder="1" applyAlignment="1">
      <alignment horizontal="center" vertical="center"/>
    </xf>
    <xf numFmtId="0" fontId="13" fillId="0" borderId="20" xfId="3" applyFont="1" applyBorder="1" applyAlignment="1">
      <alignment horizontal="left" vertical="center"/>
    </xf>
    <xf numFmtId="0" fontId="13" fillId="0" borderId="20" xfId="3" applyFont="1" applyBorder="1" applyAlignment="1">
      <alignment horizontal="center" vertical="center" wrapText="1"/>
    </xf>
    <xf numFmtId="0" fontId="13" fillId="0" borderId="23" xfId="3" applyFont="1" applyBorder="1" applyAlignment="1">
      <alignment horizontal="center" vertical="center"/>
    </xf>
    <xf numFmtId="0" fontId="13" fillId="0" borderId="24" xfId="3" applyFont="1" applyBorder="1" applyAlignment="1">
      <alignment horizontal="center" vertical="center"/>
    </xf>
    <xf numFmtId="0" fontId="13" fillId="0" borderId="25" xfId="3" applyFont="1" applyBorder="1" applyAlignment="1">
      <alignment horizontal="center" vertical="center"/>
    </xf>
    <xf numFmtId="0" fontId="13" fillId="0" borderId="26" xfId="3" applyFont="1" applyBorder="1" applyAlignment="1">
      <alignment horizontal="center" vertical="center"/>
    </xf>
    <xf numFmtId="0" fontId="13" fillId="4" borderId="19" xfId="3" applyFont="1" applyFill="1" applyBorder="1" applyAlignment="1">
      <alignment horizontal="center" vertical="center" wrapText="1"/>
    </xf>
    <xf numFmtId="17" fontId="13" fillId="4" borderId="20" xfId="3" applyNumberFormat="1" applyFont="1" applyFill="1" applyBorder="1" applyAlignment="1">
      <alignment horizontal="center" vertical="center" wrapText="1"/>
    </xf>
    <xf numFmtId="0" fontId="13" fillId="4" borderId="22" xfId="4" applyNumberFormat="1" applyFont="1" applyFill="1" applyBorder="1" applyAlignment="1">
      <alignment horizontal="center" vertical="center"/>
    </xf>
    <xf numFmtId="166" fontId="13" fillId="4" borderId="19" xfId="4" applyNumberFormat="1" applyFont="1" applyFill="1" applyBorder="1" applyAlignment="1">
      <alignment horizontal="center" vertical="center"/>
    </xf>
    <xf numFmtId="165" fontId="13" fillId="4" borderId="19" xfId="4" applyNumberFormat="1" applyFont="1" applyFill="1" applyBorder="1" applyAlignment="1">
      <alignment horizontal="center" vertical="center"/>
    </xf>
    <xf numFmtId="0" fontId="17" fillId="3" borderId="18" xfId="4" applyNumberFormat="1" applyFont="1" applyFill="1" applyBorder="1" applyAlignment="1">
      <alignment horizontal="center" vertical="center"/>
    </xf>
    <xf numFmtId="165" fontId="17" fillId="3" borderId="17" xfId="4" applyNumberFormat="1" applyFont="1" applyFill="1" applyBorder="1" applyAlignment="1">
      <alignment horizontal="center" vertical="center"/>
    </xf>
    <xf numFmtId="0" fontId="21" fillId="0" borderId="0" xfId="3" applyFont="1" applyAlignment="1">
      <alignment horizontal="center" vertical="center"/>
    </xf>
    <xf numFmtId="0" fontId="14" fillId="3" borderId="7" xfId="3" applyFont="1" applyFill="1" applyBorder="1" applyAlignment="1">
      <alignment horizontal="right" vertical="center"/>
    </xf>
    <xf numFmtId="0" fontId="14" fillId="3" borderId="16" xfId="4" applyNumberFormat="1" applyFont="1" applyFill="1" applyBorder="1" applyAlignment="1">
      <alignment horizontal="center" vertical="center"/>
    </xf>
    <xf numFmtId="165" fontId="14" fillId="3" borderId="16" xfId="4" applyNumberFormat="1" applyFont="1" applyFill="1" applyBorder="1" applyAlignment="1">
      <alignment horizontal="center" vertical="center"/>
    </xf>
    <xf numFmtId="165" fontId="12" fillId="0" borderId="0" xfId="4" applyNumberFormat="1" applyFont="1" applyFill="1" applyBorder="1" applyAlignment="1">
      <alignment horizontal="center" vertical="center"/>
    </xf>
    <xf numFmtId="0" fontId="12" fillId="0" borderId="2" xfId="3" applyFont="1" applyBorder="1" applyAlignment="1">
      <alignment horizontal="right" vertical="center" wrapText="1"/>
    </xf>
    <xf numFmtId="0" fontId="12" fillId="0" borderId="2" xfId="4" applyNumberFormat="1" applyFont="1" applyFill="1" applyBorder="1" applyAlignment="1">
      <alignment horizontal="center" vertical="center"/>
    </xf>
    <xf numFmtId="165" fontId="12" fillId="0" borderId="2" xfId="4" applyNumberFormat="1" applyFont="1" applyFill="1" applyBorder="1" applyAlignment="1">
      <alignment horizontal="center" vertical="center"/>
    </xf>
    <xf numFmtId="0" fontId="22" fillId="0" borderId="0" xfId="3" applyFont="1" applyAlignment="1">
      <alignment horizontal="center" vertical="center"/>
    </xf>
    <xf numFmtId="0" fontId="12" fillId="0" borderId="0" xfId="3" applyFont="1" applyAlignment="1">
      <alignment horizontal="right" vertical="center"/>
    </xf>
    <xf numFmtId="0" fontId="12" fillId="0" borderId="0" xfId="3" applyFont="1" applyAlignment="1">
      <alignment horizontal="right" vertical="center" wrapText="1"/>
    </xf>
    <xf numFmtId="0" fontId="12" fillId="0" borderId="0" xfId="4" applyNumberFormat="1" applyFont="1" applyFill="1" applyBorder="1" applyAlignment="1">
      <alignment horizontal="center" vertical="center"/>
    </xf>
    <xf numFmtId="0" fontId="14" fillId="3" borderId="7" xfId="4" applyNumberFormat="1" applyFont="1" applyFill="1" applyBorder="1" applyAlignment="1">
      <alignment horizontal="center" vertical="center"/>
    </xf>
    <xf numFmtId="0" fontId="14" fillId="0" borderId="0" xfId="3" applyFont="1" applyAlignment="1">
      <alignment horizontal="right" vertical="center"/>
    </xf>
    <xf numFmtId="0" fontId="14" fillId="0" borderId="0" xfId="3" applyFont="1" applyAlignment="1">
      <alignment horizontal="right" vertical="center" wrapText="1"/>
    </xf>
    <xf numFmtId="0" fontId="14" fillId="0" borderId="0" xfId="4" applyNumberFormat="1" applyFont="1" applyFill="1" applyBorder="1" applyAlignment="1">
      <alignment horizontal="center" vertical="center"/>
    </xf>
    <xf numFmtId="165" fontId="14" fillId="3" borderId="27" xfId="4" applyNumberFormat="1" applyFont="1" applyFill="1" applyBorder="1" applyAlignment="1">
      <alignment horizontal="right" vertical="center"/>
    </xf>
    <xf numFmtId="165" fontId="12" fillId="0" borderId="28" xfId="4" applyNumberFormat="1" applyFont="1" applyFill="1" applyBorder="1" applyAlignment="1">
      <alignment horizontal="center" vertical="center"/>
    </xf>
    <xf numFmtId="0" fontId="13" fillId="0" borderId="0" xfId="3" applyFont="1" applyAlignment="1" applyProtection="1">
      <alignment vertical="center"/>
      <protection locked="0"/>
    </xf>
    <xf numFmtId="165" fontId="14" fillId="3" borderId="29" xfId="4" applyNumberFormat="1" applyFont="1" applyFill="1" applyBorder="1" applyAlignment="1">
      <alignment horizontal="right" vertical="center"/>
    </xf>
    <xf numFmtId="165" fontId="12" fillId="0" borderId="30" xfId="4" applyNumberFormat="1" applyFont="1" applyFill="1" applyBorder="1" applyAlignment="1">
      <alignment horizontal="center" vertical="center"/>
    </xf>
    <xf numFmtId="165" fontId="14" fillId="2" borderId="10" xfId="4" applyNumberFormat="1" applyFont="1" applyFill="1" applyBorder="1" applyAlignment="1">
      <alignment horizontal="right" vertical="center"/>
    </xf>
    <xf numFmtId="165" fontId="12" fillId="0" borderId="11" xfId="4" applyNumberFormat="1" applyFont="1" applyFill="1" applyBorder="1" applyAlignment="1">
      <alignment horizontal="center" vertical="center"/>
    </xf>
    <xf numFmtId="165" fontId="14" fillId="2" borderId="31" xfId="4" applyNumberFormat="1" applyFont="1" applyFill="1" applyBorder="1" applyAlignment="1">
      <alignment horizontal="center" vertical="center"/>
    </xf>
    <xf numFmtId="0" fontId="19" fillId="0" borderId="0" xfId="3" applyFont="1" applyAlignment="1" applyProtection="1">
      <alignment vertical="center"/>
      <protection locked="0"/>
    </xf>
    <xf numFmtId="0" fontId="23" fillId="0" borderId="0" xfId="3" applyFont="1" applyAlignment="1">
      <alignment horizontal="center" vertical="center"/>
    </xf>
    <xf numFmtId="44" fontId="6" fillId="0" borderId="0" xfId="1" applyFont="1" applyAlignment="1">
      <alignment horizontal="center" vertical="center"/>
    </xf>
    <xf numFmtId="0" fontId="10" fillId="0" borderId="0" xfId="3" applyFont="1" applyAlignment="1" applyProtection="1">
      <alignment vertical="center"/>
      <protection locked="0"/>
    </xf>
    <xf numFmtId="0" fontId="25" fillId="0" borderId="0" xfId="3" applyFont="1" applyAlignment="1" applyProtection="1">
      <alignment vertical="center"/>
      <protection locked="0"/>
    </xf>
    <xf numFmtId="0" fontId="26" fillId="0" borderId="0" xfId="3" applyFont="1" applyAlignment="1">
      <alignment horizontal="left" vertical="center"/>
    </xf>
    <xf numFmtId="0" fontId="28" fillId="5" borderId="0" xfId="5" applyFont="1" applyFill="1" applyAlignment="1">
      <alignment vertical="center" wrapText="1"/>
    </xf>
    <xf numFmtId="0" fontId="29" fillId="0" borderId="0" xfId="3" applyFont="1" applyAlignment="1">
      <alignment vertical="center" wrapText="1"/>
    </xf>
    <xf numFmtId="0" fontId="30" fillId="0" borderId="0" xfId="3" applyFont="1" applyAlignment="1">
      <alignment vertical="center"/>
    </xf>
    <xf numFmtId="0" fontId="6" fillId="0" borderId="0" xfId="3" applyFont="1" applyAlignment="1">
      <alignment horizontal="center" vertical="center"/>
    </xf>
    <xf numFmtId="167" fontId="6" fillId="0" borderId="0" xfId="3" applyNumberFormat="1" applyFont="1" applyAlignment="1">
      <alignment horizontal="center" vertical="center"/>
    </xf>
    <xf numFmtId="0" fontId="31" fillId="0" borderId="0" xfId="3" applyFont="1" applyAlignment="1">
      <alignment horizontal="center" vertical="center"/>
    </xf>
    <xf numFmtId="0" fontId="19" fillId="0" borderId="0" xfId="3" applyFont="1" applyAlignment="1">
      <alignment horizontal="left" vertical="center"/>
    </xf>
    <xf numFmtId="0" fontId="10" fillId="0" borderId="0" xfId="3" applyFont="1" applyAlignment="1">
      <alignment horizontal="center" vertical="center" wrapText="1"/>
    </xf>
    <xf numFmtId="0" fontId="32" fillId="0" borderId="0" xfId="3" applyFont="1" applyAlignment="1">
      <alignment vertical="center"/>
    </xf>
    <xf numFmtId="0" fontId="33" fillId="0" borderId="0" xfId="3" applyFont="1" applyAlignment="1">
      <alignment horizontal="center" vertical="center"/>
    </xf>
    <xf numFmtId="0" fontId="19" fillId="0" borderId="0" xfId="0" applyFont="1" applyAlignment="1">
      <alignment vertical="center"/>
    </xf>
    <xf numFmtId="0" fontId="13" fillId="0" borderId="0" xfId="0" applyFont="1" applyAlignment="1">
      <alignment horizontal="center" vertical="center" wrapText="1"/>
    </xf>
    <xf numFmtId="0" fontId="13" fillId="0" borderId="0" xfId="0" applyFont="1" applyAlignment="1">
      <alignment vertical="center"/>
    </xf>
    <xf numFmtId="0" fontId="24" fillId="0" borderId="0" xfId="3" applyFont="1" applyAlignment="1">
      <alignment horizontal="center" vertical="center"/>
    </xf>
    <xf numFmtId="9" fontId="24" fillId="0" borderId="0" xfId="2" applyFont="1" applyAlignment="1">
      <alignment horizontal="center" vertical="center"/>
    </xf>
    <xf numFmtId="0" fontId="25" fillId="0" borderId="0" xfId="0" applyFont="1" applyAlignment="1">
      <alignment vertical="center"/>
    </xf>
    <xf numFmtId="9" fontId="33" fillId="0" borderId="0" xfId="2" applyFont="1" applyAlignment="1">
      <alignment horizontal="center" vertical="center"/>
    </xf>
    <xf numFmtId="0" fontId="26" fillId="0" borderId="0" xfId="6" applyFont="1" applyAlignment="1" applyProtection="1">
      <alignment vertical="center" wrapText="1"/>
    </xf>
    <xf numFmtId="0" fontId="26" fillId="0" borderId="0" xfId="0" applyFont="1" applyAlignment="1">
      <alignment vertical="center" wrapText="1"/>
    </xf>
    <xf numFmtId="0" fontId="13" fillId="0" borderId="0" xfId="0" applyFont="1" applyAlignment="1">
      <alignment vertical="center" wrapText="1"/>
    </xf>
    <xf numFmtId="0" fontId="10" fillId="0" borderId="0" xfId="3" applyFont="1" applyAlignment="1">
      <alignment vertical="center"/>
    </xf>
    <xf numFmtId="0" fontId="10" fillId="0" borderId="0" xfId="3" applyFont="1" applyAlignment="1">
      <alignment vertical="center" wrapText="1"/>
    </xf>
    <xf numFmtId="0" fontId="10" fillId="0" borderId="0" xfId="3" applyFont="1" applyAlignment="1">
      <alignment horizontal="center" vertical="center"/>
    </xf>
    <xf numFmtId="0" fontId="35" fillId="0" borderId="0" xfId="0" applyFont="1" applyAlignment="1">
      <alignment vertical="center" wrapText="1"/>
    </xf>
    <xf numFmtId="0" fontId="19" fillId="0" borderId="0" xfId="4" applyNumberFormat="1" applyFont="1" applyFill="1" applyBorder="1" applyAlignment="1">
      <alignment vertical="center"/>
    </xf>
    <xf numFmtId="0" fontId="36" fillId="0" borderId="0" xfId="0" applyFont="1" applyAlignment="1">
      <alignment vertical="center"/>
    </xf>
    <xf numFmtId="0" fontId="32" fillId="0" borderId="0" xfId="4" applyNumberFormat="1" applyFont="1" applyFill="1" applyBorder="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0" xfId="6" applyFont="1" applyFill="1" applyBorder="1" applyAlignment="1" applyProtection="1">
      <alignment vertical="center"/>
    </xf>
    <xf numFmtId="0" fontId="12" fillId="6" borderId="20" xfId="3" applyFont="1" applyFill="1" applyBorder="1" applyAlignment="1">
      <alignment horizontal="left" vertical="center"/>
    </xf>
    <xf numFmtId="0" fontId="8" fillId="0" borderId="0" xfId="3" applyFont="1" applyAlignment="1" applyProtection="1">
      <alignment horizontal="right" vertical="center" wrapText="1"/>
      <protection locked="0"/>
    </xf>
    <xf numFmtId="17" fontId="8" fillId="0" borderId="0" xfId="3" applyNumberFormat="1" applyFont="1" applyAlignment="1" applyProtection="1">
      <alignment horizontal="right" vertical="center" wrapText="1"/>
      <protection locked="0"/>
    </xf>
    <xf numFmtId="0" fontId="4" fillId="0" borderId="0" xfId="3" applyFont="1" applyAlignment="1" applyProtection="1">
      <alignment vertical="center"/>
      <protection locked="0"/>
    </xf>
    <xf numFmtId="17" fontId="4" fillId="0" borderId="0" xfId="3" applyNumberFormat="1" applyFont="1" applyAlignment="1" applyProtection="1">
      <alignment horizontal="left" vertical="center"/>
      <protection locked="0"/>
    </xf>
    <xf numFmtId="0" fontId="4" fillId="0" borderId="0" xfId="3" applyFont="1" applyAlignment="1" applyProtection="1">
      <alignment horizontal="left" vertical="center"/>
      <protection locked="0"/>
    </xf>
    <xf numFmtId="0" fontId="43" fillId="0" borderId="0" xfId="6" applyFont="1" applyFill="1" applyBorder="1" applyAlignment="1" applyProtection="1">
      <alignment vertical="center"/>
    </xf>
    <xf numFmtId="0" fontId="30" fillId="0" borderId="0" xfId="3" applyFont="1" applyAlignment="1">
      <alignment horizontal="left" vertical="center"/>
    </xf>
    <xf numFmtId="0" fontId="12" fillId="0" borderId="23" xfId="3" applyFont="1" applyBorder="1" applyAlignment="1">
      <alignment horizontal="center" vertical="center"/>
    </xf>
    <xf numFmtId="0" fontId="12" fillId="0" borderId="24" xfId="3" applyFont="1" applyBorder="1" applyAlignment="1">
      <alignment horizontal="center" vertical="center"/>
    </xf>
    <xf numFmtId="0" fontId="12" fillId="0" borderId="25" xfId="3" applyFont="1" applyBorder="1" applyAlignment="1">
      <alignment horizontal="center" vertical="center"/>
    </xf>
    <xf numFmtId="0" fontId="12" fillId="0" borderId="26" xfId="3" applyFont="1" applyBorder="1" applyAlignment="1">
      <alignment horizontal="center" vertical="center"/>
    </xf>
    <xf numFmtId="0" fontId="14" fillId="3" borderId="7" xfId="3" applyFont="1" applyFill="1" applyBorder="1" applyAlignment="1">
      <alignment horizontal="center" vertical="center"/>
    </xf>
    <xf numFmtId="0" fontId="12" fillId="0" borderId="2" xfId="3" applyFont="1" applyBorder="1" applyAlignment="1">
      <alignment horizontal="center" vertical="center"/>
    </xf>
    <xf numFmtId="17" fontId="8" fillId="0" borderId="0" xfId="3" applyNumberFormat="1" applyFont="1" applyAlignment="1" applyProtection="1">
      <alignment horizontal="right" vertical="center"/>
      <protection locked="0"/>
    </xf>
    <xf numFmtId="168" fontId="4" fillId="0" borderId="0" xfId="3" applyNumberFormat="1" applyFont="1" applyAlignment="1" applyProtection="1">
      <alignment horizontal="left" vertical="center"/>
      <protection locked="0"/>
    </xf>
    <xf numFmtId="9" fontId="6" fillId="0" borderId="0" xfId="2" applyFont="1" applyBorder="1" applyAlignment="1">
      <alignment vertical="center"/>
    </xf>
    <xf numFmtId="0" fontId="12" fillId="0" borderId="0" xfId="3" applyFont="1" applyAlignment="1">
      <alignment horizontal="center" vertical="center"/>
    </xf>
    <xf numFmtId="0" fontId="12" fillId="0" borderId="2" xfId="3" applyFont="1" applyBorder="1" applyAlignment="1">
      <alignment horizontal="right" vertical="center"/>
    </xf>
    <xf numFmtId="0" fontId="13" fillId="0" borderId="0" xfId="3" applyFont="1" applyAlignment="1">
      <alignment vertical="center" wrapText="1"/>
    </xf>
    <xf numFmtId="44" fontId="13" fillId="0" borderId="0" xfId="1" applyFont="1" applyAlignment="1">
      <alignment horizontal="center" vertical="center"/>
    </xf>
    <xf numFmtId="9" fontId="13" fillId="0" borderId="0" xfId="2" applyFont="1" applyBorder="1" applyAlignment="1">
      <alignment vertical="center"/>
    </xf>
    <xf numFmtId="17" fontId="17" fillId="3" borderId="5" xfId="3" applyNumberFormat="1" applyFont="1" applyFill="1" applyBorder="1" applyAlignment="1">
      <alignment horizontal="right" vertical="center" wrapText="1"/>
    </xf>
    <xf numFmtId="0" fontId="6" fillId="5" borderId="0" xfId="3" applyFont="1" applyFill="1" applyAlignment="1">
      <alignment vertical="center"/>
    </xf>
    <xf numFmtId="0" fontId="3" fillId="5" borderId="0" xfId="3" applyFont="1" applyFill="1" applyAlignment="1">
      <alignment vertical="center"/>
    </xf>
    <xf numFmtId="0" fontId="15" fillId="5" borderId="0" xfId="3" applyFont="1" applyFill="1" applyAlignment="1">
      <alignment horizontal="center" vertical="center" wrapText="1"/>
    </xf>
    <xf numFmtId="165" fontId="19" fillId="5" borderId="0" xfId="4" applyNumberFormat="1" applyFont="1" applyFill="1" applyBorder="1" applyAlignment="1">
      <alignment horizontal="center" vertical="center"/>
    </xf>
    <xf numFmtId="165" fontId="13" fillId="5" borderId="0" xfId="4" applyNumberFormat="1" applyFont="1" applyFill="1" applyBorder="1" applyAlignment="1">
      <alignment horizontal="center" vertical="center"/>
    </xf>
    <xf numFmtId="0" fontId="13" fillId="5" borderId="0" xfId="4" applyNumberFormat="1" applyFont="1" applyFill="1" applyBorder="1" applyAlignment="1">
      <alignment horizontal="center" vertical="center"/>
    </xf>
    <xf numFmtId="165" fontId="12" fillId="5" borderId="0" xfId="4" applyNumberFormat="1" applyFont="1" applyFill="1" applyBorder="1" applyAlignment="1">
      <alignment horizontal="center" vertical="center"/>
    </xf>
    <xf numFmtId="165" fontId="14" fillId="5" borderId="0" xfId="4" applyNumberFormat="1" applyFont="1" applyFill="1" applyBorder="1" applyAlignment="1">
      <alignment horizontal="center" vertical="center"/>
    </xf>
    <xf numFmtId="0" fontId="13" fillId="5" borderId="0" xfId="3" applyFont="1" applyFill="1" applyAlignment="1">
      <alignment vertical="center"/>
    </xf>
    <xf numFmtId="44" fontId="13" fillId="5" borderId="0" xfId="1" applyFont="1" applyFill="1" applyAlignment="1">
      <alignment horizontal="center" vertical="center"/>
    </xf>
    <xf numFmtId="44" fontId="6" fillId="5" borderId="0" xfId="1" applyFont="1" applyFill="1" applyAlignment="1">
      <alignment horizontal="center" vertical="center"/>
    </xf>
    <xf numFmtId="167" fontId="6" fillId="5" borderId="0" xfId="3" applyNumberFormat="1" applyFont="1" applyFill="1" applyAlignment="1">
      <alignment horizontal="center" vertical="center"/>
    </xf>
    <xf numFmtId="0" fontId="33" fillId="5" borderId="0" xfId="3" applyFont="1" applyFill="1" applyAlignment="1">
      <alignment horizontal="center" vertical="center"/>
    </xf>
    <xf numFmtId="0" fontId="13" fillId="5" borderId="0" xfId="0" applyFont="1" applyFill="1" applyAlignment="1">
      <alignment vertical="center"/>
    </xf>
    <xf numFmtId="0" fontId="13" fillId="5" borderId="0" xfId="0" applyFont="1" applyFill="1" applyAlignment="1">
      <alignment vertical="center" wrapText="1"/>
    </xf>
    <xf numFmtId="0" fontId="14" fillId="2" borderId="3" xfId="3" applyFont="1" applyFill="1" applyBorder="1" applyAlignment="1">
      <alignment horizontal="center" vertical="center"/>
    </xf>
    <xf numFmtId="0" fontId="20" fillId="2" borderId="6" xfId="3" applyFont="1" applyFill="1" applyBorder="1" applyAlignment="1">
      <alignment horizontal="left" vertical="center"/>
    </xf>
    <xf numFmtId="0" fontId="14" fillId="3" borderId="6" xfId="3" applyFont="1" applyFill="1" applyBorder="1" applyAlignment="1">
      <alignment horizontal="center" vertical="center"/>
    </xf>
    <xf numFmtId="0" fontId="14" fillId="3" borderId="8" xfId="3" applyFont="1" applyFill="1" applyBorder="1" applyAlignment="1">
      <alignment horizontal="center" vertical="center"/>
    </xf>
    <xf numFmtId="0" fontId="13" fillId="0" borderId="20" xfId="3" quotePrefix="1" applyFont="1" applyBorder="1" applyAlignment="1">
      <alignment horizontal="left" vertical="center"/>
    </xf>
    <xf numFmtId="0" fontId="45" fillId="0" borderId="23" xfId="3" applyFont="1" applyBorder="1" applyAlignment="1">
      <alignment horizontal="center" vertical="center"/>
    </xf>
    <xf numFmtId="0" fontId="45" fillId="0" borderId="26" xfId="3" applyFont="1" applyBorder="1" applyAlignment="1">
      <alignment horizontal="center" vertical="center"/>
    </xf>
    <xf numFmtId="0" fontId="45" fillId="0" borderId="24" xfId="3" applyFont="1" applyBorder="1" applyAlignment="1">
      <alignment horizontal="center" vertical="center"/>
    </xf>
    <xf numFmtId="0" fontId="45" fillId="0" borderId="25" xfId="3" applyFont="1" applyBorder="1" applyAlignment="1">
      <alignment horizontal="center" vertical="center"/>
    </xf>
    <xf numFmtId="0" fontId="12" fillId="4" borderId="21" xfId="3" applyFont="1" applyFill="1" applyBorder="1" applyAlignment="1">
      <alignment vertical="center"/>
    </xf>
    <xf numFmtId="0" fontId="12" fillId="4" borderId="20" xfId="3" applyFont="1" applyFill="1" applyBorder="1" applyAlignment="1">
      <alignment vertical="center"/>
    </xf>
    <xf numFmtId="0" fontId="12" fillId="4" borderId="22" xfId="3" applyFont="1" applyFill="1" applyBorder="1" applyAlignment="1">
      <alignment vertical="center"/>
    </xf>
    <xf numFmtId="0" fontId="12" fillId="0" borderId="32" xfId="3" applyFont="1" applyBorder="1" applyAlignment="1">
      <alignment horizontal="center" vertical="center"/>
    </xf>
    <xf numFmtId="0" fontId="45" fillId="0" borderId="32" xfId="3" applyFont="1" applyBorder="1" applyAlignment="1">
      <alignment horizontal="center" vertical="center"/>
    </xf>
    <xf numFmtId="0" fontId="13" fillId="0" borderId="32" xfId="3" applyFont="1" applyBorder="1" applyAlignment="1">
      <alignment horizontal="center" vertical="center"/>
    </xf>
    <xf numFmtId="0" fontId="12" fillId="0" borderId="19" xfId="3" applyFont="1" applyBorder="1" applyAlignment="1">
      <alignment horizontal="left" vertical="center"/>
    </xf>
    <xf numFmtId="165" fontId="13" fillId="0" borderId="0" xfId="4" applyNumberFormat="1" applyFont="1" applyFill="1" applyBorder="1" applyAlignment="1">
      <alignment horizontal="center" vertical="center"/>
    </xf>
    <xf numFmtId="0" fontId="12" fillId="4" borderId="19" xfId="3" applyFont="1" applyFill="1" applyBorder="1" applyAlignment="1">
      <alignment horizontal="center" vertical="center"/>
    </xf>
    <xf numFmtId="0" fontId="12" fillId="7" borderId="20" xfId="3" applyFont="1" applyFill="1" applyBorder="1" applyAlignment="1">
      <alignment horizontal="left" vertical="center"/>
    </xf>
    <xf numFmtId="0" fontId="12" fillId="7" borderId="19" xfId="3" applyFont="1" applyFill="1" applyBorder="1" applyAlignment="1">
      <alignment horizontal="center" vertical="center"/>
    </xf>
    <xf numFmtId="166" fontId="12" fillId="0" borderId="19" xfId="4" applyNumberFormat="1" applyFont="1" applyFill="1" applyBorder="1" applyAlignment="1">
      <alignment horizontal="center" vertical="center"/>
    </xf>
    <xf numFmtId="0" fontId="13" fillId="0" borderId="33" xfId="4" applyNumberFormat="1" applyFont="1" applyFill="1" applyBorder="1" applyAlignment="1">
      <alignment horizontal="center" vertical="center"/>
    </xf>
    <xf numFmtId="0" fontId="12" fillId="4" borderId="20" xfId="3" applyFont="1" applyFill="1" applyBorder="1" applyAlignment="1">
      <alignment horizontal="center" vertical="center"/>
    </xf>
    <xf numFmtId="0" fontId="12" fillId="4" borderId="21" xfId="3" applyFont="1" applyFill="1" applyBorder="1" applyAlignment="1">
      <alignment horizontal="center" vertical="center"/>
    </xf>
    <xf numFmtId="0" fontId="12" fillId="4" borderId="22" xfId="3" applyFont="1" applyFill="1" applyBorder="1" applyAlignment="1">
      <alignment horizontal="center" vertical="center"/>
    </xf>
    <xf numFmtId="0" fontId="7" fillId="0" borderId="0" xfId="3" applyFont="1" applyAlignment="1" applyProtection="1">
      <alignment horizontal="center" vertical="center"/>
      <protection locked="0"/>
    </xf>
    <xf numFmtId="0" fontId="14" fillId="2" borderId="1" xfId="3" applyFont="1" applyFill="1" applyBorder="1" applyAlignment="1">
      <alignment horizontal="center" vertical="center" wrapText="1"/>
    </xf>
    <xf numFmtId="0" fontId="14" fillId="2" borderId="9" xfId="3" applyFont="1" applyFill="1" applyBorder="1" applyAlignment="1">
      <alignment horizontal="center" vertical="center" wrapText="1"/>
    </xf>
    <xf numFmtId="17" fontId="14" fillId="2" borderId="6" xfId="3" applyNumberFormat="1" applyFont="1" applyFill="1" applyBorder="1" applyAlignment="1">
      <alignment horizontal="center" vertical="center"/>
    </xf>
    <xf numFmtId="17" fontId="14" fillId="2" borderId="7" xfId="3" applyNumberFormat="1" applyFont="1" applyFill="1" applyBorder="1" applyAlignment="1">
      <alignment horizontal="center" vertical="center"/>
    </xf>
    <xf numFmtId="17" fontId="14" fillId="2" borderId="8" xfId="3" applyNumberFormat="1" applyFont="1" applyFill="1" applyBorder="1" applyAlignment="1">
      <alignment horizontal="center" vertical="center"/>
    </xf>
    <xf numFmtId="0" fontId="14" fillId="2" borderId="1" xfId="3" applyFont="1" applyFill="1" applyBorder="1" applyAlignment="1">
      <alignment horizontal="center" vertical="center"/>
    </xf>
    <xf numFmtId="0" fontId="14" fillId="2" borderId="9" xfId="3" applyFont="1" applyFill="1" applyBorder="1" applyAlignment="1">
      <alignment horizontal="center" vertical="center"/>
    </xf>
    <xf numFmtId="0" fontId="14" fillId="3" borderId="6" xfId="3" applyFont="1" applyFill="1" applyBorder="1" applyAlignment="1">
      <alignment horizontal="right" vertical="center"/>
    </xf>
    <xf numFmtId="0" fontId="14" fillId="3" borderId="7" xfId="3" applyFont="1" applyFill="1" applyBorder="1" applyAlignment="1">
      <alignment horizontal="right" vertical="center"/>
    </xf>
    <xf numFmtId="165" fontId="14" fillId="3" borderId="6" xfId="4" applyNumberFormat="1" applyFont="1" applyFill="1" applyBorder="1" applyAlignment="1">
      <alignment horizontal="center" vertical="center"/>
    </xf>
    <xf numFmtId="165" fontId="14" fillId="3" borderId="8" xfId="4" applyNumberFormat="1" applyFont="1" applyFill="1" applyBorder="1" applyAlignment="1">
      <alignment horizontal="center" vertical="center"/>
    </xf>
    <xf numFmtId="165" fontId="14" fillId="3" borderId="3" xfId="4" applyNumberFormat="1" applyFont="1" applyFill="1" applyBorder="1" applyAlignment="1">
      <alignment horizontal="center" vertical="center"/>
    </xf>
    <xf numFmtId="165" fontId="14" fillId="3" borderId="4" xfId="4" applyNumberFormat="1" applyFont="1" applyFill="1" applyBorder="1" applyAlignment="1">
      <alignment horizontal="center" vertical="center"/>
    </xf>
  </cellXfs>
  <cellStyles count="14">
    <cellStyle name="Currency" xfId="1" builtinId="4"/>
    <cellStyle name="Currency 2" xfId="9" xr:uid="{D6027DE7-7523-419F-93AF-9559FF8187BD}"/>
    <cellStyle name="Currency 2 2" xfId="4" xr:uid="{8AEE18D4-42BA-4B24-B832-17381E1D4220}"/>
    <cellStyle name="Currency 2 2 2" xfId="10" xr:uid="{F04D5A0F-E8F4-49C4-A5DF-29C8589B17A7}"/>
    <cellStyle name="Hyperlink" xfId="6" builtinId="8"/>
    <cellStyle name="Normal" xfId="0" builtinId="0"/>
    <cellStyle name="Normal 2" xfId="11" xr:uid="{553DC389-E8B8-45E8-9E24-AD2C364800D2}"/>
    <cellStyle name="Normal 2 2" xfId="3" xr:uid="{36779D63-17C2-486E-8BBD-E48847304BCD}"/>
    <cellStyle name="Normal 3" xfId="12" xr:uid="{E2EF1FD0-624A-473F-991A-39D658FE8770}"/>
    <cellStyle name="Normal 4" xfId="5" xr:uid="{3B7314D1-711A-4037-9BD1-C5B776F9E0DE}"/>
    <cellStyle name="Normal 4 2" xfId="13" xr:uid="{DAB90266-C649-4787-A311-ED7F07E8D619}"/>
    <cellStyle name="Percent" xfId="2" builtinId="5"/>
    <cellStyle name="Percent 2" xfId="7" xr:uid="{2762E3D2-8661-4E21-A47D-F94F6A20853B}"/>
    <cellStyle name="Percent 3" xfId="8" xr:uid="{33E309CB-7E94-4226-9E92-DD1EB88E49AF}"/>
  </cellStyles>
  <dxfs count="0"/>
  <tableStyles count="0" defaultTableStyle="TableStyleMedium2" defaultPivotStyle="PivotStyleLight16"/>
  <colors>
    <mruColors>
      <color rgb="FF002D4B"/>
      <color rgb="FFF7DDDF"/>
      <color rgb="FFEBABB1"/>
      <color rgb="FFF4D0D3"/>
      <color rgb="FFE79DA4"/>
      <color rgb="FFFFEBF5"/>
      <color rgb="FFFFC5E2"/>
      <color rgb="FFFFDDEE"/>
      <color rgb="FFCCCCFF"/>
      <color rgb="FF007F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172144</xdr:colOff>
      <xdr:row>2</xdr:row>
      <xdr:rowOff>38447</xdr:rowOff>
    </xdr:from>
    <xdr:to>
      <xdr:col>1</xdr:col>
      <xdr:colOff>2612176</xdr:colOff>
      <xdr:row>6</xdr:row>
      <xdr:rowOff>113594</xdr:rowOff>
    </xdr:to>
    <xdr:pic>
      <xdr:nvPicPr>
        <xdr:cNvPr id="8" name="Picture 7">
          <a:extLst>
            <a:ext uri="{FF2B5EF4-FFF2-40B4-BE49-F238E27FC236}">
              <a16:creationId xmlns:a16="http://schemas.microsoft.com/office/drawing/2014/main" id="{3590D0D8-1D81-460A-8061-37AAEBA85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599" y="384811"/>
          <a:ext cx="2436222" cy="1062283"/>
        </a:xfrm>
        <a:prstGeom prst="rect">
          <a:avLst/>
        </a:prstGeom>
      </xdr:spPr>
    </xdr:pic>
    <xdr:clientData/>
  </xdr:twoCellAnchor>
  <xdr:twoCellAnchor editAs="oneCell">
    <xdr:from>
      <xdr:col>62</xdr:col>
      <xdr:colOff>2048495</xdr:colOff>
      <xdr:row>2</xdr:row>
      <xdr:rowOff>194212</xdr:rowOff>
    </xdr:from>
    <xdr:to>
      <xdr:col>63</xdr:col>
      <xdr:colOff>1043172</xdr:colOff>
      <xdr:row>5</xdr:row>
      <xdr:rowOff>177809</xdr:rowOff>
    </xdr:to>
    <xdr:pic>
      <xdr:nvPicPr>
        <xdr:cNvPr id="3" name="Picture 2">
          <a:extLst>
            <a:ext uri="{FF2B5EF4-FFF2-40B4-BE49-F238E27FC236}">
              <a16:creationId xmlns:a16="http://schemas.microsoft.com/office/drawing/2014/main" id="{AB72817D-613A-4F5D-AFA8-84EE26FA14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823404" y="523257"/>
          <a:ext cx="1436541" cy="693643"/>
        </a:xfrm>
        <a:prstGeom prst="rect">
          <a:avLst/>
        </a:prstGeom>
      </xdr:spPr>
    </xdr:pic>
    <xdr:clientData/>
  </xdr:twoCellAnchor>
  <xdr:twoCellAnchor editAs="oneCell">
    <xdr:from>
      <xdr:col>62</xdr:col>
      <xdr:colOff>382902</xdr:colOff>
      <xdr:row>1</xdr:row>
      <xdr:rowOff>111427</xdr:rowOff>
    </xdr:from>
    <xdr:to>
      <xdr:col>62</xdr:col>
      <xdr:colOff>1861062</xdr:colOff>
      <xdr:row>6</xdr:row>
      <xdr:rowOff>8429</xdr:rowOff>
    </xdr:to>
    <xdr:pic>
      <xdr:nvPicPr>
        <xdr:cNvPr id="4" name="Picture 3">
          <a:extLst>
            <a:ext uri="{FF2B5EF4-FFF2-40B4-BE49-F238E27FC236}">
              <a16:creationId xmlns:a16="http://schemas.microsoft.com/office/drawing/2014/main" id="{907AB96B-0FA5-4C3F-8A81-A541A58134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157811" y="215336"/>
          <a:ext cx="1478160" cy="105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Martin%20Rodoreda\Application%20Data\Microsoft\Excel\Pricing%20Review%202011%20Survey%2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ohn%20Harrison\Local%20Settings\Temporary%20Internet%20Files\Content.Outlook\V3G0B6JZ\xSAPtemp194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PM Summary"/>
      <sheetName val="Audience Data"/>
      <sheetName val="Pricing Review Survey 6 2011"/>
      <sheetName val="Variance 5 vs. 6-2011"/>
      <sheetName val="Pricing Review Survey 5 2011"/>
      <sheetName val="Variance 4 vs. 5-2011"/>
      <sheetName val="Pricing Review Survey 4 2011"/>
      <sheetName val="Variance 3 vs. 4-2011"/>
      <sheetName val="Pricing Review Survey 3 2011"/>
      <sheetName val="Variance 2 vs. 3-2011"/>
      <sheetName val="Pricing Review Survey 2 2011"/>
      <sheetName val="Variance 1 vs. 2-2011"/>
      <sheetName val="Pricing Review Survey 1 2011"/>
      <sheetName val="Variance 8 vs. 1-2011"/>
      <sheetName val="Pricing Review Survey 8 2010"/>
      <sheetName val="Variance 7 vs. 8"/>
      <sheetName val="Pricing Review Survey 7 2010"/>
      <sheetName val="Variance 6 vs. 7"/>
      <sheetName val="Pricing Review Survey 6 2010"/>
      <sheetName val="Variance 5 vs. 6"/>
      <sheetName val="Pricing Review Survey 5 2010"/>
      <sheetName val="Variance 4 vs. 5."/>
      <sheetName val="Pricing Review Survey 4 2010"/>
      <sheetName val="Variance 3 vs. 4."/>
      <sheetName val="Pricing Review Survey 3 2010"/>
      <sheetName val="Variance 2 vs. 3"/>
      <sheetName val="Pricing Review Survey 2 2010"/>
      <sheetName val="Variance 1 vs. 2"/>
      <sheetName val="Pricing Review Survey 1 2010"/>
      <sheetName val="Variance 8 vs. 1"/>
      <sheetName val="Pricing Review Survey 8 2009"/>
      <sheetName val="Variance 7 vs. 8. 2009"/>
      <sheetName val="Pricing Review Survey 7 2009"/>
      <sheetName val="Variance 6 vs. 7 2009"/>
      <sheetName val="Pricing Review Survey 6 2009"/>
      <sheetName val="Variance 5 vs. 6 2009"/>
      <sheetName val="Pricing Review Survey 5 2009"/>
      <sheetName val="Variance 4 vs. 5 2009"/>
      <sheetName val="Pricing Review Survey 4 2009"/>
      <sheetName val="Variance 3 vs. 4 2009"/>
      <sheetName val="Pricing Review Survey 3 2009"/>
      <sheetName val="RM 2day"/>
      <sheetName val="RM 2MMM"/>
      <sheetName val="RM 3FOX"/>
      <sheetName val="RM 3MMM"/>
      <sheetName val="RM B105"/>
      <sheetName val="RM 4MMM"/>
      <sheetName val="RM SAFM"/>
      <sheetName val="RM 5MMM"/>
      <sheetName val="RM 92.9"/>
      <sheetName val="RM 94.5"/>
      <sheetName val="Cube-Fill Levels"/>
      <sheetName val="Seasonality 2011"/>
      <sheetName val="Seasonality 2010"/>
      <sheetName val="Seasonality 2008"/>
      <sheetName val="Austereo Group Daily Revenue"/>
      <sheetName val="CPM_Summary"/>
      <sheetName val="Audience_Data"/>
      <sheetName val="Pricing_Review_Survey_6_2011"/>
      <sheetName val="Variance_5_vs__6-2011"/>
      <sheetName val="Pricing_Review_Survey_5_2011"/>
      <sheetName val="Variance_4_vs__5-2011"/>
      <sheetName val="Pricing_Review_Survey_4_2011"/>
      <sheetName val="Variance_3_vs__4-2011"/>
      <sheetName val="Pricing_Review_Survey_3_2011"/>
      <sheetName val="Variance_2_vs__3-2011"/>
      <sheetName val="Pricing_Review_Survey_2_2011"/>
      <sheetName val="Variance_1_vs__2-2011"/>
      <sheetName val="Pricing_Review_Survey_1_2011"/>
      <sheetName val="Variance_8_vs__1-2011"/>
      <sheetName val="Pricing_Review_Survey_8_2010"/>
      <sheetName val="Variance_7_vs__8"/>
      <sheetName val="Pricing_Review_Survey_7_2010"/>
      <sheetName val="Variance_6_vs__7"/>
      <sheetName val="Pricing_Review_Survey_6_2010"/>
      <sheetName val="Variance_5_vs__6"/>
      <sheetName val="Pricing_Review_Survey_5_2010"/>
      <sheetName val="Variance_4_vs__5_"/>
      <sheetName val="Pricing_Review_Survey_4_2010"/>
      <sheetName val="Variance_3_vs__4_"/>
      <sheetName val="Pricing_Review_Survey_3_2010"/>
      <sheetName val="Variance_2_vs__3"/>
      <sheetName val="Pricing_Review_Survey_2_2010"/>
      <sheetName val="Variance_1_vs__2"/>
      <sheetName val="Pricing_Review_Survey_1_2010"/>
      <sheetName val="Variance_8_vs__1"/>
      <sheetName val="Pricing_Review_Survey_8_2009"/>
      <sheetName val="Variance_7_vs__8__2009"/>
      <sheetName val="Pricing_Review_Survey_7_2009"/>
      <sheetName val="Variance_6_vs__7_2009"/>
      <sheetName val="Pricing_Review_Survey_6_2009"/>
      <sheetName val="Variance_5_vs__6_2009"/>
      <sheetName val="Pricing_Review_Survey_5_2009"/>
      <sheetName val="Variance_4_vs__5_2009"/>
      <sheetName val="Pricing_Review_Survey_4_2009"/>
      <sheetName val="Variance_3_vs__4_2009"/>
      <sheetName val="Pricing_Review_Survey_3_2009"/>
      <sheetName val="RM_2day"/>
      <sheetName val="RM_2MMM"/>
      <sheetName val="RM_3FOX"/>
      <sheetName val="RM_3MMM"/>
      <sheetName val="RM_B105"/>
      <sheetName val="RM_4MMM"/>
      <sheetName val="RM_SAFM"/>
      <sheetName val="RM_5MMM"/>
      <sheetName val="RM_92_9"/>
      <sheetName val="RM_94_5"/>
      <sheetName val="Cube-Fill_Levels"/>
      <sheetName val="Seasonality_2011"/>
      <sheetName val="Seasonality_2010"/>
      <sheetName val="Seasonality_2008"/>
      <sheetName val="Austereo_Group_Daily_Revenue"/>
      <sheetName val="Pricing Review 2011 Survey 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Graphs"/>
      <sheetName val="Austereo Group Daily Revenue"/>
      <sheetName val="Movement Report"/>
      <sheetName val="SAP DATA"/>
      <sheetName val="Forecast Information"/>
      <sheetName val="Austereo_Group_Daily_Revenue"/>
      <sheetName val="Movement_Report"/>
      <sheetName val="SAP_DATA"/>
      <sheetName val="Forecast_Information"/>
    </sheetNames>
    <sheetDataSet>
      <sheetData sheetId="0" refreshError="1"/>
      <sheetData sheetId="1" refreshError="1"/>
      <sheetData sheetId="2" refreshError="1"/>
      <sheetData sheetId="3"/>
      <sheetData sheetId="4">
        <row r="4">
          <cell r="B4" t="str">
            <v>07/11/2010</v>
          </cell>
        </row>
      </sheetData>
      <sheetData sheetId="5" refreshError="1"/>
      <sheetData sheetId="6" refreshError="1"/>
      <sheetData sheetId="7"/>
      <sheetData sheetId="8">
        <row r="4">
          <cell r="B4" t="str">
            <v>07/11/2010</v>
          </cell>
        </row>
      </sheetData>
      <sheetData sheetId="9"/>
      <sheetData sheetId="1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E2922-77C4-45FC-9423-B180A64BC1C1}">
  <sheetPr>
    <tabColor rgb="FF002D4B"/>
    <pageSetUpPr fitToPage="1"/>
  </sheetPr>
  <dimension ref="B1:BL328"/>
  <sheetViews>
    <sheetView showGridLines="0" tabSelected="1" topLeftCell="B1" zoomScale="55" zoomScaleNormal="55" workbookViewId="0">
      <pane ySplit="10" topLeftCell="A19" activePane="bottomLeft" state="frozen"/>
      <selection pane="bottomLeft" activeCell="S93" sqref="S93:X94"/>
    </sheetView>
  </sheetViews>
  <sheetFormatPr defaultColWidth="8.7109375" defaultRowHeight="13.5" customHeight="1" x14ac:dyDescent="0.25"/>
  <cols>
    <col min="1" max="1" width="3.42578125" style="1" customWidth="1"/>
    <col min="2" max="2" width="70" style="1" customWidth="1"/>
    <col min="3" max="3" width="24.5703125" style="2" bestFit="1" customWidth="1"/>
    <col min="4" max="4" width="49.28515625" style="2" bestFit="1" customWidth="1"/>
    <col min="5" max="5" width="22.7109375" style="2" customWidth="1"/>
    <col min="6" max="57" width="4.5703125" style="8" customWidth="1"/>
    <col min="58" max="58" width="25.7109375" style="1" customWidth="1"/>
    <col min="59" max="59" width="23.28515625" style="1" customWidth="1"/>
    <col min="60" max="60" width="36.7109375" style="5" customWidth="1"/>
    <col min="61" max="61" width="20.28515625" style="6" customWidth="1"/>
    <col min="62" max="62" width="2.28515625" style="129" customWidth="1"/>
    <col min="63" max="63" width="36.7109375" style="5" customWidth="1"/>
    <col min="64" max="64" width="20.28515625" style="6" customWidth="1"/>
    <col min="65" max="16384" width="8.7109375" style="1"/>
  </cols>
  <sheetData>
    <row r="1" spans="2:64" ht="7.5" customHeight="1" x14ac:dyDescent="0.25">
      <c r="E1" s="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row>
    <row r="2" spans="2:64" ht="18" x14ac:dyDescent="0.25">
      <c r="B2" s="7"/>
      <c r="C2" s="107" t="s">
        <v>0</v>
      </c>
      <c r="D2" s="109" t="s">
        <v>58</v>
      </c>
      <c r="BH2" s="1"/>
      <c r="BI2" s="1"/>
      <c r="BJ2" s="130"/>
      <c r="BK2" s="1"/>
      <c r="BL2" s="1"/>
    </row>
    <row r="3" spans="2:64" ht="18.600000000000001" customHeight="1" x14ac:dyDescent="0.25">
      <c r="B3" s="169"/>
      <c r="C3" s="107" t="s">
        <v>1</v>
      </c>
      <c r="D3" s="109" t="s">
        <v>59</v>
      </c>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H3" s="1"/>
      <c r="BI3" s="1"/>
      <c r="BJ3" s="130"/>
      <c r="BK3" s="1"/>
      <c r="BL3" s="1"/>
    </row>
    <row r="4" spans="2:64" ht="21" customHeight="1" x14ac:dyDescent="0.25">
      <c r="B4" s="169"/>
      <c r="C4" s="108" t="s">
        <v>2</v>
      </c>
      <c r="D4" s="110" t="s">
        <v>60</v>
      </c>
      <c r="I4" s="11"/>
      <c r="J4" s="11"/>
      <c r="K4" s="11"/>
      <c r="L4" s="11"/>
      <c r="M4" s="11"/>
      <c r="R4" s="11"/>
      <c r="S4" s="11"/>
      <c r="T4" s="11"/>
      <c r="U4" s="11"/>
      <c r="V4" s="11"/>
      <c r="Z4" s="11"/>
      <c r="AI4" s="11"/>
      <c r="AJ4" s="11"/>
      <c r="AK4" s="11"/>
      <c r="AL4" s="11"/>
      <c r="AM4" s="11"/>
      <c r="AR4" s="11"/>
      <c r="AV4" s="11"/>
      <c r="AW4" s="11"/>
      <c r="AX4" s="11"/>
      <c r="AY4" s="11"/>
      <c r="AZ4" s="11"/>
      <c r="BA4" s="11"/>
      <c r="BB4" s="11"/>
      <c r="BC4" s="11"/>
      <c r="BD4" s="11"/>
      <c r="BE4" s="11"/>
      <c r="BH4" s="1"/>
      <c r="BI4" s="1"/>
      <c r="BJ4" s="130"/>
      <c r="BK4" s="1"/>
      <c r="BL4" s="1"/>
    </row>
    <row r="5" spans="2:64" ht="18.600000000000001" customHeight="1" x14ac:dyDescent="0.25">
      <c r="B5" s="169"/>
      <c r="C5" s="108" t="s">
        <v>3</v>
      </c>
      <c r="D5" s="110" t="s">
        <v>61</v>
      </c>
      <c r="I5" s="11"/>
      <c r="J5" s="11"/>
      <c r="K5" s="11"/>
      <c r="L5" s="11"/>
      <c r="M5" s="11"/>
      <c r="R5" s="11"/>
      <c r="S5" s="11"/>
      <c r="T5" s="11"/>
      <c r="U5" s="11"/>
      <c r="V5" s="11"/>
      <c r="Z5" s="11"/>
      <c r="AI5" s="11"/>
      <c r="AJ5" s="11"/>
      <c r="AK5" s="11"/>
      <c r="AL5" s="11"/>
      <c r="AM5" s="11"/>
      <c r="AR5" s="11"/>
      <c r="AV5" s="11"/>
      <c r="AW5" s="11"/>
      <c r="AX5" s="11"/>
      <c r="AY5" s="11"/>
      <c r="AZ5" s="11"/>
      <c r="BA5" s="11"/>
      <c r="BB5" s="11"/>
      <c r="BC5" s="11"/>
      <c r="BD5" s="11"/>
      <c r="BE5" s="11"/>
      <c r="BH5" s="1"/>
      <c r="BI5" s="1"/>
      <c r="BJ5" s="130"/>
      <c r="BK5" s="1"/>
      <c r="BL5" s="1"/>
    </row>
    <row r="6" spans="2:64" ht="18.600000000000001" customHeight="1" x14ac:dyDescent="0.25">
      <c r="B6" s="169"/>
      <c r="C6" s="120" t="s">
        <v>4</v>
      </c>
      <c r="D6" s="121">
        <v>45784</v>
      </c>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H6" s="1"/>
      <c r="BI6" s="1"/>
      <c r="BJ6" s="130"/>
      <c r="BK6" s="1"/>
      <c r="BL6" s="1"/>
    </row>
    <row r="7" spans="2:64" ht="18.600000000000001" customHeight="1" x14ac:dyDescent="0.25">
      <c r="B7" s="169"/>
      <c r="C7" s="107" t="s">
        <v>5</v>
      </c>
      <c r="D7" s="111">
        <v>1</v>
      </c>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H7" s="1"/>
      <c r="BI7" s="1"/>
      <c r="BJ7" s="130"/>
      <c r="BK7" s="1"/>
      <c r="BL7" s="1"/>
    </row>
    <row r="8" spans="2:64" ht="18" thickBot="1" x14ac:dyDescent="0.3">
      <c r="B8" s="12"/>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5"/>
      <c r="BG8" s="15"/>
      <c r="BH8" s="1"/>
      <c r="BI8" s="15"/>
    </row>
    <row r="9" spans="2:64" s="16" customFormat="1" ht="15.75" thickBot="1" x14ac:dyDescent="0.3">
      <c r="B9" s="144" t="s">
        <v>6</v>
      </c>
      <c r="C9" s="170" t="s">
        <v>7</v>
      </c>
      <c r="D9" s="170" t="s">
        <v>8</v>
      </c>
      <c r="E9" s="170" t="s">
        <v>9</v>
      </c>
      <c r="F9" s="172">
        <v>45839</v>
      </c>
      <c r="G9" s="173"/>
      <c r="H9" s="173"/>
      <c r="I9" s="174"/>
      <c r="J9" s="172">
        <v>45870</v>
      </c>
      <c r="K9" s="173"/>
      <c r="L9" s="173"/>
      <c r="M9" s="174"/>
      <c r="N9" s="172">
        <v>45901</v>
      </c>
      <c r="O9" s="173"/>
      <c r="P9" s="173"/>
      <c r="Q9" s="173"/>
      <c r="R9" s="174"/>
      <c r="S9" s="172">
        <v>45931</v>
      </c>
      <c r="T9" s="173"/>
      <c r="U9" s="173"/>
      <c r="V9" s="174"/>
      <c r="W9" s="172">
        <v>45962</v>
      </c>
      <c r="X9" s="173"/>
      <c r="Y9" s="173"/>
      <c r="Z9" s="174"/>
      <c r="AA9" s="172">
        <v>45992</v>
      </c>
      <c r="AB9" s="173"/>
      <c r="AC9" s="173"/>
      <c r="AD9" s="173"/>
      <c r="AE9" s="174"/>
      <c r="AF9" s="172">
        <v>46023</v>
      </c>
      <c r="AG9" s="173"/>
      <c r="AH9" s="173"/>
      <c r="AI9" s="174"/>
      <c r="AJ9" s="172">
        <v>46054</v>
      </c>
      <c r="AK9" s="173"/>
      <c r="AL9" s="173"/>
      <c r="AM9" s="174"/>
      <c r="AN9" s="172">
        <v>46082</v>
      </c>
      <c r="AO9" s="173"/>
      <c r="AP9" s="173"/>
      <c r="AQ9" s="173"/>
      <c r="AR9" s="174"/>
      <c r="AS9" s="172">
        <v>46113</v>
      </c>
      <c r="AT9" s="173"/>
      <c r="AU9" s="173"/>
      <c r="AV9" s="174"/>
      <c r="AW9" s="172">
        <v>46143</v>
      </c>
      <c r="AX9" s="173"/>
      <c r="AY9" s="173"/>
      <c r="AZ9" s="174"/>
      <c r="BA9" s="172">
        <v>46174</v>
      </c>
      <c r="BB9" s="173"/>
      <c r="BC9" s="173"/>
      <c r="BD9" s="173"/>
      <c r="BE9" s="174"/>
      <c r="BF9" s="175" t="s">
        <v>10</v>
      </c>
      <c r="BG9" s="175" t="s">
        <v>53</v>
      </c>
      <c r="BH9" s="170" t="s">
        <v>11</v>
      </c>
      <c r="BI9" s="170" t="s">
        <v>12</v>
      </c>
      <c r="BJ9" s="131"/>
      <c r="BK9" s="170" t="s">
        <v>13</v>
      </c>
      <c r="BL9" s="170" t="s">
        <v>14</v>
      </c>
    </row>
    <row r="10" spans="2:64" ht="26.45" customHeight="1" thickBot="1" x14ac:dyDescent="0.3">
      <c r="B10" s="145" t="s">
        <v>63</v>
      </c>
      <c r="C10" s="171"/>
      <c r="D10" s="171"/>
      <c r="E10" s="171"/>
      <c r="F10" s="17">
        <v>7</v>
      </c>
      <c r="G10" s="20">
        <v>14</v>
      </c>
      <c r="H10" s="18">
        <v>21</v>
      </c>
      <c r="I10" s="19">
        <v>28</v>
      </c>
      <c r="J10" s="17">
        <v>4</v>
      </c>
      <c r="K10" s="20">
        <v>11</v>
      </c>
      <c r="L10" s="18">
        <v>18</v>
      </c>
      <c r="M10" s="19">
        <v>25</v>
      </c>
      <c r="N10" s="17">
        <v>1</v>
      </c>
      <c r="O10" s="20">
        <v>8</v>
      </c>
      <c r="P10" s="20">
        <v>15</v>
      </c>
      <c r="Q10" s="18">
        <v>22</v>
      </c>
      <c r="R10" s="19">
        <v>29</v>
      </c>
      <c r="S10" s="17">
        <v>6</v>
      </c>
      <c r="T10" s="20">
        <v>13</v>
      </c>
      <c r="U10" s="18">
        <v>20</v>
      </c>
      <c r="V10" s="19">
        <v>27</v>
      </c>
      <c r="W10" s="17">
        <v>3</v>
      </c>
      <c r="X10" s="20">
        <v>10</v>
      </c>
      <c r="Y10" s="20">
        <v>17</v>
      </c>
      <c r="Z10" s="18">
        <v>24</v>
      </c>
      <c r="AA10" s="17">
        <v>1</v>
      </c>
      <c r="AB10" s="20">
        <v>8</v>
      </c>
      <c r="AC10" s="20">
        <v>15</v>
      </c>
      <c r="AD10" s="18">
        <v>22</v>
      </c>
      <c r="AE10" s="19">
        <v>29</v>
      </c>
      <c r="AF10" s="17">
        <v>5</v>
      </c>
      <c r="AG10" s="20">
        <v>12</v>
      </c>
      <c r="AH10" s="18">
        <v>19</v>
      </c>
      <c r="AI10" s="19">
        <v>26</v>
      </c>
      <c r="AJ10" s="17">
        <v>2</v>
      </c>
      <c r="AK10" s="20">
        <v>9</v>
      </c>
      <c r="AL10" s="18">
        <v>16</v>
      </c>
      <c r="AM10" s="19">
        <v>23</v>
      </c>
      <c r="AN10" s="17">
        <v>2</v>
      </c>
      <c r="AO10" s="20">
        <v>9</v>
      </c>
      <c r="AP10" s="20">
        <v>16</v>
      </c>
      <c r="AQ10" s="18">
        <v>23</v>
      </c>
      <c r="AR10" s="19">
        <v>30</v>
      </c>
      <c r="AS10" s="17">
        <v>6</v>
      </c>
      <c r="AT10" s="20">
        <v>13</v>
      </c>
      <c r="AU10" s="18">
        <v>20</v>
      </c>
      <c r="AV10" s="19">
        <v>27</v>
      </c>
      <c r="AW10" s="17">
        <v>4</v>
      </c>
      <c r="AX10" s="20">
        <v>11</v>
      </c>
      <c r="AY10" s="20">
        <v>18</v>
      </c>
      <c r="AZ10" s="18">
        <v>25</v>
      </c>
      <c r="BA10" s="17">
        <v>1</v>
      </c>
      <c r="BB10" s="20">
        <v>8</v>
      </c>
      <c r="BC10" s="20">
        <v>15</v>
      </c>
      <c r="BD10" s="18">
        <v>22</v>
      </c>
      <c r="BE10" s="19">
        <v>29</v>
      </c>
      <c r="BF10" s="176"/>
      <c r="BG10" s="176"/>
      <c r="BH10" s="171"/>
      <c r="BI10" s="171"/>
      <c r="BJ10" s="132"/>
      <c r="BK10" s="171"/>
      <c r="BL10" s="171"/>
    </row>
    <row r="11" spans="2:64" s="15" customFormat="1" ht="18" customHeight="1" x14ac:dyDescent="0.25">
      <c r="B11" s="21" t="s">
        <v>62</v>
      </c>
      <c r="C11" s="22"/>
      <c r="D11" s="22"/>
      <c r="E11" s="128"/>
      <c r="F11" s="23"/>
      <c r="G11" s="24"/>
      <c r="H11" s="24"/>
      <c r="I11" s="25"/>
      <c r="J11" s="23"/>
      <c r="K11" s="24"/>
      <c r="L11" s="24"/>
      <c r="M11" s="25"/>
      <c r="N11" s="23"/>
      <c r="O11" s="24"/>
      <c r="P11" s="24"/>
      <c r="Q11" s="24"/>
      <c r="R11" s="25"/>
      <c r="S11" s="23"/>
      <c r="T11" s="24"/>
      <c r="U11" s="24"/>
      <c r="V11" s="25"/>
      <c r="W11" s="23"/>
      <c r="X11" s="24"/>
      <c r="Y11" s="24"/>
      <c r="Z11" s="25"/>
      <c r="AA11" s="23"/>
      <c r="AB11" s="24"/>
      <c r="AC11" s="24"/>
      <c r="AD11" s="24"/>
      <c r="AE11" s="24"/>
      <c r="AF11" s="23"/>
      <c r="AG11" s="24"/>
      <c r="AH11" s="24"/>
      <c r="AI11" s="25"/>
      <c r="AJ11" s="24"/>
      <c r="AK11" s="24"/>
      <c r="AL11" s="24"/>
      <c r="AM11" s="25"/>
      <c r="AN11" s="23"/>
      <c r="AO11" s="24"/>
      <c r="AP11" s="24"/>
      <c r="AQ11" s="24"/>
      <c r="AR11" s="25"/>
      <c r="AS11" s="23"/>
      <c r="AT11" s="24"/>
      <c r="AU11" s="24"/>
      <c r="AV11" s="25"/>
      <c r="AW11" s="23"/>
      <c r="AX11" s="24"/>
      <c r="AY11" s="24"/>
      <c r="AZ11" s="25"/>
      <c r="BA11" s="23"/>
      <c r="BB11" s="24"/>
      <c r="BC11" s="24"/>
      <c r="BD11" s="24"/>
      <c r="BE11" s="25"/>
      <c r="BF11" s="44"/>
      <c r="BG11" s="44"/>
      <c r="BH11" s="26"/>
      <c r="BI11" s="45"/>
      <c r="BJ11" s="133"/>
      <c r="BK11" s="26"/>
      <c r="BL11" s="45"/>
    </row>
    <row r="12" spans="2:64" s="15" customFormat="1" ht="17.25" x14ac:dyDescent="0.25">
      <c r="B12" s="161" t="s">
        <v>65</v>
      </c>
      <c r="C12" s="39"/>
      <c r="D12" s="39"/>
      <c r="E12" s="40"/>
      <c r="F12" s="166"/>
      <c r="G12" s="167"/>
      <c r="H12" s="167"/>
      <c r="I12" s="168"/>
      <c r="J12" s="166"/>
      <c r="K12" s="167"/>
      <c r="L12" s="167"/>
      <c r="M12" s="168"/>
      <c r="N12" s="166"/>
      <c r="O12" s="167"/>
      <c r="P12" s="167"/>
      <c r="Q12" s="167"/>
      <c r="R12" s="168"/>
      <c r="S12" s="166"/>
      <c r="T12" s="167"/>
      <c r="U12" s="167"/>
      <c r="V12" s="168"/>
      <c r="W12" s="166"/>
      <c r="X12" s="167"/>
      <c r="Y12" s="167"/>
      <c r="Z12" s="168"/>
      <c r="AA12" s="154"/>
      <c r="AB12" s="153"/>
      <c r="AC12" s="153"/>
      <c r="AD12" s="153"/>
      <c r="AE12" s="153"/>
      <c r="AF12" s="154"/>
      <c r="AG12" s="153"/>
      <c r="AH12" s="153"/>
      <c r="AI12" s="155"/>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41"/>
      <c r="BG12" s="41">
        <f>SUM(BG14:BG27)</f>
        <v>390</v>
      </c>
      <c r="BH12" s="42"/>
      <c r="BI12" s="43">
        <f>SUM(BI14:BI28)</f>
        <v>22515</v>
      </c>
      <c r="BJ12" s="133"/>
      <c r="BK12" s="43"/>
      <c r="BL12" s="43">
        <f>SUM(BL14:BL27)</f>
        <v>43635</v>
      </c>
    </row>
    <row r="13" spans="2:64" s="15" customFormat="1" ht="18" customHeight="1" x14ac:dyDescent="0.25">
      <c r="B13" s="106" t="s">
        <v>67</v>
      </c>
      <c r="C13" s="27"/>
      <c r="D13" s="27"/>
      <c r="E13" s="28"/>
      <c r="F13" s="114"/>
      <c r="G13" s="117"/>
      <c r="H13" s="115"/>
      <c r="I13" s="116"/>
      <c r="J13" s="114"/>
      <c r="K13" s="117"/>
      <c r="L13" s="115"/>
      <c r="M13" s="116"/>
      <c r="N13" s="114"/>
      <c r="O13" s="117"/>
      <c r="P13" s="117"/>
      <c r="Q13" s="115"/>
      <c r="R13" s="116"/>
      <c r="S13" s="114"/>
      <c r="T13" s="117"/>
      <c r="U13" s="115"/>
      <c r="V13" s="116"/>
      <c r="W13" s="114"/>
      <c r="X13" s="117"/>
      <c r="Y13" s="115"/>
      <c r="Z13" s="116"/>
      <c r="AA13" s="114"/>
      <c r="AB13" s="117"/>
      <c r="AC13" s="117"/>
      <c r="AD13" s="115"/>
      <c r="AE13" s="156"/>
      <c r="AF13" s="114"/>
      <c r="AG13" s="117"/>
      <c r="AH13" s="115"/>
      <c r="AI13" s="116"/>
      <c r="AJ13" s="117"/>
      <c r="AK13" s="117"/>
      <c r="AL13" s="115"/>
      <c r="AM13" s="116"/>
      <c r="AN13" s="114"/>
      <c r="AO13" s="117"/>
      <c r="AP13" s="117"/>
      <c r="AQ13" s="115"/>
      <c r="AR13" s="116"/>
      <c r="AS13" s="114"/>
      <c r="AT13" s="117"/>
      <c r="AU13" s="115"/>
      <c r="AV13" s="116"/>
      <c r="AW13" s="114"/>
      <c r="AX13" s="117"/>
      <c r="AY13" s="115"/>
      <c r="AZ13" s="116"/>
      <c r="BA13" s="114"/>
      <c r="BB13" s="117"/>
      <c r="BC13" s="117"/>
      <c r="BD13" s="115"/>
      <c r="BE13" s="116"/>
      <c r="BF13" s="29"/>
      <c r="BG13" s="29"/>
      <c r="BH13" s="30"/>
      <c r="BI13" s="31"/>
      <c r="BJ13" s="134"/>
      <c r="BK13" s="32"/>
      <c r="BL13" s="31"/>
    </row>
    <row r="14" spans="2:64" s="15" customFormat="1" ht="18" customHeight="1" x14ac:dyDescent="0.25">
      <c r="B14" s="148" t="s">
        <v>56</v>
      </c>
      <c r="C14" s="27" t="s">
        <v>52</v>
      </c>
      <c r="D14" s="27" t="s">
        <v>55</v>
      </c>
      <c r="E14" s="34" t="s">
        <v>54</v>
      </c>
      <c r="F14" s="35">
        <v>8</v>
      </c>
      <c r="G14" s="38">
        <v>5</v>
      </c>
      <c r="H14" s="36"/>
      <c r="I14" s="37"/>
      <c r="J14" s="35"/>
      <c r="K14" s="38"/>
      <c r="L14" s="36"/>
      <c r="M14" s="37"/>
      <c r="N14" s="35">
        <v>8</v>
      </c>
      <c r="O14" s="38">
        <v>5</v>
      </c>
      <c r="P14" s="38"/>
      <c r="Q14" s="36"/>
      <c r="R14" s="37"/>
      <c r="S14" s="35">
        <v>10</v>
      </c>
      <c r="T14" s="38">
        <v>5</v>
      </c>
      <c r="U14" s="36"/>
      <c r="V14" s="37"/>
      <c r="W14" s="35">
        <v>10</v>
      </c>
      <c r="X14" s="38">
        <v>5</v>
      </c>
      <c r="Y14" s="36"/>
      <c r="Z14" s="37"/>
      <c r="AA14" s="35"/>
      <c r="AB14" s="38"/>
      <c r="AC14" s="38"/>
      <c r="AD14" s="36"/>
      <c r="AE14" s="158"/>
      <c r="AF14" s="35"/>
      <c r="AG14" s="38"/>
      <c r="AH14" s="36"/>
      <c r="AI14" s="37"/>
      <c r="AJ14" s="35">
        <v>8</v>
      </c>
      <c r="AK14" s="38">
        <v>5</v>
      </c>
      <c r="AL14" s="36"/>
      <c r="AM14" s="37"/>
      <c r="AN14" s="35"/>
      <c r="AO14" s="38"/>
      <c r="AP14" s="38"/>
      <c r="AQ14" s="36"/>
      <c r="AR14" s="37"/>
      <c r="AS14" s="35"/>
      <c r="AT14" s="38"/>
      <c r="AU14" s="36"/>
      <c r="AV14" s="37"/>
      <c r="AW14" s="35">
        <v>8</v>
      </c>
      <c r="AX14" s="38">
        <v>5</v>
      </c>
      <c r="AY14" s="36"/>
      <c r="AZ14" s="37"/>
      <c r="BA14" s="35">
        <v>8</v>
      </c>
      <c r="BB14" s="38">
        <v>5</v>
      </c>
      <c r="BC14" s="38"/>
      <c r="BD14" s="36"/>
      <c r="BE14" s="37"/>
      <c r="BF14" s="29">
        <v>1</v>
      </c>
      <c r="BG14" s="29">
        <f>SUM(F14:BE14)*BF14</f>
        <v>95</v>
      </c>
      <c r="BH14" s="30">
        <v>95</v>
      </c>
      <c r="BI14" s="31">
        <f>BH14*BG14/BF14</f>
        <v>9025</v>
      </c>
      <c r="BJ14" s="133"/>
      <c r="BK14" s="30">
        <v>144</v>
      </c>
      <c r="BL14" s="31">
        <f>BK14*BG14/BF14</f>
        <v>13680</v>
      </c>
    </row>
    <row r="15" spans="2:64" s="15" customFormat="1" ht="18" customHeight="1" x14ac:dyDescent="0.25">
      <c r="B15" s="148" t="s">
        <v>57</v>
      </c>
      <c r="C15" s="27" t="s">
        <v>52</v>
      </c>
      <c r="D15" s="27" t="s">
        <v>55</v>
      </c>
      <c r="E15" s="34" t="s">
        <v>73</v>
      </c>
      <c r="F15" s="35">
        <v>3</v>
      </c>
      <c r="G15" s="38">
        <v>2</v>
      </c>
      <c r="H15" s="36"/>
      <c r="I15" s="152"/>
      <c r="J15" s="35"/>
      <c r="K15" s="38"/>
      <c r="L15" s="151"/>
      <c r="M15" s="152"/>
      <c r="N15" s="35">
        <v>3</v>
      </c>
      <c r="O15" s="38">
        <v>2</v>
      </c>
      <c r="P15" s="150"/>
      <c r="Q15" s="151"/>
      <c r="R15" s="152"/>
      <c r="S15" s="35">
        <v>3</v>
      </c>
      <c r="T15" s="38">
        <v>2</v>
      </c>
      <c r="U15" s="151"/>
      <c r="V15" s="152"/>
      <c r="W15" s="35">
        <v>3</v>
      </c>
      <c r="X15" s="38">
        <v>2</v>
      </c>
      <c r="Y15" s="151"/>
      <c r="Z15" s="152"/>
      <c r="AA15" s="149"/>
      <c r="AB15" s="150"/>
      <c r="AC15" s="150"/>
      <c r="AD15" s="151"/>
      <c r="AE15" s="157"/>
      <c r="AF15" s="149"/>
      <c r="AG15" s="150"/>
      <c r="AH15" s="151"/>
      <c r="AI15" s="152"/>
      <c r="AJ15" s="35">
        <v>3</v>
      </c>
      <c r="AK15" s="38">
        <v>2</v>
      </c>
      <c r="AL15" s="151"/>
      <c r="AM15" s="152"/>
      <c r="AN15" s="35"/>
      <c r="AO15" s="38"/>
      <c r="AP15" s="150"/>
      <c r="AQ15" s="151"/>
      <c r="AR15" s="152"/>
      <c r="AS15" s="35"/>
      <c r="AT15" s="38"/>
      <c r="AU15" s="151"/>
      <c r="AV15" s="152"/>
      <c r="AW15" s="35">
        <v>3</v>
      </c>
      <c r="AX15" s="38">
        <v>2</v>
      </c>
      <c r="AY15" s="151"/>
      <c r="AZ15" s="152"/>
      <c r="BA15" s="35">
        <v>3</v>
      </c>
      <c r="BB15" s="38">
        <v>2</v>
      </c>
      <c r="BC15" s="150"/>
      <c r="BD15" s="151"/>
      <c r="BE15" s="152"/>
      <c r="BF15" s="29">
        <v>1</v>
      </c>
      <c r="BG15" s="29">
        <f>SUM(F15:BE15)*BF15</f>
        <v>35</v>
      </c>
      <c r="BH15" s="164" t="s">
        <v>89</v>
      </c>
      <c r="BI15" s="164" t="s">
        <v>89</v>
      </c>
      <c r="BJ15" s="133"/>
      <c r="BK15" s="30">
        <v>109</v>
      </c>
      <c r="BL15" s="31">
        <f>BK15*BG15/BF15</f>
        <v>3815</v>
      </c>
    </row>
    <row r="16" spans="2:64" s="15" customFormat="1" ht="18" customHeight="1" x14ac:dyDescent="0.25">
      <c r="B16" s="33"/>
      <c r="C16" s="27"/>
      <c r="D16" s="27"/>
      <c r="E16" s="34"/>
      <c r="F16" s="35"/>
      <c r="G16" s="38"/>
      <c r="H16" s="36"/>
      <c r="I16" s="37"/>
      <c r="J16" s="35"/>
      <c r="K16" s="38"/>
      <c r="L16" s="36"/>
      <c r="M16" s="37"/>
      <c r="N16" s="35"/>
      <c r="O16" s="38"/>
      <c r="P16" s="38"/>
      <c r="Q16" s="36"/>
      <c r="R16" s="37"/>
      <c r="S16" s="35"/>
      <c r="T16" s="38"/>
      <c r="U16" s="36"/>
      <c r="V16" s="37"/>
      <c r="W16" s="35"/>
      <c r="X16" s="38"/>
      <c r="Y16" s="36"/>
      <c r="Z16" s="37"/>
      <c r="AA16" s="35"/>
      <c r="AB16" s="38"/>
      <c r="AC16" s="38"/>
      <c r="AD16" s="36"/>
      <c r="AE16" s="158"/>
      <c r="AF16" s="35"/>
      <c r="AG16" s="38"/>
      <c r="AH16" s="36"/>
      <c r="AI16" s="37"/>
      <c r="AJ16" s="35"/>
      <c r="AK16" s="38"/>
      <c r="AL16" s="36"/>
      <c r="AM16" s="37"/>
      <c r="AN16" s="35"/>
      <c r="AO16" s="38"/>
      <c r="AP16" s="38"/>
      <c r="AQ16" s="36"/>
      <c r="AR16" s="37"/>
      <c r="AS16" s="35"/>
      <c r="AT16" s="38"/>
      <c r="AU16" s="36"/>
      <c r="AV16" s="37"/>
      <c r="AW16" s="35"/>
      <c r="AX16" s="38"/>
      <c r="AY16" s="36"/>
      <c r="AZ16" s="37"/>
      <c r="BA16" s="35"/>
      <c r="BB16" s="38"/>
      <c r="BC16" s="38"/>
      <c r="BD16" s="36"/>
      <c r="BE16" s="37"/>
      <c r="BF16" s="29"/>
      <c r="BG16" s="29"/>
      <c r="BH16" s="30"/>
      <c r="BI16" s="31"/>
      <c r="BJ16" s="133"/>
      <c r="BK16" s="30"/>
      <c r="BL16" s="31"/>
    </row>
    <row r="17" spans="2:64" s="15" customFormat="1" ht="18" customHeight="1" x14ac:dyDescent="0.25">
      <c r="B17" s="106" t="s">
        <v>68</v>
      </c>
      <c r="C17" s="27"/>
      <c r="D17" s="27"/>
      <c r="E17" s="28"/>
      <c r="F17" s="35"/>
      <c r="G17" s="38"/>
      <c r="H17" s="36"/>
      <c r="I17" s="37"/>
      <c r="J17" s="35"/>
      <c r="K17" s="38"/>
      <c r="L17" s="36"/>
      <c r="M17" s="37"/>
      <c r="N17" s="35"/>
      <c r="O17" s="38"/>
      <c r="P17" s="38"/>
      <c r="Q17" s="36"/>
      <c r="R17" s="37"/>
      <c r="S17" s="35"/>
      <c r="T17" s="38"/>
      <c r="U17" s="36"/>
      <c r="V17" s="37"/>
      <c r="W17" s="35"/>
      <c r="X17" s="38"/>
      <c r="Y17" s="36"/>
      <c r="Z17" s="37"/>
      <c r="AA17" s="35"/>
      <c r="AB17" s="38"/>
      <c r="AC17" s="38"/>
      <c r="AD17" s="36"/>
      <c r="AE17" s="158"/>
      <c r="AF17" s="35"/>
      <c r="AG17" s="38"/>
      <c r="AH17" s="36"/>
      <c r="AI17" s="37"/>
      <c r="AJ17" s="35"/>
      <c r="AK17" s="38"/>
      <c r="AL17" s="36"/>
      <c r="AM17" s="37"/>
      <c r="AN17" s="35"/>
      <c r="AO17" s="38"/>
      <c r="AP17" s="38"/>
      <c r="AQ17" s="36"/>
      <c r="AR17" s="37"/>
      <c r="AS17" s="35"/>
      <c r="AT17" s="38"/>
      <c r="AU17" s="36"/>
      <c r="AV17" s="37"/>
      <c r="AW17" s="35"/>
      <c r="AX17" s="38"/>
      <c r="AY17" s="36"/>
      <c r="AZ17" s="37"/>
      <c r="BA17" s="35"/>
      <c r="BB17" s="38"/>
      <c r="BC17" s="38"/>
      <c r="BD17" s="36"/>
      <c r="BE17" s="37"/>
      <c r="BF17" s="29"/>
      <c r="BG17" s="29"/>
      <c r="BH17" s="30"/>
      <c r="BI17" s="31"/>
      <c r="BJ17" s="134"/>
      <c r="BK17" s="32"/>
      <c r="BL17" s="31"/>
    </row>
    <row r="18" spans="2:64" s="15" customFormat="1" ht="18" customHeight="1" x14ac:dyDescent="0.25">
      <c r="B18" s="148" t="s">
        <v>56</v>
      </c>
      <c r="C18" s="27" t="s">
        <v>52</v>
      </c>
      <c r="D18" s="27" t="s">
        <v>55</v>
      </c>
      <c r="E18" s="34" t="s">
        <v>54</v>
      </c>
      <c r="F18" s="35">
        <v>8</v>
      </c>
      <c r="G18" s="38">
        <v>5</v>
      </c>
      <c r="H18" s="36"/>
      <c r="I18" s="37"/>
      <c r="J18" s="35"/>
      <c r="K18" s="38"/>
      <c r="L18" s="36"/>
      <c r="M18" s="37"/>
      <c r="N18" s="35">
        <v>8</v>
      </c>
      <c r="O18" s="38">
        <v>5</v>
      </c>
      <c r="P18" s="38"/>
      <c r="Q18" s="36"/>
      <c r="R18" s="37"/>
      <c r="S18" s="35">
        <v>10</v>
      </c>
      <c r="T18" s="38">
        <v>5</v>
      </c>
      <c r="U18" s="36"/>
      <c r="V18" s="37"/>
      <c r="W18" s="35">
        <v>10</v>
      </c>
      <c r="X18" s="38">
        <v>5</v>
      </c>
      <c r="Y18" s="36"/>
      <c r="Z18" s="37"/>
      <c r="AA18" s="35"/>
      <c r="AB18" s="38"/>
      <c r="AC18" s="38"/>
      <c r="AD18" s="36"/>
      <c r="AE18" s="158"/>
      <c r="AF18" s="35"/>
      <c r="AG18" s="38"/>
      <c r="AH18" s="36"/>
      <c r="AI18" s="37"/>
      <c r="AJ18" s="35">
        <v>8</v>
      </c>
      <c r="AK18" s="38">
        <v>5</v>
      </c>
      <c r="AL18" s="36"/>
      <c r="AM18" s="37"/>
      <c r="AN18" s="35"/>
      <c r="AO18" s="38"/>
      <c r="AP18" s="38"/>
      <c r="AQ18" s="36"/>
      <c r="AR18" s="37"/>
      <c r="AS18" s="35"/>
      <c r="AT18" s="38"/>
      <c r="AU18" s="36"/>
      <c r="AV18" s="37"/>
      <c r="AW18" s="35">
        <v>8</v>
      </c>
      <c r="AX18" s="38">
        <v>5</v>
      </c>
      <c r="AY18" s="36"/>
      <c r="AZ18" s="37"/>
      <c r="BA18" s="35">
        <v>8</v>
      </c>
      <c r="BB18" s="38">
        <v>5</v>
      </c>
      <c r="BC18" s="38"/>
      <c r="BD18" s="36"/>
      <c r="BE18" s="37"/>
      <c r="BF18" s="29">
        <v>1</v>
      </c>
      <c r="BG18" s="29">
        <f>SUM(F18:BE18)*BF18</f>
        <v>95</v>
      </c>
      <c r="BH18" s="30">
        <v>70</v>
      </c>
      <c r="BI18" s="31">
        <f>BH18*BG18/BF18</f>
        <v>6650</v>
      </c>
      <c r="BJ18" s="133"/>
      <c r="BK18" s="30">
        <v>108</v>
      </c>
      <c r="BL18" s="31">
        <f>BK18*BG18/BF18</f>
        <v>10260</v>
      </c>
    </row>
    <row r="19" spans="2:64" s="15" customFormat="1" ht="18" customHeight="1" x14ac:dyDescent="0.25">
      <c r="B19" s="148" t="s">
        <v>57</v>
      </c>
      <c r="C19" s="27" t="s">
        <v>52</v>
      </c>
      <c r="D19" s="27" t="s">
        <v>55</v>
      </c>
      <c r="E19" s="34" t="s">
        <v>73</v>
      </c>
      <c r="F19" s="35">
        <v>3</v>
      </c>
      <c r="G19" s="38">
        <v>2</v>
      </c>
      <c r="H19" s="36"/>
      <c r="I19" s="152"/>
      <c r="J19" s="35"/>
      <c r="K19" s="38"/>
      <c r="L19" s="151"/>
      <c r="M19" s="152"/>
      <c r="N19" s="35">
        <v>3</v>
      </c>
      <c r="O19" s="38">
        <v>2</v>
      </c>
      <c r="P19" s="150"/>
      <c r="Q19" s="151"/>
      <c r="R19" s="152"/>
      <c r="S19" s="35">
        <v>3</v>
      </c>
      <c r="T19" s="38">
        <v>2</v>
      </c>
      <c r="U19" s="151"/>
      <c r="V19" s="152"/>
      <c r="W19" s="35">
        <v>3</v>
      </c>
      <c r="X19" s="38">
        <v>2</v>
      </c>
      <c r="Y19" s="151"/>
      <c r="Z19" s="152"/>
      <c r="AA19" s="149"/>
      <c r="AB19" s="150"/>
      <c r="AC19" s="150"/>
      <c r="AD19" s="151"/>
      <c r="AE19" s="157"/>
      <c r="AF19" s="149"/>
      <c r="AG19" s="150"/>
      <c r="AH19" s="151"/>
      <c r="AI19" s="152"/>
      <c r="AJ19" s="35">
        <v>3</v>
      </c>
      <c r="AK19" s="38">
        <v>2</v>
      </c>
      <c r="AL19" s="151"/>
      <c r="AM19" s="152"/>
      <c r="AN19" s="35"/>
      <c r="AO19" s="38"/>
      <c r="AP19" s="150"/>
      <c r="AQ19" s="36"/>
      <c r="AR19" s="37"/>
      <c r="AS19" s="35"/>
      <c r="AT19" s="38"/>
      <c r="AU19" s="36"/>
      <c r="AV19" s="37"/>
      <c r="AW19" s="35">
        <v>3</v>
      </c>
      <c r="AX19" s="38">
        <v>2</v>
      </c>
      <c r="AY19" s="36"/>
      <c r="AZ19" s="37"/>
      <c r="BA19" s="35">
        <v>3</v>
      </c>
      <c r="BB19" s="38">
        <v>2</v>
      </c>
      <c r="BC19" s="38"/>
      <c r="BD19" s="36"/>
      <c r="BE19" s="37"/>
      <c r="BF19" s="29">
        <v>1</v>
      </c>
      <c r="BG19" s="29">
        <f>SUM(F19:BE19)*BF19</f>
        <v>35</v>
      </c>
      <c r="BH19" s="164" t="s">
        <v>89</v>
      </c>
      <c r="BI19" s="164" t="s">
        <v>89</v>
      </c>
      <c r="BJ19" s="133"/>
      <c r="BK19" s="30">
        <v>82</v>
      </c>
      <c r="BL19" s="31">
        <f t="shared" ref="BL19:BL27" si="0">BK19*BG19/BF19</f>
        <v>2870</v>
      </c>
    </row>
    <row r="20" spans="2:64" s="15" customFormat="1" ht="17.25" x14ac:dyDescent="0.25">
      <c r="B20" s="159"/>
      <c r="C20" s="27"/>
      <c r="D20" s="27"/>
      <c r="E20" s="28"/>
      <c r="F20" s="35"/>
      <c r="G20" s="38"/>
      <c r="H20" s="36"/>
      <c r="I20" s="37"/>
      <c r="J20" s="35"/>
      <c r="K20" s="38"/>
      <c r="L20" s="36"/>
      <c r="M20" s="37"/>
      <c r="N20" s="35"/>
      <c r="O20" s="38"/>
      <c r="P20" s="38"/>
      <c r="Q20" s="36"/>
      <c r="R20" s="37"/>
      <c r="S20" s="35"/>
      <c r="T20" s="38"/>
      <c r="U20" s="36"/>
      <c r="V20" s="37"/>
      <c r="W20" s="35"/>
      <c r="X20" s="38"/>
      <c r="Y20" s="36"/>
      <c r="Z20" s="37"/>
      <c r="AA20" s="35"/>
      <c r="AB20" s="38"/>
      <c r="AC20" s="38"/>
      <c r="AD20" s="36"/>
      <c r="AE20" s="158"/>
      <c r="AF20" s="35"/>
      <c r="AG20" s="38"/>
      <c r="AH20" s="36"/>
      <c r="AI20" s="37"/>
      <c r="AJ20" s="35"/>
      <c r="AK20" s="38"/>
      <c r="AL20" s="36"/>
      <c r="AM20" s="37"/>
      <c r="AN20" s="35"/>
      <c r="AO20" s="38"/>
      <c r="AP20" s="38"/>
      <c r="AQ20" s="36"/>
      <c r="AR20" s="37"/>
      <c r="AS20" s="35"/>
      <c r="AT20" s="38"/>
      <c r="AU20" s="36"/>
      <c r="AV20" s="37"/>
      <c r="AW20" s="35"/>
      <c r="AX20" s="38"/>
      <c r="AY20" s="36"/>
      <c r="AZ20" s="37"/>
      <c r="BA20" s="35"/>
      <c r="BB20" s="38"/>
      <c r="BC20" s="38"/>
      <c r="BD20" s="36"/>
      <c r="BE20" s="37"/>
      <c r="BF20" s="165"/>
      <c r="BG20" s="29"/>
      <c r="BH20" s="30"/>
      <c r="BI20" s="31"/>
      <c r="BJ20" s="160"/>
      <c r="BK20" s="31"/>
      <c r="BL20" s="31"/>
    </row>
    <row r="21" spans="2:64" s="15" customFormat="1" ht="18" hidden="1" customHeight="1" x14ac:dyDescent="0.25">
      <c r="B21" s="106" t="s">
        <v>69</v>
      </c>
      <c r="C21" s="27"/>
      <c r="D21" s="27"/>
      <c r="E21" s="28"/>
      <c r="F21" s="114"/>
      <c r="G21" s="117"/>
      <c r="H21" s="115"/>
      <c r="I21" s="116"/>
      <c r="J21" s="114"/>
      <c r="K21" s="117"/>
      <c r="L21" s="115"/>
      <c r="M21" s="116"/>
      <c r="N21" s="114"/>
      <c r="O21" s="117"/>
      <c r="P21" s="117"/>
      <c r="Q21" s="115"/>
      <c r="R21" s="116"/>
      <c r="S21" s="114"/>
      <c r="T21" s="117"/>
      <c r="U21" s="115"/>
      <c r="V21" s="116"/>
      <c r="W21" s="114"/>
      <c r="X21" s="117"/>
      <c r="Y21" s="115"/>
      <c r="Z21" s="116"/>
      <c r="AA21" s="114"/>
      <c r="AB21" s="117"/>
      <c r="AC21" s="117"/>
      <c r="AD21" s="115"/>
      <c r="AE21" s="156"/>
      <c r="AF21" s="114"/>
      <c r="AG21" s="117"/>
      <c r="AH21" s="115"/>
      <c r="AI21" s="116"/>
      <c r="AJ21" s="114"/>
      <c r="AK21" s="117"/>
      <c r="AL21" s="115"/>
      <c r="AM21" s="116"/>
      <c r="AN21" s="114"/>
      <c r="AO21" s="117"/>
      <c r="AP21" s="117"/>
      <c r="AQ21" s="115"/>
      <c r="AR21" s="116"/>
      <c r="AS21" s="114"/>
      <c r="AT21" s="117"/>
      <c r="AU21" s="115"/>
      <c r="AV21" s="116"/>
      <c r="AW21" s="114"/>
      <c r="AX21" s="117"/>
      <c r="AY21" s="115"/>
      <c r="AZ21" s="116"/>
      <c r="BA21" s="114"/>
      <c r="BB21" s="117"/>
      <c r="BC21" s="117"/>
      <c r="BD21" s="115"/>
      <c r="BE21" s="116"/>
      <c r="BF21" s="29"/>
      <c r="BG21" s="29"/>
      <c r="BH21" s="30"/>
      <c r="BI21" s="31"/>
      <c r="BJ21" s="134"/>
      <c r="BK21" s="32"/>
      <c r="BL21" s="31"/>
    </row>
    <row r="22" spans="2:64" s="15" customFormat="1" ht="18" hidden="1" customHeight="1" x14ac:dyDescent="0.25">
      <c r="B22" s="148" t="s">
        <v>56</v>
      </c>
      <c r="C22" s="27" t="s">
        <v>52</v>
      </c>
      <c r="D22" s="27" t="s">
        <v>55</v>
      </c>
      <c r="E22" s="34" t="s">
        <v>54</v>
      </c>
      <c r="F22" s="35"/>
      <c r="G22" s="38"/>
      <c r="H22" s="36"/>
      <c r="I22" s="37"/>
      <c r="J22" s="35"/>
      <c r="K22" s="38"/>
      <c r="L22" s="36"/>
      <c r="M22" s="37"/>
      <c r="N22" s="35"/>
      <c r="O22" s="38"/>
      <c r="P22" s="38"/>
      <c r="Q22" s="36"/>
      <c r="R22" s="37"/>
      <c r="S22" s="35"/>
      <c r="T22" s="38"/>
      <c r="U22" s="36"/>
      <c r="V22" s="37"/>
      <c r="W22" s="35"/>
      <c r="X22" s="38"/>
      <c r="Y22" s="36"/>
      <c r="Z22" s="37"/>
      <c r="AA22" s="35"/>
      <c r="AB22" s="38"/>
      <c r="AC22" s="38"/>
      <c r="AD22" s="36"/>
      <c r="AE22" s="158"/>
      <c r="AF22" s="35"/>
      <c r="AG22" s="38"/>
      <c r="AH22" s="36"/>
      <c r="AI22" s="37"/>
      <c r="AJ22" s="35"/>
      <c r="AK22" s="38"/>
      <c r="AL22" s="36"/>
      <c r="AM22" s="37"/>
      <c r="AN22" s="35"/>
      <c r="AO22" s="38"/>
      <c r="AP22" s="38"/>
      <c r="AQ22" s="36"/>
      <c r="AR22" s="37"/>
      <c r="AS22" s="35"/>
      <c r="AT22" s="38"/>
      <c r="AU22" s="36"/>
      <c r="AV22" s="37"/>
      <c r="AW22" s="35"/>
      <c r="AX22" s="38"/>
      <c r="AY22" s="36"/>
      <c r="AZ22" s="37"/>
      <c r="BA22" s="35"/>
      <c r="BB22" s="38"/>
      <c r="BC22" s="38"/>
      <c r="BD22" s="36"/>
      <c r="BE22" s="37"/>
      <c r="BF22" s="29">
        <v>1</v>
      </c>
      <c r="BG22" s="29">
        <f>SUM(F22:BE22)*BF22</f>
        <v>0</v>
      </c>
      <c r="BH22" s="30">
        <v>66</v>
      </c>
      <c r="BI22" s="31">
        <f>BH22*BG22/BF22</f>
        <v>0</v>
      </c>
      <c r="BJ22" s="133"/>
      <c r="BK22" s="30">
        <v>99</v>
      </c>
      <c r="BL22" s="31">
        <f t="shared" si="0"/>
        <v>0</v>
      </c>
    </row>
    <row r="23" spans="2:64" s="15" customFormat="1" ht="18" hidden="1" customHeight="1" x14ac:dyDescent="0.25">
      <c r="B23" s="148" t="s">
        <v>57</v>
      </c>
      <c r="C23" s="27" t="s">
        <v>52</v>
      </c>
      <c r="D23" s="27" t="s">
        <v>55</v>
      </c>
      <c r="E23" s="34" t="s">
        <v>73</v>
      </c>
      <c r="F23" s="35"/>
      <c r="G23" s="38"/>
      <c r="H23" s="36"/>
      <c r="I23" s="152"/>
      <c r="J23" s="35"/>
      <c r="K23" s="38"/>
      <c r="L23" s="151"/>
      <c r="M23" s="152"/>
      <c r="N23" s="35"/>
      <c r="O23" s="38"/>
      <c r="P23" s="150"/>
      <c r="Q23" s="151"/>
      <c r="R23" s="152"/>
      <c r="S23" s="35"/>
      <c r="T23" s="38"/>
      <c r="U23" s="151"/>
      <c r="V23" s="152"/>
      <c r="W23" s="35"/>
      <c r="X23" s="38"/>
      <c r="Y23" s="151"/>
      <c r="Z23" s="152"/>
      <c r="AA23" s="149"/>
      <c r="AB23" s="150"/>
      <c r="AC23" s="150"/>
      <c r="AD23" s="151"/>
      <c r="AE23" s="157"/>
      <c r="AF23" s="149"/>
      <c r="AG23" s="150"/>
      <c r="AH23" s="151"/>
      <c r="AI23" s="152"/>
      <c r="AJ23" s="35"/>
      <c r="AK23" s="38"/>
      <c r="AL23" s="151"/>
      <c r="AM23" s="152"/>
      <c r="AN23" s="35"/>
      <c r="AO23" s="38"/>
      <c r="AP23" s="150"/>
      <c r="AQ23" s="151"/>
      <c r="AR23" s="152"/>
      <c r="AS23" s="35"/>
      <c r="AT23" s="38"/>
      <c r="AU23" s="151"/>
      <c r="AV23" s="152"/>
      <c r="AW23" s="35"/>
      <c r="AX23" s="38"/>
      <c r="AY23" s="151"/>
      <c r="AZ23" s="152"/>
      <c r="BA23" s="35"/>
      <c r="BB23" s="38"/>
      <c r="BC23" s="150"/>
      <c r="BD23" s="151"/>
      <c r="BE23" s="152"/>
      <c r="BF23" s="29">
        <v>1</v>
      </c>
      <c r="BG23" s="29">
        <f>SUM(F23:BE23)*BF23</f>
        <v>0</v>
      </c>
      <c r="BH23" s="164" t="s">
        <v>89</v>
      </c>
      <c r="BI23" s="164" t="s">
        <v>89</v>
      </c>
      <c r="BJ23" s="133"/>
      <c r="BK23" s="30">
        <v>77</v>
      </c>
      <c r="BL23" s="31">
        <f t="shared" si="0"/>
        <v>0</v>
      </c>
    </row>
    <row r="24" spans="2:64" s="15" customFormat="1" ht="18" hidden="1" customHeight="1" x14ac:dyDescent="0.25">
      <c r="B24" s="33"/>
      <c r="C24" s="27"/>
      <c r="D24" s="27"/>
      <c r="E24" s="34"/>
      <c r="F24" s="35"/>
      <c r="G24" s="38"/>
      <c r="H24" s="36"/>
      <c r="I24" s="37"/>
      <c r="J24" s="35"/>
      <c r="K24" s="38"/>
      <c r="L24" s="36"/>
      <c r="M24" s="37"/>
      <c r="N24" s="35"/>
      <c r="O24" s="38"/>
      <c r="P24" s="38"/>
      <c r="Q24" s="36"/>
      <c r="R24" s="37"/>
      <c r="S24" s="35"/>
      <c r="T24" s="38"/>
      <c r="U24" s="36"/>
      <c r="V24" s="37"/>
      <c r="W24" s="35"/>
      <c r="X24" s="38"/>
      <c r="Y24" s="36"/>
      <c r="Z24" s="37"/>
      <c r="AA24" s="35"/>
      <c r="AB24" s="38"/>
      <c r="AC24" s="38"/>
      <c r="AD24" s="36"/>
      <c r="AE24" s="158"/>
      <c r="AF24" s="35"/>
      <c r="AG24" s="38"/>
      <c r="AH24" s="36"/>
      <c r="AI24" s="37"/>
      <c r="AJ24" s="35"/>
      <c r="AK24" s="38"/>
      <c r="AL24" s="36"/>
      <c r="AM24" s="37"/>
      <c r="AN24" s="35"/>
      <c r="AO24" s="38"/>
      <c r="AP24" s="38"/>
      <c r="AQ24" s="36"/>
      <c r="AR24" s="37"/>
      <c r="AS24" s="35"/>
      <c r="AT24" s="38"/>
      <c r="AU24" s="36"/>
      <c r="AV24" s="37"/>
      <c r="AW24" s="35"/>
      <c r="AX24" s="38"/>
      <c r="AY24" s="36"/>
      <c r="AZ24" s="37"/>
      <c r="BA24" s="35"/>
      <c r="BB24" s="38"/>
      <c r="BC24" s="38"/>
      <c r="BD24" s="36"/>
      <c r="BE24" s="37"/>
      <c r="BF24" s="29"/>
      <c r="BG24" s="29"/>
      <c r="BH24" s="30"/>
      <c r="BI24" s="31"/>
      <c r="BJ24" s="133"/>
      <c r="BK24" s="30"/>
      <c r="BL24" s="31"/>
    </row>
    <row r="25" spans="2:64" s="15" customFormat="1" ht="18" customHeight="1" x14ac:dyDescent="0.25">
      <c r="B25" s="106" t="s">
        <v>70</v>
      </c>
      <c r="C25" s="27"/>
      <c r="D25" s="27"/>
      <c r="E25" s="28"/>
      <c r="F25" s="114"/>
      <c r="G25" s="117"/>
      <c r="H25" s="115"/>
      <c r="I25" s="116"/>
      <c r="J25" s="114"/>
      <c r="K25" s="117"/>
      <c r="L25" s="115"/>
      <c r="M25" s="116"/>
      <c r="N25" s="114"/>
      <c r="O25" s="117"/>
      <c r="P25" s="117"/>
      <c r="Q25" s="115"/>
      <c r="R25" s="116"/>
      <c r="S25" s="114"/>
      <c r="T25" s="117"/>
      <c r="U25" s="115"/>
      <c r="V25" s="116"/>
      <c r="W25" s="114"/>
      <c r="X25" s="117"/>
      <c r="Y25" s="115"/>
      <c r="Z25" s="116"/>
      <c r="AA25" s="114"/>
      <c r="AB25" s="117"/>
      <c r="AC25" s="117"/>
      <c r="AD25" s="115"/>
      <c r="AE25" s="156"/>
      <c r="AF25" s="114"/>
      <c r="AG25" s="117"/>
      <c r="AH25" s="115"/>
      <c r="AI25" s="116"/>
      <c r="AJ25" s="114"/>
      <c r="AK25" s="117"/>
      <c r="AL25" s="115"/>
      <c r="AM25" s="116"/>
      <c r="AN25" s="114"/>
      <c r="AO25" s="117"/>
      <c r="AP25" s="117"/>
      <c r="AQ25" s="115"/>
      <c r="AR25" s="116"/>
      <c r="AS25" s="114"/>
      <c r="AT25" s="117"/>
      <c r="AU25" s="115"/>
      <c r="AV25" s="116"/>
      <c r="AW25" s="114"/>
      <c r="AX25" s="117"/>
      <c r="AY25" s="115"/>
      <c r="AZ25" s="116"/>
      <c r="BA25" s="114"/>
      <c r="BB25" s="117"/>
      <c r="BC25" s="117"/>
      <c r="BD25" s="115"/>
      <c r="BE25" s="116"/>
      <c r="BF25" s="29"/>
      <c r="BG25" s="29"/>
      <c r="BH25" s="30"/>
      <c r="BI25" s="31"/>
      <c r="BJ25" s="134"/>
      <c r="BK25" s="32"/>
      <c r="BL25" s="31"/>
    </row>
    <row r="26" spans="2:64" s="15" customFormat="1" ht="18" customHeight="1" x14ac:dyDescent="0.25">
      <c r="B26" s="148" t="s">
        <v>56</v>
      </c>
      <c r="C26" s="27" t="s">
        <v>52</v>
      </c>
      <c r="D26" s="27" t="s">
        <v>55</v>
      </c>
      <c r="E26" s="34" t="s">
        <v>54</v>
      </c>
      <c r="F26" s="35">
        <v>8</v>
      </c>
      <c r="G26" s="38">
        <v>5</v>
      </c>
      <c r="H26" s="36"/>
      <c r="I26" s="37"/>
      <c r="J26" s="35"/>
      <c r="K26" s="38"/>
      <c r="L26" s="36"/>
      <c r="M26" s="37"/>
      <c r="N26" s="35">
        <v>8</v>
      </c>
      <c r="O26" s="38">
        <v>5</v>
      </c>
      <c r="P26" s="38"/>
      <c r="Q26" s="36"/>
      <c r="R26" s="37"/>
      <c r="S26" s="35">
        <v>10</v>
      </c>
      <c r="T26" s="38">
        <v>5</v>
      </c>
      <c r="U26" s="36"/>
      <c r="V26" s="37"/>
      <c r="W26" s="35">
        <v>10</v>
      </c>
      <c r="X26" s="38">
        <v>5</v>
      </c>
      <c r="Y26" s="36"/>
      <c r="Z26" s="37"/>
      <c r="AA26" s="35"/>
      <c r="AB26" s="38"/>
      <c r="AC26" s="38"/>
      <c r="AD26" s="36"/>
      <c r="AE26" s="158"/>
      <c r="AF26" s="35"/>
      <c r="AG26" s="38"/>
      <c r="AH26" s="36"/>
      <c r="AI26" s="37"/>
      <c r="AJ26" s="35">
        <v>8</v>
      </c>
      <c r="AK26" s="38">
        <v>5</v>
      </c>
      <c r="AL26" s="36"/>
      <c r="AM26" s="37"/>
      <c r="AN26" s="35"/>
      <c r="AO26" s="38"/>
      <c r="AP26" s="38"/>
      <c r="AQ26" s="36"/>
      <c r="AR26" s="37"/>
      <c r="AS26" s="35"/>
      <c r="AT26" s="38"/>
      <c r="AU26" s="36"/>
      <c r="AV26" s="37"/>
      <c r="AW26" s="35">
        <v>8</v>
      </c>
      <c r="AX26" s="38">
        <v>5</v>
      </c>
      <c r="AY26" s="36"/>
      <c r="AZ26" s="37"/>
      <c r="BA26" s="35">
        <v>8</v>
      </c>
      <c r="BB26" s="38">
        <v>5</v>
      </c>
      <c r="BC26" s="38"/>
      <c r="BD26" s="36"/>
      <c r="BE26" s="37"/>
      <c r="BF26" s="29">
        <v>1</v>
      </c>
      <c r="BG26" s="29">
        <f>SUM(F26:BE26)*BF26</f>
        <v>95</v>
      </c>
      <c r="BH26" s="30">
        <v>72</v>
      </c>
      <c r="BI26" s="31">
        <f>BH26*BG26/BF26</f>
        <v>6840</v>
      </c>
      <c r="BJ26" s="133"/>
      <c r="BK26" s="30">
        <v>106</v>
      </c>
      <c r="BL26" s="31">
        <f t="shared" si="0"/>
        <v>10070</v>
      </c>
    </row>
    <row r="27" spans="2:64" s="15" customFormat="1" ht="18" customHeight="1" x14ac:dyDescent="0.25">
      <c r="B27" s="148" t="s">
        <v>57</v>
      </c>
      <c r="C27" s="27" t="s">
        <v>52</v>
      </c>
      <c r="D27" s="27" t="s">
        <v>55</v>
      </c>
      <c r="E27" s="34" t="s">
        <v>73</v>
      </c>
      <c r="F27" s="35">
        <v>3</v>
      </c>
      <c r="G27" s="38">
        <v>2</v>
      </c>
      <c r="H27" s="36"/>
      <c r="I27" s="152"/>
      <c r="J27" s="35"/>
      <c r="K27" s="38"/>
      <c r="L27" s="151"/>
      <c r="M27" s="152"/>
      <c r="N27" s="35">
        <v>3</v>
      </c>
      <c r="O27" s="38">
        <v>2</v>
      </c>
      <c r="P27" s="150"/>
      <c r="Q27" s="151"/>
      <c r="R27" s="152"/>
      <c r="S27" s="35">
        <v>3</v>
      </c>
      <c r="T27" s="38">
        <v>2</v>
      </c>
      <c r="U27" s="151"/>
      <c r="V27" s="152"/>
      <c r="W27" s="35">
        <v>3</v>
      </c>
      <c r="X27" s="38">
        <v>2</v>
      </c>
      <c r="Y27" s="151"/>
      <c r="Z27" s="152"/>
      <c r="AA27" s="149"/>
      <c r="AB27" s="150"/>
      <c r="AC27" s="150"/>
      <c r="AD27" s="151"/>
      <c r="AE27" s="157"/>
      <c r="AF27" s="149"/>
      <c r="AG27" s="150"/>
      <c r="AH27" s="151"/>
      <c r="AI27" s="152"/>
      <c r="AJ27" s="35">
        <v>3</v>
      </c>
      <c r="AK27" s="38">
        <v>2</v>
      </c>
      <c r="AL27" s="151"/>
      <c r="AM27" s="152"/>
      <c r="AN27" s="35"/>
      <c r="AO27" s="38"/>
      <c r="AP27" s="150"/>
      <c r="AQ27" s="115"/>
      <c r="AR27" s="116"/>
      <c r="AS27" s="35"/>
      <c r="AT27" s="38"/>
      <c r="AU27" s="115"/>
      <c r="AV27" s="116"/>
      <c r="AW27" s="35">
        <v>3</v>
      </c>
      <c r="AX27" s="38">
        <v>2</v>
      </c>
      <c r="AY27" s="115"/>
      <c r="AZ27" s="116"/>
      <c r="BA27" s="35">
        <v>3</v>
      </c>
      <c r="BB27" s="38">
        <v>2</v>
      </c>
      <c r="BC27" s="117"/>
      <c r="BD27" s="115"/>
      <c r="BE27" s="116"/>
      <c r="BF27" s="29">
        <v>1</v>
      </c>
      <c r="BG27" s="29">
        <f>SUM(F27:BE27)*BF27</f>
        <v>35</v>
      </c>
      <c r="BH27" s="164" t="s">
        <v>89</v>
      </c>
      <c r="BI27" s="164" t="s">
        <v>89</v>
      </c>
      <c r="BJ27" s="133"/>
      <c r="BK27" s="30">
        <v>84</v>
      </c>
      <c r="BL27" s="31">
        <f t="shared" si="0"/>
        <v>2940</v>
      </c>
    </row>
    <row r="28" spans="2:64" s="15" customFormat="1" ht="18" customHeight="1" x14ac:dyDescent="0.25">
      <c r="B28" s="33"/>
      <c r="C28" s="27"/>
      <c r="D28" s="27"/>
      <c r="E28" s="28"/>
      <c r="F28" s="114"/>
      <c r="G28" s="117"/>
      <c r="H28" s="115"/>
      <c r="I28" s="116"/>
      <c r="J28" s="114"/>
      <c r="K28" s="117"/>
      <c r="L28" s="115"/>
      <c r="M28" s="116"/>
      <c r="N28" s="114"/>
      <c r="O28" s="117"/>
      <c r="P28" s="117"/>
      <c r="Q28" s="115"/>
      <c r="R28" s="116"/>
      <c r="S28" s="114"/>
      <c r="T28" s="117"/>
      <c r="U28" s="115"/>
      <c r="V28" s="116"/>
      <c r="W28" s="114"/>
      <c r="X28" s="117"/>
      <c r="Y28" s="115"/>
      <c r="Z28" s="116"/>
      <c r="AA28" s="114"/>
      <c r="AB28" s="117"/>
      <c r="AC28" s="117"/>
      <c r="AD28" s="115"/>
      <c r="AE28" s="156"/>
      <c r="AF28" s="114"/>
      <c r="AG28" s="117"/>
      <c r="AH28" s="115"/>
      <c r="AI28" s="116"/>
      <c r="AJ28" s="117"/>
      <c r="AK28" s="117"/>
      <c r="AL28" s="115"/>
      <c r="AM28" s="116"/>
      <c r="AN28" s="114"/>
      <c r="AO28" s="117"/>
      <c r="AP28" s="117"/>
      <c r="AQ28" s="115"/>
      <c r="AR28" s="116"/>
      <c r="AS28" s="114"/>
      <c r="AT28" s="117"/>
      <c r="AU28" s="115"/>
      <c r="AV28" s="116"/>
      <c r="AW28" s="117"/>
      <c r="AX28" s="117"/>
      <c r="AY28" s="115"/>
      <c r="AZ28" s="116"/>
      <c r="BA28" s="117"/>
      <c r="BB28" s="117"/>
      <c r="BC28" s="117"/>
      <c r="BD28" s="115"/>
      <c r="BE28" s="116"/>
      <c r="BF28" s="29"/>
      <c r="BG28" s="29"/>
      <c r="BH28" s="30"/>
      <c r="BI28" s="31"/>
      <c r="BJ28" s="134"/>
      <c r="BK28" s="30"/>
      <c r="BL28" s="31"/>
    </row>
    <row r="29" spans="2:64" s="15" customFormat="1" ht="18" hidden="1" customHeight="1" x14ac:dyDescent="0.25">
      <c r="B29" s="21" t="s">
        <v>64</v>
      </c>
      <c r="C29" s="22"/>
      <c r="D29" s="22"/>
      <c r="E29" s="128"/>
      <c r="F29" s="23"/>
      <c r="G29" s="24"/>
      <c r="H29" s="24"/>
      <c r="I29" s="25"/>
      <c r="J29" s="23"/>
      <c r="K29" s="24"/>
      <c r="L29" s="24"/>
      <c r="M29" s="25"/>
      <c r="N29" s="23"/>
      <c r="O29" s="24"/>
      <c r="P29" s="24"/>
      <c r="Q29" s="24"/>
      <c r="R29" s="25"/>
      <c r="S29" s="23"/>
      <c r="T29" s="24"/>
      <c r="U29" s="24"/>
      <c r="V29" s="25"/>
      <c r="W29" s="23"/>
      <c r="X29" s="24"/>
      <c r="Y29" s="24"/>
      <c r="Z29" s="25"/>
      <c r="AA29" s="23"/>
      <c r="AB29" s="24"/>
      <c r="AC29" s="24"/>
      <c r="AD29" s="24"/>
      <c r="AE29" s="24"/>
      <c r="AF29" s="23"/>
      <c r="AG29" s="24"/>
      <c r="AH29" s="24"/>
      <c r="AI29" s="25"/>
      <c r="AJ29" s="24"/>
      <c r="AK29" s="24"/>
      <c r="AL29" s="24"/>
      <c r="AM29" s="25"/>
      <c r="AN29" s="23"/>
      <c r="AO29" s="24"/>
      <c r="AP29" s="24"/>
      <c r="AQ29" s="24"/>
      <c r="AR29" s="25"/>
      <c r="AS29" s="23"/>
      <c r="AT29" s="24"/>
      <c r="AU29" s="24"/>
      <c r="AV29" s="25"/>
      <c r="AW29" s="24"/>
      <c r="AX29" s="24"/>
      <c r="AY29" s="24"/>
      <c r="AZ29" s="25"/>
      <c r="BA29" s="24"/>
      <c r="BB29" s="24"/>
      <c r="BC29" s="24"/>
      <c r="BD29" s="24"/>
      <c r="BE29" s="25"/>
      <c r="BF29" s="44"/>
      <c r="BG29" s="44"/>
      <c r="BH29" s="26"/>
      <c r="BI29" s="45"/>
      <c r="BJ29" s="133"/>
      <c r="BK29" s="26"/>
      <c r="BL29" s="45"/>
    </row>
    <row r="30" spans="2:64" s="15" customFormat="1" ht="17.25" hidden="1" customHeight="1" x14ac:dyDescent="0.25">
      <c r="B30" s="161" t="s">
        <v>65</v>
      </c>
      <c r="C30" s="39"/>
      <c r="D30" s="39"/>
      <c r="E30" s="40"/>
      <c r="F30" s="154"/>
      <c r="G30" s="153"/>
      <c r="H30" s="153"/>
      <c r="I30" s="155"/>
      <c r="J30" s="154"/>
      <c r="K30" s="153"/>
      <c r="L30" s="153"/>
      <c r="M30" s="155"/>
      <c r="N30" s="154"/>
      <c r="O30" s="153"/>
      <c r="P30" s="153"/>
      <c r="Q30" s="153"/>
      <c r="R30" s="155"/>
      <c r="S30" s="154"/>
      <c r="T30" s="153"/>
      <c r="U30" s="153"/>
      <c r="V30" s="155"/>
      <c r="W30" s="154"/>
      <c r="X30" s="153"/>
      <c r="Y30" s="153"/>
      <c r="Z30" s="155"/>
      <c r="AA30" s="154"/>
      <c r="AB30" s="153"/>
      <c r="AC30" s="153"/>
      <c r="AD30" s="153"/>
      <c r="AE30" s="153"/>
      <c r="AF30" s="154"/>
      <c r="AG30" s="153"/>
      <c r="AH30" s="153"/>
      <c r="AI30" s="155"/>
      <c r="AJ30" s="153"/>
      <c r="AK30" s="153"/>
      <c r="AL30" s="153"/>
      <c r="AM30" s="153"/>
      <c r="AN30" s="153"/>
      <c r="AO30" s="153"/>
      <c r="AP30" s="153"/>
      <c r="AQ30" s="153"/>
      <c r="AR30" s="153"/>
      <c r="AS30" s="154"/>
      <c r="AT30" s="153"/>
      <c r="AU30" s="153"/>
      <c r="AV30" s="153"/>
      <c r="AW30" s="153"/>
      <c r="AX30" s="153"/>
      <c r="AY30" s="153"/>
      <c r="AZ30" s="153"/>
      <c r="BA30" s="153"/>
      <c r="BB30" s="153"/>
      <c r="BC30" s="153"/>
      <c r="BD30" s="153"/>
      <c r="BE30" s="153"/>
      <c r="BF30" s="41"/>
      <c r="BG30" s="41">
        <f>SUM(BG32:BG42)</f>
        <v>0</v>
      </c>
      <c r="BH30" s="42"/>
      <c r="BI30" s="43">
        <f>SUM(BI32:BI42)</f>
        <v>0</v>
      </c>
      <c r="BJ30" s="133"/>
      <c r="BK30" s="43"/>
      <c r="BL30" s="43">
        <f>SUM(BL32:BL43)</f>
        <v>0</v>
      </c>
    </row>
    <row r="31" spans="2:64" s="15" customFormat="1" ht="18" hidden="1" customHeight="1" x14ac:dyDescent="0.25">
      <c r="B31" s="106" t="s">
        <v>66</v>
      </c>
      <c r="C31" s="27"/>
      <c r="D31" s="27"/>
      <c r="E31" s="28"/>
      <c r="F31" s="114"/>
      <c r="G31" s="117"/>
      <c r="H31" s="115"/>
      <c r="I31" s="116"/>
      <c r="J31" s="114"/>
      <c r="K31" s="117"/>
      <c r="L31" s="115"/>
      <c r="M31" s="116"/>
      <c r="N31" s="114"/>
      <c r="O31" s="117"/>
      <c r="P31" s="117"/>
      <c r="Q31" s="115"/>
      <c r="R31" s="116"/>
      <c r="S31" s="114"/>
      <c r="T31" s="117"/>
      <c r="U31" s="115"/>
      <c r="V31" s="116"/>
      <c r="W31" s="114"/>
      <c r="X31" s="117"/>
      <c r="Y31" s="115"/>
      <c r="Z31" s="116"/>
      <c r="AA31" s="114"/>
      <c r="AB31" s="117"/>
      <c r="AC31" s="117"/>
      <c r="AD31" s="115"/>
      <c r="AE31" s="156"/>
      <c r="AF31" s="114"/>
      <c r="AG31" s="117"/>
      <c r="AH31" s="115"/>
      <c r="AI31" s="116"/>
      <c r="AJ31" s="117"/>
      <c r="AK31" s="117"/>
      <c r="AL31" s="115"/>
      <c r="AM31" s="116"/>
      <c r="AN31" s="114"/>
      <c r="AO31" s="117"/>
      <c r="AP31" s="117"/>
      <c r="AQ31" s="115"/>
      <c r="AR31" s="116"/>
      <c r="AS31" s="114"/>
      <c r="AT31" s="117"/>
      <c r="AU31" s="115"/>
      <c r="AV31" s="116"/>
      <c r="AW31" s="117"/>
      <c r="AX31" s="117"/>
      <c r="AY31" s="115"/>
      <c r="AZ31" s="116"/>
      <c r="BA31" s="117"/>
      <c r="BB31" s="117"/>
      <c r="BC31" s="117"/>
      <c r="BD31" s="115"/>
      <c r="BE31" s="116"/>
      <c r="BF31" s="29"/>
      <c r="BG31" s="29"/>
      <c r="BH31" s="30"/>
      <c r="BI31" s="31"/>
      <c r="BJ31" s="134"/>
      <c r="BK31" s="32"/>
      <c r="BL31" s="31"/>
    </row>
    <row r="32" spans="2:64" s="15" customFormat="1" ht="18" hidden="1" customHeight="1" x14ac:dyDescent="0.25">
      <c r="B32" s="148" t="s">
        <v>56</v>
      </c>
      <c r="C32" s="27" t="s">
        <v>52</v>
      </c>
      <c r="D32" s="27" t="s">
        <v>55</v>
      </c>
      <c r="E32" s="34" t="s">
        <v>54</v>
      </c>
      <c r="F32" s="35"/>
      <c r="G32" s="38"/>
      <c r="H32" s="36"/>
      <c r="I32" s="37"/>
      <c r="J32" s="35"/>
      <c r="K32" s="38"/>
      <c r="L32" s="36"/>
      <c r="M32" s="37"/>
      <c r="N32" s="35"/>
      <c r="O32" s="38"/>
      <c r="P32" s="38"/>
      <c r="Q32" s="36"/>
      <c r="R32" s="37"/>
      <c r="S32" s="35"/>
      <c r="T32" s="38"/>
      <c r="U32" s="36"/>
      <c r="V32" s="37"/>
      <c r="W32" s="35"/>
      <c r="X32" s="38"/>
      <c r="Y32" s="36"/>
      <c r="Z32" s="37"/>
      <c r="AA32" s="35"/>
      <c r="AB32" s="38"/>
      <c r="AC32" s="38"/>
      <c r="AD32" s="36"/>
      <c r="AE32" s="158"/>
      <c r="AF32" s="35"/>
      <c r="AG32" s="38"/>
      <c r="AH32" s="36"/>
      <c r="AI32" s="37"/>
      <c r="AJ32" s="38"/>
      <c r="AK32" s="38"/>
      <c r="AL32" s="36"/>
      <c r="AM32" s="37"/>
      <c r="AN32" s="35"/>
      <c r="AO32" s="38"/>
      <c r="AP32" s="38"/>
      <c r="AQ32" s="36"/>
      <c r="AR32" s="37"/>
      <c r="AS32" s="35"/>
      <c r="AT32" s="38"/>
      <c r="AU32" s="36"/>
      <c r="AV32" s="37"/>
      <c r="AW32" s="38"/>
      <c r="AX32" s="38"/>
      <c r="AY32" s="36"/>
      <c r="AZ32" s="37"/>
      <c r="BA32" s="38"/>
      <c r="BB32" s="38"/>
      <c r="BC32" s="38"/>
      <c r="BD32" s="36"/>
      <c r="BE32" s="37"/>
      <c r="BF32" s="29">
        <v>1</v>
      </c>
      <c r="BG32" s="29">
        <f>SUM(F32:BE32)*BF32</f>
        <v>0</v>
      </c>
      <c r="BH32" s="30">
        <v>74</v>
      </c>
      <c r="BI32" s="31">
        <f>BH32*BG32/BF32</f>
        <v>0</v>
      </c>
      <c r="BJ32" s="133"/>
      <c r="BK32" s="30">
        <v>110</v>
      </c>
      <c r="BL32" s="31">
        <f>BK32*BG32/BF32</f>
        <v>0</v>
      </c>
    </row>
    <row r="33" spans="2:64" s="15" customFormat="1" ht="18" hidden="1" customHeight="1" x14ac:dyDescent="0.25">
      <c r="B33" s="148" t="s">
        <v>57</v>
      </c>
      <c r="C33" s="27" t="s">
        <v>52</v>
      </c>
      <c r="D33" s="27" t="s">
        <v>55</v>
      </c>
      <c r="E33" s="34" t="s">
        <v>73</v>
      </c>
      <c r="F33" s="35"/>
      <c r="G33" s="38"/>
      <c r="H33" s="36"/>
      <c r="I33" s="152"/>
      <c r="J33" s="35"/>
      <c r="K33" s="38"/>
      <c r="L33" s="151"/>
      <c r="M33" s="152"/>
      <c r="N33" s="35"/>
      <c r="O33" s="38"/>
      <c r="P33" s="150"/>
      <c r="Q33" s="151"/>
      <c r="R33" s="152"/>
      <c r="S33" s="35"/>
      <c r="T33" s="38"/>
      <c r="U33" s="151"/>
      <c r="V33" s="152"/>
      <c r="W33" s="35"/>
      <c r="X33" s="38"/>
      <c r="Y33" s="151"/>
      <c r="Z33" s="152"/>
      <c r="AA33" s="149"/>
      <c r="AB33" s="150"/>
      <c r="AC33" s="150"/>
      <c r="AD33" s="151"/>
      <c r="AE33" s="157"/>
      <c r="AF33" s="149"/>
      <c r="AG33" s="150"/>
      <c r="AH33" s="151"/>
      <c r="AI33" s="152"/>
      <c r="AJ33" s="35"/>
      <c r="AK33" s="38"/>
      <c r="AL33" s="151"/>
      <c r="AM33" s="152"/>
      <c r="AN33" s="35"/>
      <c r="AO33" s="38"/>
      <c r="AP33" s="150"/>
      <c r="AQ33" s="151"/>
      <c r="AR33" s="152"/>
      <c r="AS33" s="35"/>
      <c r="AT33" s="38"/>
      <c r="AU33" s="151"/>
      <c r="AV33" s="152"/>
      <c r="AW33" s="35"/>
      <c r="AX33" s="38"/>
      <c r="AY33" s="151"/>
      <c r="AZ33" s="152"/>
      <c r="BA33" s="35"/>
      <c r="BB33" s="38"/>
      <c r="BC33" s="150"/>
      <c r="BD33" s="151"/>
      <c r="BE33" s="152"/>
      <c r="BF33" s="29">
        <v>1</v>
      </c>
      <c r="BG33" s="29">
        <f>SUM(F33:BE33)*BF33</f>
        <v>0</v>
      </c>
      <c r="BH33" s="164" t="s">
        <v>89</v>
      </c>
      <c r="BI33" s="164" t="s">
        <v>89</v>
      </c>
      <c r="BJ33" s="133"/>
      <c r="BK33" s="30">
        <v>87</v>
      </c>
      <c r="BL33" s="31">
        <f>BK33*BG33/BF33</f>
        <v>0</v>
      </c>
    </row>
    <row r="34" spans="2:64" s="15" customFormat="1" ht="18" hidden="1" customHeight="1" x14ac:dyDescent="0.25">
      <c r="B34" s="148"/>
      <c r="C34" s="27"/>
      <c r="D34" s="27"/>
      <c r="E34" s="34"/>
      <c r="F34" s="149"/>
      <c r="G34" s="150"/>
      <c r="H34" s="151"/>
      <c r="I34" s="152"/>
      <c r="J34" s="149"/>
      <c r="K34" s="150"/>
      <c r="L34" s="151"/>
      <c r="M34" s="152"/>
      <c r="N34" s="149"/>
      <c r="O34" s="150"/>
      <c r="P34" s="150"/>
      <c r="Q34" s="151"/>
      <c r="R34" s="152"/>
      <c r="S34" s="149"/>
      <c r="T34" s="150"/>
      <c r="U34" s="151"/>
      <c r="V34" s="152"/>
      <c r="W34" s="149"/>
      <c r="X34" s="150"/>
      <c r="Y34" s="151"/>
      <c r="Z34" s="152"/>
      <c r="AA34" s="149"/>
      <c r="AB34" s="150"/>
      <c r="AC34" s="150"/>
      <c r="AD34" s="151"/>
      <c r="AE34" s="157"/>
      <c r="AF34" s="149"/>
      <c r="AG34" s="150"/>
      <c r="AH34" s="151"/>
      <c r="AI34" s="152"/>
      <c r="AJ34" s="150"/>
      <c r="AK34" s="150"/>
      <c r="AL34" s="151"/>
      <c r="AM34" s="152"/>
      <c r="AN34" s="149"/>
      <c r="AO34" s="150"/>
      <c r="AP34" s="150"/>
      <c r="AQ34" s="151"/>
      <c r="AR34" s="152"/>
      <c r="AS34" s="149"/>
      <c r="AT34" s="150"/>
      <c r="AU34" s="151"/>
      <c r="AV34" s="152"/>
      <c r="AW34" s="150"/>
      <c r="AX34" s="150"/>
      <c r="AY34" s="151"/>
      <c r="AZ34" s="152"/>
      <c r="BA34" s="150"/>
      <c r="BB34" s="150"/>
      <c r="BC34" s="150"/>
      <c r="BD34" s="151"/>
      <c r="BE34" s="152"/>
      <c r="BF34" s="29"/>
      <c r="BG34" s="29"/>
      <c r="BH34" s="30"/>
      <c r="BI34" s="31"/>
      <c r="BJ34" s="133"/>
      <c r="BK34" s="30"/>
      <c r="BL34" s="31"/>
    </row>
    <row r="35" spans="2:64" s="15" customFormat="1" ht="18" hidden="1" customHeight="1" x14ac:dyDescent="0.25">
      <c r="B35" s="106" t="s">
        <v>71</v>
      </c>
      <c r="C35" s="27"/>
      <c r="D35" s="27"/>
      <c r="E35" s="28"/>
      <c r="F35" s="149"/>
      <c r="G35" s="150"/>
      <c r="H35" s="151"/>
      <c r="I35" s="152"/>
      <c r="J35" s="149"/>
      <c r="K35" s="150"/>
      <c r="L35" s="151"/>
      <c r="M35" s="152"/>
      <c r="N35" s="149"/>
      <c r="O35" s="150"/>
      <c r="P35" s="150"/>
      <c r="Q35" s="151"/>
      <c r="R35" s="152"/>
      <c r="S35" s="149"/>
      <c r="T35" s="150"/>
      <c r="U35" s="151"/>
      <c r="V35" s="152"/>
      <c r="W35" s="149"/>
      <c r="X35" s="150"/>
      <c r="Y35" s="151"/>
      <c r="Z35" s="152"/>
      <c r="AA35" s="149"/>
      <c r="AB35" s="150"/>
      <c r="AC35" s="150"/>
      <c r="AD35" s="151"/>
      <c r="AE35" s="157"/>
      <c r="AF35" s="149"/>
      <c r="AG35" s="150"/>
      <c r="AH35" s="151"/>
      <c r="AI35" s="152"/>
      <c r="AJ35" s="150"/>
      <c r="AK35" s="150"/>
      <c r="AL35" s="151"/>
      <c r="AM35" s="152"/>
      <c r="AN35" s="149"/>
      <c r="AO35" s="150"/>
      <c r="AP35" s="150"/>
      <c r="AQ35" s="151"/>
      <c r="AR35" s="152"/>
      <c r="AS35" s="149"/>
      <c r="AT35" s="150"/>
      <c r="AU35" s="151"/>
      <c r="AV35" s="152"/>
      <c r="AW35" s="150"/>
      <c r="AX35" s="150"/>
      <c r="AY35" s="151"/>
      <c r="AZ35" s="152"/>
      <c r="BA35" s="150"/>
      <c r="BB35" s="150"/>
      <c r="BC35" s="150"/>
      <c r="BD35" s="151"/>
      <c r="BE35" s="152"/>
      <c r="BF35" s="29"/>
      <c r="BG35" s="29"/>
      <c r="BH35" s="30"/>
      <c r="BI35" s="31"/>
      <c r="BJ35" s="133"/>
      <c r="BK35" s="30"/>
      <c r="BL35" s="31"/>
    </row>
    <row r="36" spans="2:64" s="15" customFormat="1" ht="18" hidden="1" customHeight="1" x14ac:dyDescent="0.25">
      <c r="B36" s="148" t="s">
        <v>56</v>
      </c>
      <c r="C36" s="27" t="s">
        <v>52</v>
      </c>
      <c r="D36" s="27" t="s">
        <v>55</v>
      </c>
      <c r="E36" s="34" t="s">
        <v>54</v>
      </c>
      <c r="F36" s="35"/>
      <c r="G36" s="38"/>
      <c r="H36" s="36"/>
      <c r="I36" s="37"/>
      <c r="J36" s="35"/>
      <c r="K36" s="38"/>
      <c r="L36" s="36"/>
      <c r="M36" s="37"/>
      <c r="N36" s="35"/>
      <c r="O36" s="38"/>
      <c r="P36" s="38"/>
      <c r="Q36" s="36"/>
      <c r="R36" s="37"/>
      <c r="S36" s="35"/>
      <c r="T36" s="38"/>
      <c r="U36" s="36"/>
      <c r="V36" s="37"/>
      <c r="W36" s="35"/>
      <c r="X36" s="38"/>
      <c r="Y36" s="36"/>
      <c r="Z36" s="37"/>
      <c r="AA36" s="35"/>
      <c r="AB36" s="38"/>
      <c r="AC36" s="38"/>
      <c r="AD36" s="36"/>
      <c r="AE36" s="158"/>
      <c r="AF36" s="35"/>
      <c r="AG36" s="38"/>
      <c r="AH36" s="36"/>
      <c r="AI36" s="37"/>
      <c r="AJ36" s="38"/>
      <c r="AK36" s="38"/>
      <c r="AL36" s="36"/>
      <c r="AM36" s="37"/>
      <c r="AN36" s="35"/>
      <c r="AO36" s="38"/>
      <c r="AP36" s="38"/>
      <c r="AQ36" s="36"/>
      <c r="AR36" s="37"/>
      <c r="AS36" s="35"/>
      <c r="AT36" s="38"/>
      <c r="AU36" s="36"/>
      <c r="AV36" s="37"/>
      <c r="AW36" s="38"/>
      <c r="AX36" s="38"/>
      <c r="AY36" s="36"/>
      <c r="AZ36" s="37"/>
      <c r="BA36" s="38"/>
      <c r="BB36" s="38"/>
      <c r="BC36" s="38"/>
      <c r="BD36" s="36"/>
      <c r="BE36" s="37"/>
      <c r="BF36" s="29">
        <v>1</v>
      </c>
      <c r="BG36" s="29">
        <f>SUM(F36:BE36)*BF36</f>
        <v>0</v>
      </c>
      <c r="BH36" s="30">
        <v>74</v>
      </c>
      <c r="BI36" s="31">
        <f>BH36*BG36/BF36</f>
        <v>0</v>
      </c>
      <c r="BJ36" s="133"/>
      <c r="BK36" s="30">
        <v>110</v>
      </c>
      <c r="BL36" s="31">
        <f>BK36*BG36/BF36</f>
        <v>0</v>
      </c>
    </row>
    <row r="37" spans="2:64" s="15" customFormat="1" ht="18" hidden="1" customHeight="1" x14ac:dyDescent="0.25">
      <c r="B37" s="148" t="s">
        <v>57</v>
      </c>
      <c r="C37" s="27" t="s">
        <v>52</v>
      </c>
      <c r="D37" s="27" t="s">
        <v>55</v>
      </c>
      <c r="E37" s="34" t="s">
        <v>73</v>
      </c>
      <c r="F37" s="35"/>
      <c r="G37" s="38"/>
      <c r="H37" s="36"/>
      <c r="I37" s="152"/>
      <c r="J37" s="35"/>
      <c r="K37" s="38"/>
      <c r="L37" s="151"/>
      <c r="M37" s="152"/>
      <c r="N37" s="35"/>
      <c r="O37" s="38"/>
      <c r="P37" s="150"/>
      <c r="Q37" s="151"/>
      <c r="R37" s="152"/>
      <c r="S37" s="35"/>
      <c r="T37" s="38"/>
      <c r="U37" s="151"/>
      <c r="V37" s="152"/>
      <c r="W37" s="35"/>
      <c r="X37" s="38"/>
      <c r="Y37" s="151"/>
      <c r="Z37" s="152"/>
      <c r="AA37" s="149"/>
      <c r="AB37" s="150"/>
      <c r="AC37" s="150"/>
      <c r="AD37" s="151"/>
      <c r="AE37" s="157"/>
      <c r="AF37" s="149"/>
      <c r="AG37" s="150"/>
      <c r="AH37" s="151"/>
      <c r="AI37" s="152"/>
      <c r="AJ37" s="35"/>
      <c r="AK37" s="38"/>
      <c r="AL37" s="151"/>
      <c r="AM37" s="152"/>
      <c r="AN37" s="35"/>
      <c r="AO37" s="38"/>
      <c r="AP37" s="150"/>
      <c r="AQ37" s="36"/>
      <c r="AR37" s="37"/>
      <c r="AS37" s="35"/>
      <c r="AT37" s="38"/>
      <c r="AU37" s="36"/>
      <c r="AV37" s="37"/>
      <c r="AW37" s="35"/>
      <c r="AX37" s="38"/>
      <c r="AY37" s="36"/>
      <c r="AZ37" s="37"/>
      <c r="BA37" s="35"/>
      <c r="BB37" s="38"/>
      <c r="BC37" s="38"/>
      <c r="BD37" s="36"/>
      <c r="BE37" s="37"/>
      <c r="BF37" s="29">
        <v>1</v>
      </c>
      <c r="BG37" s="29">
        <f>SUM(F37:BE37)*BF37</f>
        <v>0</v>
      </c>
      <c r="BH37" s="164" t="s">
        <v>89</v>
      </c>
      <c r="BI37" s="164" t="s">
        <v>89</v>
      </c>
      <c r="BJ37" s="133"/>
      <c r="BK37" s="30">
        <v>87</v>
      </c>
      <c r="BL37" s="31">
        <f t="shared" ref="BL37:BL41" si="1">BK37*BG37/BF37</f>
        <v>0</v>
      </c>
    </row>
    <row r="38" spans="2:64" s="15" customFormat="1" ht="18" hidden="1" customHeight="1" x14ac:dyDescent="0.25">
      <c r="B38" s="148"/>
      <c r="C38" s="27"/>
      <c r="D38" s="27"/>
      <c r="E38" s="34"/>
      <c r="F38" s="35"/>
      <c r="G38" s="38"/>
      <c r="H38" s="36"/>
      <c r="I38" s="37"/>
      <c r="J38" s="35"/>
      <c r="K38" s="38"/>
      <c r="L38" s="36"/>
      <c r="M38" s="37"/>
      <c r="N38" s="35"/>
      <c r="O38" s="38"/>
      <c r="P38" s="38"/>
      <c r="Q38" s="36"/>
      <c r="R38" s="37"/>
      <c r="S38" s="35"/>
      <c r="T38" s="38"/>
      <c r="U38" s="36"/>
      <c r="V38" s="37"/>
      <c r="W38" s="35"/>
      <c r="X38" s="38"/>
      <c r="Y38" s="36"/>
      <c r="Z38" s="37"/>
      <c r="AA38" s="35"/>
      <c r="AB38" s="38"/>
      <c r="AC38" s="38"/>
      <c r="AD38" s="36"/>
      <c r="AE38" s="158"/>
      <c r="AF38" s="35"/>
      <c r="AG38" s="38"/>
      <c r="AH38" s="36"/>
      <c r="AI38" s="37"/>
      <c r="AJ38" s="38"/>
      <c r="AK38" s="38"/>
      <c r="AL38" s="36"/>
      <c r="AM38" s="37"/>
      <c r="AN38" s="35"/>
      <c r="AO38" s="38"/>
      <c r="AP38" s="38"/>
      <c r="AQ38" s="36"/>
      <c r="AR38" s="37"/>
      <c r="AS38" s="35"/>
      <c r="AT38" s="38"/>
      <c r="AU38" s="36"/>
      <c r="AV38" s="37"/>
      <c r="AW38" s="38"/>
      <c r="AX38" s="38"/>
      <c r="AY38" s="36"/>
      <c r="AZ38" s="37"/>
      <c r="BA38" s="38"/>
      <c r="BB38" s="38"/>
      <c r="BC38" s="38"/>
      <c r="BD38" s="36"/>
      <c r="BE38" s="37"/>
      <c r="BF38" s="29"/>
      <c r="BG38" s="29"/>
      <c r="BH38" s="30"/>
      <c r="BI38" s="31"/>
      <c r="BJ38" s="133"/>
      <c r="BK38" s="30"/>
      <c r="BL38" s="31"/>
    </row>
    <row r="39" spans="2:64" s="15" customFormat="1" ht="18" hidden="1" customHeight="1" x14ac:dyDescent="0.25">
      <c r="B39" s="106" t="s">
        <v>72</v>
      </c>
      <c r="C39" s="27"/>
      <c r="D39" s="27"/>
      <c r="E39" s="28"/>
      <c r="F39" s="35"/>
      <c r="G39" s="38"/>
      <c r="H39" s="36"/>
      <c r="I39" s="37"/>
      <c r="J39" s="35"/>
      <c r="K39" s="38"/>
      <c r="L39" s="36"/>
      <c r="M39" s="37"/>
      <c r="N39" s="35"/>
      <c r="O39" s="38"/>
      <c r="P39" s="38"/>
      <c r="Q39" s="36"/>
      <c r="R39" s="37"/>
      <c r="S39" s="35"/>
      <c r="T39" s="38"/>
      <c r="U39" s="36"/>
      <c r="V39" s="37"/>
      <c r="W39" s="35"/>
      <c r="X39" s="38"/>
      <c r="Y39" s="36"/>
      <c r="Z39" s="37"/>
      <c r="AA39" s="35"/>
      <c r="AB39" s="38"/>
      <c r="AC39" s="38"/>
      <c r="AD39" s="36"/>
      <c r="AE39" s="158"/>
      <c r="AF39" s="35"/>
      <c r="AG39" s="38"/>
      <c r="AH39" s="36"/>
      <c r="AI39" s="37"/>
      <c r="AJ39" s="38"/>
      <c r="AK39" s="38"/>
      <c r="AL39" s="36"/>
      <c r="AM39" s="37"/>
      <c r="AN39" s="35"/>
      <c r="AO39" s="38"/>
      <c r="AP39" s="38"/>
      <c r="AQ39" s="36"/>
      <c r="AR39" s="37"/>
      <c r="AS39" s="35"/>
      <c r="AT39" s="38"/>
      <c r="AU39" s="36"/>
      <c r="AV39" s="37"/>
      <c r="AW39" s="38"/>
      <c r="AX39" s="38"/>
      <c r="AY39" s="36"/>
      <c r="AZ39" s="37"/>
      <c r="BA39" s="38"/>
      <c r="BB39" s="38"/>
      <c r="BC39" s="38"/>
      <c r="BD39" s="36"/>
      <c r="BE39" s="37"/>
      <c r="BF39" s="29"/>
      <c r="BG39" s="29"/>
      <c r="BH39" s="30"/>
      <c r="BI39" s="31"/>
      <c r="BJ39" s="133"/>
      <c r="BK39" s="30"/>
      <c r="BL39" s="31"/>
    </row>
    <row r="40" spans="2:64" s="15" customFormat="1" ht="18" hidden="1" customHeight="1" x14ac:dyDescent="0.25">
      <c r="B40" s="148" t="s">
        <v>56</v>
      </c>
      <c r="C40" s="27" t="s">
        <v>52</v>
      </c>
      <c r="D40" s="27" t="s">
        <v>55</v>
      </c>
      <c r="E40" s="34" t="s">
        <v>54</v>
      </c>
      <c r="F40" s="35"/>
      <c r="G40" s="38"/>
      <c r="H40" s="36"/>
      <c r="I40" s="37"/>
      <c r="J40" s="35"/>
      <c r="K40" s="38"/>
      <c r="L40" s="36"/>
      <c r="M40" s="37"/>
      <c r="N40" s="35"/>
      <c r="O40" s="38"/>
      <c r="P40" s="38"/>
      <c r="Q40" s="36"/>
      <c r="R40" s="37"/>
      <c r="S40" s="35"/>
      <c r="T40" s="38"/>
      <c r="U40" s="36"/>
      <c r="V40" s="37"/>
      <c r="W40" s="35"/>
      <c r="X40" s="38"/>
      <c r="Y40" s="36"/>
      <c r="Z40" s="37"/>
      <c r="AA40" s="35"/>
      <c r="AB40" s="38"/>
      <c r="AC40" s="38"/>
      <c r="AD40" s="36"/>
      <c r="AE40" s="158"/>
      <c r="AF40" s="35"/>
      <c r="AG40" s="38"/>
      <c r="AH40" s="36"/>
      <c r="AI40" s="37"/>
      <c r="AJ40" s="38"/>
      <c r="AK40" s="38"/>
      <c r="AL40" s="36"/>
      <c r="AM40" s="37"/>
      <c r="AN40" s="35"/>
      <c r="AO40" s="38"/>
      <c r="AP40" s="38"/>
      <c r="AQ40" s="36"/>
      <c r="AR40" s="37"/>
      <c r="AS40" s="35"/>
      <c r="AT40" s="38"/>
      <c r="AU40" s="36"/>
      <c r="AV40" s="37"/>
      <c r="AW40" s="38"/>
      <c r="AX40" s="38"/>
      <c r="AY40" s="36"/>
      <c r="AZ40" s="37"/>
      <c r="BA40" s="38"/>
      <c r="BB40" s="38"/>
      <c r="BC40" s="38"/>
      <c r="BD40" s="36"/>
      <c r="BE40" s="37"/>
      <c r="BF40" s="29">
        <v>1</v>
      </c>
      <c r="BG40" s="29">
        <f t="shared" ref="BG40:BG41" si="2">SUM(F40:BE40)*BF40</f>
        <v>0</v>
      </c>
      <c r="BH40" s="30">
        <v>61</v>
      </c>
      <c r="BI40" s="31">
        <f>BH40*BG40</f>
        <v>0</v>
      </c>
      <c r="BJ40" s="133"/>
      <c r="BK40" s="30">
        <v>99</v>
      </c>
      <c r="BL40" s="31">
        <f t="shared" si="1"/>
        <v>0</v>
      </c>
    </row>
    <row r="41" spans="2:64" s="15" customFormat="1" ht="18" hidden="1" customHeight="1" x14ac:dyDescent="0.25">
      <c r="B41" s="148" t="s">
        <v>57</v>
      </c>
      <c r="C41" s="27" t="s">
        <v>52</v>
      </c>
      <c r="D41" s="27" t="s">
        <v>55</v>
      </c>
      <c r="E41" s="34" t="s">
        <v>73</v>
      </c>
      <c r="F41" s="35"/>
      <c r="G41" s="38"/>
      <c r="H41" s="36"/>
      <c r="I41" s="152"/>
      <c r="J41" s="35"/>
      <c r="K41" s="38"/>
      <c r="L41" s="151"/>
      <c r="M41" s="152"/>
      <c r="N41" s="35"/>
      <c r="O41" s="38"/>
      <c r="P41" s="150"/>
      <c r="Q41" s="151"/>
      <c r="R41" s="152"/>
      <c r="S41" s="35"/>
      <c r="T41" s="38"/>
      <c r="U41" s="151"/>
      <c r="V41" s="152"/>
      <c r="W41" s="35"/>
      <c r="X41" s="38"/>
      <c r="Y41" s="151"/>
      <c r="Z41" s="152"/>
      <c r="AA41" s="149"/>
      <c r="AB41" s="150"/>
      <c r="AC41" s="150"/>
      <c r="AD41" s="151"/>
      <c r="AE41" s="157"/>
      <c r="AF41" s="149"/>
      <c r="AG41" s="150"/>
      <c r="AH41" s="151"/>
      <c r="AI41" s="152"/>
      <c r="AJ41" s="35"/>
      <c r="AK41" s="38"/>
      <c r="AL41" s="151"/>
      <c r="AM41" s="152"/>
      <c r="AN41" s="35"/>
      <c r="AO41" s="38"/>
      <c r="AP41" s="150"/>
      <c r="AQ41" s="115"/>
      <c r="AR41" s="116"/>
      <c r="AS41" s="35"/>
      <c r="AT41" s="38"/>
      <c r="AU41" s="115"/>
      <c r="AV41" s="116"/>
      <c r="AW41" s="35"/>
      <c r="AX41" s="38"/>
      <c r="AY41" s="115"/>
      <c r="AZ41" s="116"/>
      <c r="BA41" s="35"/>
      <c r="BB41" s="38"/>
      <c r="BC41" s="117"/>
      <c r="BD41" s="115"/>
      <c r="BE41" s="116"/>
      <c r="BF41" s="29">
        <v>1</v>
      </c>
      <c r="BG41" s="29">
        <f t="shared" si="2"/>
        <v>0</v>
      </c>
      <c r="BH41" s="164" t="s">
        <v>89</v>
      </c>
      <c r="BI41" s="164" t="s">
        <v>89</v>
      </c>
      <c r="BJ41" s="134"/>
      <c r="BK41" s="30">
        <v>77</v>
      </c>
      <c r="BL41" s="31">
        <f t="shared" si="1"/>
        <v>0</v>
      </c>
    </row>
    <row r="42" spans="2:64" s="15" customFormat="1" ht="18" hidden="1" customHeight="1" x14ac:dyDescent="0.25">
      <c r="B42" s="148"/>
      <c r="C42" s="27"/>
      <c r="D42" s="27"/>
      <c r="E42" s="34"/>
      <c r="F42" s="114"/>
      <c r="G42" s="117"/>
      <c r="H42" s="115"/>
      <c r="I42" s="116"/>
      <c r="J42" s="114"/>
      <c r="K42" s="117"/>
      <c r="L42" s="115"/>
      <c r="M42" s="116"/>
      <c r="N42" s="114"/>
      <c r="O42" s="117"/>
      <c r="P42" s="117"/>
      <c r="Q42" s="115"/>
      <c r="R42" s="116"/>
      <c r="S42" s="114"/>
      <c r="T42" s="117"/>
      <c r="U42" s="115"/>
      <c r="V42" s="116"/>
      <c r="W42" s="114"/>
      <c r="X42" s="117"/>
      <c r="Y42" s="115"/>
      <c r="Z42" s="116"/>
      <c r="AA42" s="114"/>
      <c r="AB42" s="117"/>
      <c r="AC42" s="117"/>
      <c r="AD42" s="115"/>
      <c r="AE42" s="156"/>
      <c r="AF42" s="114"/>
      <c r="AG42" s="117"/>
      <c r="AH42" s="115"/>
      <c r="AI42" s="116"/>
      <c r="AJ42" s="117"/>
      <c r="AK42" s="117"/>
      <c r="AL42" s="115"/>
      <c r="AM42" s="116"/>
      <c r="AN42" s="114"/>
      <c r="AO42" s="117"/>
      <c r="AP42" s="117"/>
      <c r="AQ42" s="115"/>
      <c r="AR42" s="116"/>
      <c r="AS42" s="114"/>
      <c r="AT42" s="117"/>
      <c r="AU42" s="115"/>
      <c r="AV42" s="116"/>
      <c r="AW42" s="117"/>
      <c r="AX42" s="117"/>
      <c r="AY42" s="115"/>
      <c r="AZ42" s="116"/>
      <c r="BA42" s="117"/>
      <c r="BB42" s="117"/>
      <c r="BC42" s="117"/>
      <c r="BD42" s="115"/>
      <c r="BE42" s="116"/>
      <c r="BF42" s="29"/>
      <c r="BG42" s="29"/>
      <c r="BH42" s="30"/>
      <c r="BI42" s="31"/>
      <c r="BJ42" s="133"/>
      <c r="BK42" s="30"/>
      <c r="BL42" s="31"/>
    </row>
    <row r="43" spans="2:64" s="15" customFormat="1" ht="18" hidden="1" customHeight="1" x14ac:dyDescent="0.25">
      <c r="B43" s="33"/>
      <c r="C43" s="27"/>
      <c r="D43" s="27"/>
      <c r="E43" s="34"/>
      <c r="F43" s="35"/>
      <c r="G43" s="38"/>
      <c r="H43" s="36"/>
      <c r="I43" s="37"/>
      <c r="J43" s="35"/>
      <c r="K43" s="38"/>
      <c r="L43" s="36"/>
      <c r="M43" s="37"/>
      <c r="N43" s="35"/>
      <c r="O43" s="38"/>
      <c r="P43" s="38"/>
      <c r="Q43" s="36"/>
      <c r="R43" s="37"/>
      <c r="S43" s="35"/>
      <c r="T43" s="38"/>
      <c r="U43" s="36"/>
      <c r="V43" s="37"/>
      <c r="W43" s="35"/>
      <c r="X43" s="38"/>
      <c r="Y43" s="36"/>
      <c r="Z43" s="37"/>
      <c r="AA43" s="35"/>
      <c r="AB43" s="38"/>
      <c r="AC43" s="38"/>
      <c r="AD43" s="36"/>
      <c r="AE43" s="158"/>
      <c r="AF43" s="35"/>
      <c r="AG43" s="38"/>
      <c r="AH43" s="36"/>
      <c r="AI43" s="37"/>
      <c r="AJ43" s="38"/>
      <c r="AK43" s="38"/>
      <c r="AL43" s="36"/>
      <c r="AM43" s="37"/>
      <c r="AN43" s="35"/>
      <c r="AO43" s="38"/>
      <c r="AP43" s="38"/>
      <c r="AQ43" s="36"/>
      <c r="AR43" s="37"/>
      <c r="AS43" s="35"/>
      <c r="AT43" s="38"/>
      <c r="AU43" s="36"/>
      <c r="AV43" s="37"/>
      <c r="AW43" s="38"/>
      <c r="AX43" s="38"/>
      <c r="AY43" s="36"/>
      <c r="AZ43" s="37"/>
      <c r="BA43" s="38"/>
      <c r="BB43" s="38"/>
      <c r="BC43" s="38"/>
      <c r="BD43" s="36"/>
      <c r="BE43" s="37"/>
      <c r="BF43" s="29"/>
      <c r="BG43" s="29"/>
      <c r="BH43" s="30"/>
      <c r="BI43" s="31"/>
      <c r="BJ43" s="133"/>
      <c r="BK43" s="30"/>
      <c r="BL43" s="31"/>
    </row>
    <row r="44" spans="2:64" s="15" customFormat="1" ht="18" hidden="1" customHeight="1" x14ac:dyDescent="0.25">
      <c r="B44" s="21" t="s">
        <v>74</v>
      </c>
      <c r="C44" s="22"/>
      <c r="D44" s="22"/>
      <c r="E44" s="128"/>
      <c r="F44" s="23"/>
      <c r="G44" s="24"/>
      <c r="H44" s="24"/>
      <c r="I44" s="25"/>
      <c r="J44" s="23"/>
      <c r="K44" s="24"/>
      <c r="L44" s="24"/>
      <c r="M44" s="25"/>
      <c r="N44" s="23"/>
      <c r="O44" s="24"/>
      <c r="P44" s="24"/>
      <c r="Q44" s="24"/>
      <c r="R44" s="25"/>
      <c r="S44" s="23"/>
      <c r="T44" s="24"/>
      <c r="U44" s="24"/>
      <c r="V44" s="25"/>
      <c r="W44" s="23"/>
      <c r="X44" s="24"/>
      <c r="Y44" s="24"/>
      <c r="Z44" s="25"/>
      <c r="AA44" s="23"/>
      <c r="AB44" s="24"/>
      <c r="AC44" s="24"/>
      <c r="AD44" s="24"/>
      <c r="AE44" s="24"/>
      <c r="AF44" s="23"/>
      <c r="AG44" s="24"/>
      <c r="AH44" s="24"/>
      <c r="AI44" s="25"/>
      <c r="AJ44" s="24"/>
      <c r="AK44" s="24"/>
      <c r="AL44" s="24"/>
      <c r="AM44" s="25"/>
      <c r="AN44" s="23"/>
      <c r="AO44" s="24"/>
      <c r="AP44" s="24"/>
      <c r="AQ44" s="24"/>
      <c r="AR44" s="25"/>
      <c r="AS44" s="23"/>
      <c r="AT44" s="24"/>
      <c r="AU44" s="24"/>
      <c r="AV44" s="25"/>
      <c r="AW44" s="24"/>
      <c r="AX44" s="24"/>
      <c r="AY44" s="24"/>
      <c r="AZ44" s="25"/>
      <c r="BA44" s="24"/>
      <c r="BB44" s="24"/>
      <c r="BC44" s="24"/>
      <c r="BD44" s="24"/>
      <c r="BE44" s="25"/>
      <c r="BF44" s="44"/>
      <c r="BG44" s="44"/>
      <c r="BH44" s="26"/>
      <c r="BI44" s="45"/>
      <c r="BJ44" s="133"/>
      <c r="BK44" s="26"/>
      <c r="BL44" s="45"/>
    </row>
    <row r="45" spans="2:64" s="15" customFormat="1" ht="17.25" hidden="1" customHeight="1" x14ac:dyDescent="0.25">
      <c r="B45" s="161" t="s">
        <v>65</v>
      </c>
      <c r="C45" s="39"/>
      <c r="D45" s="39"/>
      <c r="E45" s="40"/>
      <c r="F45" s="154"/>
      <c r="G45" s="153"/>
      <c r="H45" s="153"/>
      <c r="I45" s="155"/>
      <c r="J45" s="154"/>
      <c r="K45" s="153"/>
      <c r="L45" s="153"/>
      <c r="M45" s="155"/>
      <c r="N45" s="154"/>
      <c r="O45" s="153"/>
      <c r="P45" s="153"/>
      <c r="Q45" s="153"/>
      <c r="R45" s="155"/>
      <c r="S45" s="154"/>
      <c r="T45" s="153"/>
      <c r="U45" s="153"/>
      <c r="V45" s="155"/>
      <c r="W45" s="154"/>
      <c r="X45" s="153"/>
      <c r="Y45" s="153"/>
      <c r="Z45" s="155"/>
      <c r="AA45" s="154"/>
      <c r="AB45" s="153"/>
      <c r="AC45" s="153"/>
      <c r="AD45" s="153"/>
      <c r="AE45" s="153"/>
      <c r="AF45" s="154"/>
      <c r="AG45" s="153"/>
      <c r="AH45" s="153"/>
      <c r="AI45" s="155"/>
      <c r="AJ45" s="153"/>
      <c r="AK45" s="153"/>
      <c r="AL45" s="153"/>
      <c r="AM45" s="153"/>
      <c r="AN45" s="153"/>
      <c r="AO45" s="153"/>
      <c r="AP45" s="153"/>
      <c r="AQ45" s="153"/>
      <c r="AR45" s="153"/>
      <c r="AS45" s="154"/>
      <c r="AT45" s="153"/>
      <c r="AU45" s="153"/>
      <c r="AV45" s="153"/>
      <c r="AW45" s="153"/>
      <c r="AX45" s="153"/>
      <c r="AY45" s="153"/>
      <c r="AZ45" s="153"/>
      <c r="BA45" s="153"/>
      <c r="BB45" s="153"/>
      <c r="BC45" s="153"/>
      <c r="BD45" s="153"/>
      <c r="BE45" s="153"/>
      <c r="BF45" s="41"/>
      <c r="BG45" s="41">
        <f>SUM(BG47:BG57)</f>
        <v>0</v>
      </c>
      <c r="BH45" s="42"/>
      <c r="BI45" s="43">
        <f>SUM(BI47:BI57)</f>
        <v>0</v>
      </c>
      <c r="BJ45" s="133"/>
      <c r="BK45" s="43"/>
      <c r="BL45" s="43">
        <f>SUM(BL47:BL57)</f>
        <v>0</v>
      </c>
    </row>
    <row r="46" spans="2:64" s="15" customFormat="1" ht="18" hidden="1" customHeight="1" x14ac:dyDescent="0.25">
      <c r="B46" s="106" t="s">
        <v>75</v>
      </c>
      <c r="C46" s="27"/>
      <c r="D46" s="27"/>
      <c r="E46" s="28"/>
      <c r="F46" s="114"/>
      <c r="G46" s="117"/>
      <c r="H46" s="115"/>
      <c r="I46" s="116"/>
      <c r="J46" s="114"/>
      <c r="K46" s="117"/>
      <c r="L46" s="115"/>
      <c r="M46" s="116"/>
      <c r="N46" s="114"/>
      <c r="O46" s="117"/>
      <c r="P46" s="117"/>
      <c r="Q46" s="115"/>
      <c r="R46" s="116"/>
      <c r="S46" s="114"/>
      <c r="T46" s="117"/>
      <c r="U46" s="115"/>
      <c r="V46" s="116"/>
      <c r="W46" s="114"/>
      <c r="X46" s="117"/>
      <c r="Y46" s="115"/>
      <c r="Z46" s="116"/>
      <c r="AA46" s="114"/>
      <c r="AB46" s="117"/>
      <c r="AC46" s="117"/>
      <c r="AD46" s="115"/>
      <c r="AE46" s="156"/>
      <c r="AF46" s="114"/>
      <c r="AG46" s="117"/>
      <c r="AH46" s="115"/>
      <c r="AI46" s="116"/>
      <c r="AJ46" s="117"/>
      <c r="AK46" s="117"/>
      <c r="AL46" s="115"/>
      <c r="AM46" s="116"/>
      <c r="AN46" s="114"/>
      <c r="AO46" s="117"/>
      <c r="AP46" s="117"/>
      <c r="AQ46" s="115"/>
      <c r="AR46" s="116"/>
      <c r="AS46" s="114"/>
      <c r="AT46" s="117"/>
      <c r="AU46" s="115"/>
      <c r="AV46" s="116"/>
      <c r="AW46" s="117"/>
      <c r="AX46" s="117"/>
      <c r="AY46" s="115"/>
      <c r="AZ46" s="116"/>
      <c r="BA46" s="117"/>
      <c r="BB46" s="117"/>
      <c r="BC46" s="117"/>
      <c r="BD46" s="115"/>
      <c r="BE46" s="116"/>
      <c r="BF46" s="29"/>
      <c r="BG46" s="29"/>
      <c r="BH46" s="30"/>
      <c r="BI46" s="31"/>
      <c r="BJ46" s="134"/>
      <c r="BK46" s="32"/>
      <c r="BL46" s="31"/>
    </row>
    <row r="47" spans="2:64" s="15" customFormat="1" ht="18" hidden="1" customHeight="1" x14ac:dyDescent="0.25">
      <c r="B47" s="148" t="s">
        <v>56</v>
      </c>
      <c r="C47" s="27" t="s">
        <v>52</v>
      </c>
      <c r="D47" s="27" t="s">
        <v>55</v>
      </c>
      <c r="E47" s="34" t="s">
        <v>54</v>
      </c>
      <c r="F47" s="35"/>
      <c r="G47" s="38"/>
      <c r="H47" s="36"/>
      <c r="I47" s="37"/>
      <c r="J47" s="35"/>
      <c r="K47" s="38"/>
      <c r="L47" s="36"/>
      <c r="M47" s="37"/>
      <c r="N47" s="35"/>
      <c r="O47" s="38"/>
      <c r="P47" s="38"/>
      <c r="Q47" s="36"/>
      <c r="R47" s="37"/>
      <c r="S47" s="35"/>
      <c r="T47" s="38"/>
      <c r="U47" s="36"/>
      <c r="V47" s="37"/>
      <c r="W47" s="35"/>
      <c r="X47" s="38"/>
      <c r="Y47" s="36"/>
      <c r="Z47" s="37"/>
      <c r="AA47" s="35"/>
      <c r="AB47" s="38"/>
      <c r="AC47" s="38"/>
      <c r="AD47" s="36"/>
      <c r="AE47" s="158"/>
      <c r="AF47" s="35"/>
      <c r="AG47" s="38"/>
      <c r="AH47" s="36"/>
      <c r="AI47" s="37"/>
      <c r="AJ47" s="38"/>
      <c r="AK47" s="38"/>
      <c r="AL47" s="36"/>
      <c r="AM47" s="37"/>
      <c r="AN47" s="35"/>
      <c r="AO47" s="38"/>
      <c r="AP47" s="38"/>
      <c r="AQ47" s="36"/>
      <c r="AR47" s="37"/>
      <c r="AS47" s="35"/>
      <c r="AT47" s="38"/>
      <c r="AU47" s="36"/>
      <c r="AV47" s="37"/>
      <c r="AW47" s="38"/>
      <c r="AX47" s="38"/>
      <c r="AY47" s="36"/>
      <c r="AZ47" s="37"/>
      <c r="BA47" s="38"/>
      <c r="BB47" s="38"/>
      <c r="BC47" s="38"/>
      <c r="BD47" s="36"/>
      <c r="BE47" s="37"/>
      <c r="BF47" s="29">
        <v>1</v>
      </c>
      <c r="BG47" s="29">
        <f>SUM(F47:BE47)*BF47</f>
        <v>0</v>
      </c>
      <c r="BH47" s="30">
        <v>27</v>
      </c>
      <c r="BI47" s="31">
        <f>BH47*BG47/BF47</f>
        <v>0</v>
      </c>
      <c r="BJ47" s="133"/>
      <c r="BK47" s="30">
        <v>41</v>
      </c>
      <c r="BL47" s="31">
        <f>BK47*BG47/BF47</f>
        <v>0</v>
      </c>
    </row>
    <row r="48" spans="2:64" s="15" customFormat="1" ht="18" hidden="1" customHeight="1" x14ac:dyDescent="0.25">
      <c r="B48" s="148" t="s">
        <v>57</v>
      </c>
      <c r="C48" s="27" t="s">
        <v>52</v>
      </c>
      <c r="D48" s="27" t="s">
        <v>55</v>
      </c>
      <c r="E48" s="34" t="s">
        <v>73</v>
      </c>
      <c r="F48" s="35"/>
      <c r="G48" s="38"/>
      <c r="H48" s="36"/>
      <c r="I48" s="152"/>
      <c r="J48" s="35"/>
      <c r="K48" s="38"/>
      <c r="L48" s="151"/>
      <c r="M48" s="152"/>
      <c r="N48" s="35"/>
      <c r="O48" s="38"/>
      <c r="P48" s="150"/>
      <c r="Q48" s="151"/>
      <c r="R48" s="152"/>
      <c r="S48" s="35"/>
      <c r="T48" s="38"/>
      <c r="U48" s="151"/>
      <c r="V48" s="152"/>
      <c r="W48" s="35"/>
      <c r="X48" s="38"/>
      <c r="Y48" s="151"/>
      <c r="Z48" s="152"/>
      <c r="AA48" s="149"/>
      <c r="AB48" s="150"/>
      <c r="AC48" s="150"/>
      <c r="AD48" s="151"/>
      <c r="AE48" s="157"/>
      <c r="AF48" s="149"/>
      <c r="AG48" s="150"/>
      <c r="AH48" s="151"/>
      <c r="AI48" s="152"/>
      <c r="AJ48" s="35"/>
      <c r="AK48" s="38"/>
      <c r="AL48" s="151"/>
      <c r="AM48" s="152"/>
      <c r="AN48" s="35"/>
      <c r="AO48" s="38"/>
      <c r="AP48" s="150"/>
      <c r="AQ48" s="115"/>
      <c r="AR48" s="116"/>
      <c r="AS48" s="35"/>
      <c r="AT48" s="38"/>
      <c r="AU48" s="151"/>
      <c r="AV48" s="152"/>
      <c r="AW48" s="35"/>
      <c r="AX48" s="38"/>
      <c r="AY48" s="151"/>
      <c r="AZ48" s="152"/>
      <c r="BA48" s="35"/>
      <c r="BB48" s="38"/>
      <c r="BC48" s="150"/>
      <c r="BD48" s="151"/>
      <c r="BE48" s="152"/>
      <c r="BF48" s="29">
        <v>1</v>
      </c>
      <c r="BG48" s="29">
        <f>SUM(F48:BE48)*BF48</f>
        <v>0</v>
      </c>
      <c r="BH48" s="164" t="s">
        <v>89</v>
      </c>
      <c r="BI48" s="164" t="s">
        <v>89</v>
      </c>
      <c r="BJ48" s="133"/>
      <c r="BK48" s="30">
        <v>33</v>
      </c>
      <c r="BL48" s="31">
        <f>BK48*BG48/BF48</f>
        <v>0</v>
      </c>
    </row>
    <row r="49" spans="2:64" s="15" customFormat="1" ht="18" hidden="1" customHeight="1" x14ac:dyDescent="0.25">
      <c r="B49" s="148"/>
      <c r="C49" s="27"/>
      <c r="D49" s="27"/>
      <c r="E49" s="34"/>
      <c r="F49" s="149"/>
      <c r="G49" s="150"/>
      <c r="H49" s="151"/>
      <c r="I49" s="152"/>
      <c r="J49" s="149"/>
      <c r="K49" s="150"/>
      <c r="L49" s="151"/>
      <c r="M49" s="152"/>
      <c r="N49" s="149"/>
      <c r="O49" s="150"/>
      <c r="P49" s="150"/>
      <c r="Q49" s="151"/>
      <c r="R49" s="152"/>
      <c r="S49" s="149"/>
      <c r="T49" s="150"/>
      <c r="U49" s="151"/>
      <c r="V49" s="152"/>
      <c r="W49" s="149"/>
      <c r="X49" s="150"/>
      <c r="Y49" s="151"/>
      <c r="Z49" s="152"/>
      <c r="AA49" s="149"/>
      <c r="AB49" s="150"/>
      <c r="AC49" s="150"/>
      <c r="AD49" s="151"/>
      <c r="AE49" s="157"/>
      <c r="AF49" s="149"/>
      <c r="AG49" s="150"/>
      <c r="AH49" s="151"/>
      <c r="AI49" s="152"/>
      <c r="AJ49" s="150"/>
      <c r="AK49" s="150"/>
      <c r="AL49" s="151"/>
      <c r="AM49" s="152"/>
      <c r="AN49" s="149"/>
      <c r="AO49" s="150"/>
      <c r="AP49" s="150"/>
      <c r="AQ49" s="151"/>
      <c r="AR49" s="152"/>
      <c r="AS49" s="149"/>
      <c r="AT49" s="150"/>
      <c r="AU49" s="151"/>
      <c r="AV49" s="152"/>
      <c r="AW49" s="150"/>
      <c r="AX49" s="150"/>
      <c r="AY49" s="151"/>
      <c r="AZ49" s="152"/>
      <c r="BA49" s="150"/>
      <c r="BB49" s="150"/>
      <c r="BC49" s="150"/>
      <c r="BD49" s="151"/>
      <c r="BE49" s="152"/>
      <c r="BF49" s="29"/>
      <c r="BG49" s="29"/>
      <c r="BH49" s="30"/>
      <c r="BI49" s="31"/>
      <c r="BJ49" s="133"/>
      <c r="BK49" s="30"/>
      <c r="BL49" s="31"/>
    </row>
    <row r="50" spans="2:64" s="15" customFormat="1" ht="18" hidden="1" customHeight="1" x14ac:dyDescent="0.25">
      <c r="B50" s="106" t="s">
        <v>76</v>
      </c>
      <c r="C50" s="27"/>
      <c r="D50" s="27"/>
      <c r="E50" s="28"/>
      <c r="F50" s="149"/>
      <c r="G50" s="150"/>
      <c r="H50" s="151"/>
      <c r="I50" s="152"/>
      <c r="J50" s="149"/>
      <c r="K50" s="150"/>
      <c r="L50" s="151"/>
      <c r="M50" s="152"/>
      <c r="N50" s="149"/>
      <c r="O50" s="150"/>
      <c r="P50" s="150"/>
      <c r="Q50" s="151"/>
      <c r="R50" s="152"/>
      <c r="S50" s="149"/>
      <c r="T50" s="150"/>
      <c r="U50" s="151"/>
      <c r="V50" s="152"/>
      <c r="W50" s="149"/>
      <c r="X50" s="150"/>
      <c r="Y50" s="151"/>
      <c r="Z50" s="152"/>
      <c r="AA50" s="149"/>
      <c r="AB50" s="150"/>
      <c r="AC50" s="150"/>
      <c r="AD50" s="151"/>
      <c r="AE50" s="157"/>
      <c r="AF50" s="149"/>
      <c r="AG50" s="150"/>
      <c r="AH50" s="151"/>
      <c r="AI50" s="152"/>
      <c r="AJ50" s="150"/>
      <c r="AK50" s="150"/>
      <c r="AL50" s="151"/>
      <c r="AM50" s="152"/>
      <c r="AN50" s="149"/>
      <c r="AO50" s="150"/>
      <c r="AP50" s="150"/>
      <c r="AQ50" s="151"/>
      <c r="AR50" s="152"/>
      <c r="AS50" s="149"/>
      <c r="AT50" s="150"/>
      <c r="AU50" s="151"/>
      <c r="AV50" s="152"/>
      <c r="AW50" s="150"/>
      <c r="AX50" s="150"/>
      <c r="AY50" s="151"/>
      <c r="AZ50" s="152"/>
      <c r="BA50" s="150"/>
      <c r="BB50" s="150"/>
      <c r="BC50" s="150"/>
      <c r="BD50" s="151"/>
      <c r="BE50" s="152"/>
      <c r="BF50" s="29"/>
      <c r="BG50" s="29"/>
      <c r="BH50" s="30"/>
      <c r="BI50" s="31"/>
      <c r="BJ50" s="133"/>
      <c r="BK50" s="30"/>
      <c r="BL50" s="31"/>
    </row>
    <row r="51" spans="2:64" s="15" customFormat="1" ht="18" hidden="1" customHeight="1" x14ac:dyDescent="0.25">
      <c r="B51" s="148" t="s">
        <v>56</v>
      </c>
      <c r="C51" s="27" t="s">
        <v>52</v>
      </c>
      <c r="D51" s="27" t="s">
        <v>55</v>
      </c>
      <c r="E51" s="34" t="s">
        <v>54</v>
      </c>
      <c r="F51" s="35"/>
      <c r="G51" s="38"/>
      <c r="H51" s="36"/>
      <c r="I51" s="37"/>
      <c r="J51" s="35"/>
      <c r="K51" s="38"/>
      <c r="L51" s="36"/>
      <c r="M51" s="37"/>
      <c r="N51" s="35"/>
      <c r="O51" s="38"/>
      <c r="P51" s="38"/>
      <c r="Q51" s="36"/>
      <c r="R51" s="37"/>
      <c r="S51" s="35"/>
      <c r="T51" s="38"/>
      <c r="U51" s="36"/>
      <c r="V51" s="37"/>
      <c r="W51" s="35"/>
      <c r="X51" s="38"/>
      <c r="Y51" s="36"/>
      <c r="Z51" s="37"/>
      <c r="AA51" s="35"/>
      <c r="AB51" s="38"/>
      <c r="AC51" s="38"/>
      <c r="AD51" s="36"/>
      <c r="AE51" s="158"/>
      <c r="AF51" s="35"/>
      <c r="AG51" s="38"/>
      <c r="AH51" s="36"/>
      <c r="AI51" s="37"/>
      <c r="AJ51" s="38"/>
      <c r="AK51" s="38"/>
      <c r="AL51" s="36"/>
      <c r="AM51" s="37"/>
      <c r="AN51" s="35"/>
      <c r="AO51" s="38"/>
      <c r="AP51" s="38"/>
      <c r="AQ51" s="36"/>
      <c r="AR51" s="37"/>
      <c r="AS51" s="35"/>
      <c r="AT51" s="38"/>
      <c r="AU51" s="36"/>
      <c r="AV51" s="37"/>
      <c r="AW51" s="38"/>
      <c r="AX51" s="38"/>
      <c r="AY51" s="36"/>
      <c r="AZ51" s="37"/>
      <c r="BA51" s="38"/>
      <c r="BB51" s="38"/>
      <c r="BC51" s="38"/>
      <c r="BD51" s="36"/>
      <c r="BE51" s="37"/>
      <c r="BF51" s="29">
        <v>1</v>
      </c>
      <c r="BG51" s="29">
        <f t="shared" ref="BG51:BG56" si="3">SUM(F51:BE51)*BF51</f>
        <v>0</v>
      </c>
      <c r="BH51" s="30">
        <v>59</v>
      </c>
      <c r="BI51" s="31">
        <f>BH51*BG51</f>
        <v>0</v>
      </c>
      <c r="BJ51" s="133"/>
      <c r="BK51" s="30">
        <v>87</v>
      </c>
      <c r="BL51" s="31">
        <f t="shared" ref="BL51:BL56" si="4">BK51*BG51/BF51</f>
        <v>0</v>
      </c>
    </row>
    <row r="52" spans="2:64" s="15" customFormat="1" ht="18" hidden="1" customHeight="1" x14ac:dyDescent="0.25">
      <c r="B52" s="148" t="s">
        <v>57</v>
      </c>
      <c r="C52" s="27" t="s">
        <v>52</v>
      </c>
      <c r="D52" s="27" t="s">
        <v>55</v>
      </c>
      <c r="E52" s="34" t="s">
        <v>73</v>
      </c>
      <c r="F52" s="35"/>
      <c r="G52" s="38"/>
      <c r="H52" s="36"/>
      <c r="I52" s="152"/>
      <c r="J52" s="35"/>
      <c r="K52" s="38"/>
      <c r="L52" s="151"/>
      <c r="M52" s="152"/>
      <c r="N52" s="35"/>
      <c r="O52" s="38"/>
      <c r="P52" s="150"/>
      <c r="Q52" s="151"/>
      <c r="R52" s="152"/>
      <c r="S52" s="35"/>
      <c r="T52" s="38"/>
      <c r="U52" s="151"/>
      <c r="V52" s="152"/>
      <c r="W52" s="35"/>
      <c r="X52" s="38"/>
      <c r="Y52" s="151"/>
      <c r="Z52" s="152"/>
      <c r="AA52" s="149"/>
      <c r="AB52" s="150"/>
      <c r="AC52" s="150"/>
      <c r="AD52" s="151"/>
      <c r="AE52" s="157"/>
      <c r="AF52" s="149"/>
      <c r="AG52" s="150"/>
      <c r="AH52" s="151"/>
      <c r="AI52" s="152"/>
      <c r="AJ52" s="35"/>
      <c r="AK52" s="38"/>
      <c r="AL52" s="151"/>
      <c r="AM52" s="152"/>
      <c r="AN52" s="35"/>
      <c r="AO52" s="38"/>
      <c r="AP52" s="150"/>
      <c r="AQ52" s="115"/>
      <c r="AR52" s="116"/>
      <c r="AS52" s="35"/>
      <c r="AT52" s="38"/>
      <c r="AU52" s="36"/>
      <c r="AV52" s="37"/>
      <c r="AW52" s="35"/>
      <c r="AX52" s="38"/>
      <c r="AY52" s="36"/>
      <c r="AZ52" s="37"/>
      <c r="BA52" s="35"/>
      <c r="BB52" s="38"/>
      <c r="BC52" s="38"/>
      <c r="BD52" s="36"/>
      <c r="BE52" s="37"/>
      <c r="BF52" s="29">
        <v>1</v>
      </c>
      <c r="BG52" s="29">
        <f t="shared" si="3"/>
        <v>0</v>
      </c>
      <c r="BH52" s="164" t="s">
        <v>89</v>
      </c>
      <c r="BI52" s="164" t="s">
        <v>89</v>
      </c>
      <c r="BJ52" s="133"/>
      <c r="BK52" s="30">
        <v>68</v>
      </c>
      <c r="BL52" s="31">
        <f t="shared" si="4"/>
        <v>0</v>
      </c>
    </row>
    <row r="53" spans="2:64" s="15" customFormat="1" ht="18" hidden="1" customHeight="1" x14ac:dyDescent="0.25">
      <c r="B53" s="148"/>
      <c r="C53" s="27"/>
      <c r="D53" s="27"/>
      <c r="E53" s="34"/>
      <c r="F53" s="35"/>
      <c r="G53" s="38"/>
      <c r="H53" s="36"/>
      <c r="I53" s="37"/>
      <c r="J53" s="35"/>
      <c r="K53" s="38"/>
      <c r="L53" s="36"/>
      <c r="M53" s="37"/>
      <c r="N53" s="35"/>
      <c r="O53" s="38"/>
      <c r="P53" s="38"/>
      <c r="Q53" s="36"/>
      <c r="R53" s="37"/>
      <c r="S53" s="35"/>
      <c r="T53" s="38"/>
      <c r="U53" s="36"/>
      <c r="V53" s="37"/>
      <c r="W53" s="35"/>
      <c r="X53" s="38"/>
      <c r="Y53" s="36"/>
      <c r="Z53" s="37"/>
      <c r="AA53" s="35"/>
      <c r="AB53" s="38"/>
      <c r="AC53" s="38"/>
      <c r="AD53" s="36"/>
      <c r="AE53" s="158"/>
      <c r="AF53" s="35"/>
      <c r="AG53" s="38"/>
      <c r="AH53" s="36"/>
      <c r="AI53" s="37"/>
      <c r="AJ53" s="38"/>
      <c r="AK53" s="38"/>
      <c r="AL53" s="36"/>
      <c r="AM53" s="37"/>
      <c r="AN53" s="35"/>
      <c r="AO53" s="38"/>
      <c r="AP53" s="38"/>
      <c r="AQ53" s="36"/>
      <c r="AR53" s="37"/>
      <c r="AS53" s="35"/>
      <c r="AT53" s="38"/>
      <c r="AU53" s="36"/>
      <c r="AV53" s="37"/>
      <c r="AW53" s="38"/>
      <c r="AX53" s="38"/>
      <c r="AY53" s="36"/>
      <c r="AZ53" s="37"/>
      <c r="BA53" s="38"/>
      <c r="BB53" s="38"/>
      <c r="BC53" s="38"/>
      <c r="BD53" s="36"/>
      <c r="BE53" s="37"/>
      <c r="BF53" s="29"/>
      <c r="BG53" s="29"/>
      <c r="BH53" s="30"/>
      <c r="BI53" s="31"/>
      <c r="BJ53" s="133"/>
      <c r="BK53" s="30"/>
      <c r="BL53" s="31"/>
    </row>
    <row r="54" spans="2:64" s="15" customFormat="1" ht="18" hidden="1" customHeight="1" x14ac:dyDescent="0.25">
      <c r="B54" s="106" t="s">
        <v>77</v>
      </c>
      <c r="C54" s="27"/>
      <c r="D54" s="27"/>
      <c r="E54" s="28"/>
      <c r="F54" s="35"/>
      <c r="G54" s="38"/>
      <c r="H54" s="36"/>
      <c r="I54" s="37"/>
      <c r="J54" s="35"/>
      <c r="K54" s="38"/>
      <c r="L54" s="36"/>
      <c r="M54" s="37"/>
      <c r="N54" s="35"/>
      <c r="O54" s="38"/>
      <c r="P54" s="38"/>
      <c r="Q54" s="36"/>
      <c r="R54" s="37"/>
      <c r="S54" s="35"/>
      <c r="T54" s="38"/>
      <c r="U54" s="36"/>
      <c r="V54" s="37"/>
      <c r="W54" s="35"/>
      <c r="X54" s="38"/>
      <c r="Y54" s="36"/>
      <c r="Z54" s="37"/>
      <c r="AA54" s="35"/>
      <c r="AB54" s="38"/>
      <c r="AC54" s="38"/>
      <c r="AD54" s="36"/>
      <c r="AE54" s="158"/>
      <c r="AF54" s="35"/>
      <c r="AG54" s="38"/>
      <c r="AH54" s="36"/>
      <c r="AI54" s="37"/>
      <c r="AJ54" s="38"/>
      <c r="AK54" s="38"/>
      <c r="AL54" s="36"/>
      <c r="AM54" s="37"/>
      <c r="AN54" s="35"/>
      <c r="AO54" s="38"/>
      <c r="AP54" s="38"/>
      <c r="AQ54" s="36"/>
      <c r="AR54" s="37"/>
      <c r="AS54" s="35"/>
      <c r="AT54" s="38"/>
      <c r="AU54" s="36"/>
      <c r="AV54" s="37"/>
      <c r="AW54" s="38"/>
      <c r="AX54" s="38"/>
      <c r="AY54" s="36"/>
      <c r="AZ54" s="37"/>
      <c r="BA54" s="38"/>
      <c r="BB54" s="38"/>
      <c r="BC54" s="38"/>
      <c r="BD54" s="36"/>
      <c r="BE54" s="37"/>
      <c r="BF54" s="29"/>
      <c r="BG54" s="29"/>
      <c r="BH54" s="30"/>
      <c r="BI54" s="31"/>
      <c r="BJ54" s="133"/>
      <c r="BK54" s="30"/>
      <c r="BL54" s="31"/>
    </row>
    <row r="55" spans="2:64" s="15" customFormat="1" ht="18" hidden="1" customHeight="1" x14ac:dyDescent="0.25">
      <c r="B55" s="148" t="s">
        <v>56</v>
      </c>
      <c r="C55" s="27" t="s">
        <v>52</v>
      </c>
      <c r="D55" s="27" t="s">
        <v>55</v>
      </c>
      <c r="E55" s="34" t="s">
        <v>54</v>
      </c>
      <c r="F55" s="35"/>
      <c r="G55" s="38"/>
      <c r="H55" s="36"/>
      <c r="I55" s="37"/>
      <c r="J55" s="35"/>
      <c r="K55" s="38"/>
      <c r="L55" s="36"/>
      <c r="M55" s="37"/>
      <c r="N55" s="35"/>
      <c r="O55" s="38"/>
      <c r="P55" s="38"/>
      <c r="Q55" s="36"/>
      <c r="R55" s="37"/>
      <c r="S55" s="35"/>
      <c r="T55" s="38"/>
      <c r="U55" s="36"/>
      <c r="V55" s="37"/>
      <c r="W55" s="35"/>
      <c r="X55" s="38"/>
      <c r="Y55" s="36"/>
      <c r="Z55" s="37"/>
      <c r="AA55" s="35"/>
      <c r="AB55" s="38"/>
      <c r="AC55" s="38"/>
      <c r="AD55" s="36"/>
      <c r="AE55" s="158"/>
      <c r="AF55" s="35"/>
      <c r="AG55" s="38"/>
      <c r="AH55" s="36"/>
      <c r="AI55" s="37"/>
      <c r="AJ55" s="38"/>
      <c r="AK55" s="38"/>
      <c r="AL55" s="36"/>
      <c r="AM55" s="37"/>
      <c r="AN55" s="35"/>
      <c r="AO55" s="38"/>
      <c r="AP55" s="38"/>
      <c r="AQ55" s="36"/>
      <c r="AR55" s="37"/>
      <c r="AS55" s="35"/>
      <c r="AT55" s="38"/>
      <c r="AU55" s="36"/>
      <c r="AV55" s="37"/>
      <c r="AW55" s="38"/>
      <c r="AX55" s="38"/>
      <c r="AY55" s="36"/>
      <c r="AZ55" s="37"/>
      <c r="BA55" s="38"/>
      <c r="BB55" s="38"/>
      <c r="BC55" s="38"/>
      <c r="BD55" s="36"/>
      <c r="BE55" s="37"/>
      <c r="BF55" s="29">
        <v>1</v>
      </c>
      <c r="BG55" s="29">
        <f t="shared" si="3"/>
        <v>0</v>
      </c>
      <c r="BH55" s="30">
        <v>21</v>
      </c>
      <c r="BI55" s="31">
        <f>BH55*BG55</f>
        <v>0</v>
      </c>
      <c r="BJ55" s="133"/>
      <c r="BK55" s="30">
        <v>31</v>
      </c>
      <c r="BL55" s="31">
        <f t="shared" si="4"/>
        <v>0</v>
      </c>
    </row>
    <row r="56" spans="2:64" s="15" customFormat="1" ht="18" hidden="1" customHeight="1" x14ac:dyDescent="0.25">
      <c r="B56" s="148" t="s">
        <v>57</v>
      </c>
      <c r="C56" s="27" t="s">
        <v>52</v>
      </c>
      <c r="D56" s="27" t="s">
        <v>55</v>
      </c>
      <c r="E56" s="34" t="s">
        <v>73</v>
      </c>
      <c r="F56" s="35"/>
      <c r="G56" s="38"/>
      <c r="H56" s="36"/>
      <c r="I56" s="152"/>
      <c r="J56" s="35"/>
      <c r="K56" s="38"/>
      <c r="L56" s="151"/>
      <c r="M56" s="152"/>
      <c r="N56" s="35"/>
      <c r="O56" s="38"/>
      <c r="P56" s="150"/>
      <c r="Q56" s="151"/>
      <c r="R56" s="152"/>
      <c r="S56" s="35"/>
      <c r="T56" s="38"/>
      <c r="U56" s="151"/>
      <c r="V56" s="152"/>
      <c r="W56" s="35"/>
      <c r="X56" s="38"/>
      <c r="Y56" s="151"/>
      <c r="Z56" s="152"/>
      <c r="AA56" s="149"/>
      <c r="AB56" s="150"/>
      <c r="AC56" s="150"/>
      <c r="AD56" s="151"/>
      <c r="AE56" s="157"/>
      <c r="AF56" s="149"/>
      <c r="AG56" s="150"/>
      <c r="AH56" s="151"/>
      <c r="AI56" s="152"/>
      <c r="AJ56" s="35"/>
      <c r="AK56" s="38"/>
      <c r="AL56" s="151"/>
      <c r="AM56" s="152"/>
      <c r="AN56" s="35"/>
      <c r="AO56" s="38"/>
      <c r="AP56" s="150"/>
      <c r="AQ56" s="115"/>
      <c r="AR56" s="116"/>
      <c r="AS56" s="35"/>
      <c r="AT56" s="38"/>
      <c r="AU56" s="36"/>
      <c r="AV56" s="37"/>
      <c r="AW56" s="35"/>
      <c r="AX56" s="38"/>
      <c r="AY56" s="36"/>
      <c r="AZ56" s="37"/>
      <c r="BA56" s="35"/>
      <c r="BB56" s="38"/>
      <c r="BC56" s="38"/>
      <c r="BD56" s="36"/>
      <c r="BE56" s="37"/>
      <c r="BF56" s="29">
        <v>1</v>
      </c>
      <c r="BG56" s="29">
        <f t="shared" si="3"/>
        <v>0</v>
      </c>
      <c r="BH56" s="164" t="s">
        <v>89</v>
      </c>
      <c r="BI56" s="164" t="s">
        <v>89</v>
      </c>
      <c r="BJ56" s="133"/>
      <c r="BK56" s="30">
        <v>25</v>
      </c>
      <c r="BL56" s="31">
        <f t="shared" si="4"/>
        <v>0</v>
      </c>
    </row>
    <row r="57" spans="2:64" s="15" customFormat="1" ht="18" hidden="1" customHeight="1" x14ac:dyDescent="0.25">
      <c r="B57" s="148"/>
      <c r="C57" s="27"/>
      <c r="D57" s="27"/>
      <c r="E57" s="34"/>
      <c r="F57" s="35"/>
      <c r="G57" s="38"/>
      <c r="H57" s="36"/>
      <c r="I57" s="37"/>
      <c r="J57" s="35"/>
      <c r="K57" s="38"/>
      <c r="L57" s="36"/>
      <c r="M57" s="37"/>
      <c r="N57" s="35"/>
      <c r="O57" s="38"/>
      <c r="P57" s="38"/>
      <c r="Q57" s="36"/>
      <c r="R57" s="37"/>
      <c r="S57" s="35"/>
      <c r="T57" s="38"/>
      <c r="U57" s="36"/>
      <c r="V57" s="37"/>
      <c r="W57" s="35"/>
      <c r="X57" s="38"/>
      <c r="Y57" s="36"/>
      <c r="Z57" s="37"/>
      <c r="AA57" s="35"/>
      <c r="AB57" s="38"/>
      <c r="AC57" s="38"/>
      <c r="AD57" s="36"/>
      <c r="AE57" s="158"/>
      <c r="AF57" s="35"/>
      <c r="AG57" s="38"/>
      <c r="AH57" s="36"/>
      <c r="AI57" s="37"/>
      <c r="AJ57" s="38"/>
      <c r="AK57" s="38"/>
      <c r="AL57" s="36"/>
      <c r="AM57" s="37"/>
      <c r="AN57" s="35"/>
      <c r="AO57" s="38"/>
      <c r="AP57" s="38"/>
      <c r="AQ57" s="36"/>
      <c r="AR57" s="37"/>
      <c r="AS57" s="35"/>
      <c r="AT57" s="38"/>
      <c r="AU57" s="36"/>
      <c r="AV57" s="37"/>
      <c r="AW57" s="38"/>
      <c r="AX57" s="38"/>
      <c r="AY57" s="36"/>
      <c r="AZ57" s="37"/>
      <c r="BA57" s="38"/>
      <c r="BB57" s="38"/>
      <c r="BC57" s="38"/>
      <c r="BD57" s="36"/>
      <c r="BE57" s="37"/>
      <c r="BF57" s="29"/>
      <c r="BG57" s="29"/>
      <c r="BH57" s="30"/>
      <c r="BI57" s="31"/>
      <c r="BJ57" s="133"/>
      <c r="BK57" s="30"/>
      <c r="BL57" s="31"/>
    </row>
    <row r="58" spans="2:64" s="15" customFormat="1" ht="18" customHeight="1" x14ac:dyDescent="0.25">
      <c r="B58" s="33"/>
      <c r="C58" s="27"/>
      <c r="D58" s="27"/>
      <c r="E58" s="34"/>
      <c r="F58" s="35"/>
      <c r="G58" s="38"/>
      <c r="H58" s="36"/>
      <c r="I58" s="37"/>
      <c r="J58" s="35"/>
      <c r="K58" s="38"/>
      <c r="L58" s="36"/>
      <c r="M58" s="37"/>
      <c r="N58" s="35"/>
      <c r="O58" s="38"/>
      <c r="P58" s="38"/>
      <c r="Q58" s="36"/>
      <c r="R58" s="37"/>
      <c r="S58" s="35"/>
      <c r="T58" s="38"/>
      <c r="U58" s="36"/>
      <c r="V58" s="37"/>
      <c r="W58" s="35"/>
      <c r="X58" s="38"/>
      <c r="Y58" s="36"/>
      <c r="Z58" s="37"/>
      <c r="AA58" s="35"/>
      <c r="AB58" s="38"/>
      <c r="AC58" s="38"/>
      <c r="AD58" s="36"/>
      <c r="AE58" s="158"/>
      <c r="AF58" s="35"/>
      <c r="AG58" s="38"/>
      <c r="AH58" s="36"/>
      <c r="AI58" s="37"/>
      <c r="AJ58" s="38"/>
      <c r="AK58" s="38"/>
      <c r="AL58" s="36"/>
      <c r="AM58" s="37"/>
      <c r="AN58" s="35"/>
      <c r="AO58" s="38"/>
      <c r="AP58" s="38"/>
      <c r="AQ58" s="36"/>
      <c r="AR58" s="37"/>
      <c r="AS58" s="35"/>
      <c r="AT58" s="38"/>
      <c r="AU58" s="36"/>
      <c r="AV58" s="37"/>
      <c r="AW58" s="38"/>
      <c r="AX58" s="38"/>
      <c r="AY58" s="36"/>
      <c r="AZ58" s="37"/>
      <c r="BA58" s="38"/>
      <c r="BB58" s="38"/>
      <c r="BC58" s="38"/>
      <c r="BD58" s="36"/>
      <c r="BE58" s="37"/>
      <c r="BF58" s="29"/>
      <c r="BG58" s="29"/>
      <c r="BH58" s="30"/>
      <c r="BI58" s="31"/>
      <c r="BJ58" s="133"/>
      <c r="BK58" s="30"/>
      <c r="BL58" s="31"/>
    </row>
    <row r="59" spans="2:64" s="15" customFormat="1" ht="18" customHeight="1" x14ac:dyDescent="0.25">
      <c r="B59" s="21" t="s">
        <v>78</v>
      </c>
      <c r="C59" s="22"/>
      <c r="D59" s="22"/>
      <c r="E59" s="128"/>
      <c r="F59" s="23"/>
      <c r="G59" s="24"/>
      <c r="H59" s="24"/>
      <c r="I59" s="25"/>
      <c r="J59" s="23"/>
      <c r="K59" s="24"/>
      <c r="L59" s="24"/>
      <c r="M59" s="25"/>
      <c r="N59" s="23"/>
      <c r="O59" s="24"/>
      <c r="P59" s="24"/>
      <c r="Q59" s="24"/>
      <c r="R59" s="25"/>
      <c r="S59" s="23"/>
      <c r="T59" s="24"/>
      <c r="U59" s="24"/>
      <c r="V59" s="25"/>
      <c r="W59" s="23"/>
      <c r="X59" s="24"/>
      <c r="Y59" s="24"/>
      <c r="Z59" s="25"/>
      <c r="AA59" s="23"/>
      <c r="AB59" s="24"/>
      <c r="AC59" s="24"/>
      <c r="AD59" s="24"/>
      <c r="AE59" s="24"/>
      <c r="AF59" s="23"/>
      <c r="AG59" s="24"/>
      <c r="AH59" s="24"/>
      <c r="AI59" s="25"/>
      <c r="AJ59" s="24"/>
      <c r="AK59" s="24"/>
      <c r="AL59" s="24"/>
      <c r="AM59" s="25"/>
      <c r="AN59" s="23"/>
      <c r="AO59" s="24"/>
      <c r="AP59" s="24"/>
      <c r="AQ59" s="24"/>
      <c r="AR59" s="25"/>
      <c r="AS59" s="23"/>
      <c r="AT59" s="24"/>
      <c r="AU59" s="24"/>
      <c r="AV59" s="25"/>
      <c r="AW59" s="24"/>
      <c r="AX59" s="24"/>
      <c r="AY59" s="24"/>
      <c r="AZ59" s="25"/>
      <c r="BA59" s="24"/>
      <c r="BB59" s="24"/>
      <c r="BC59" s="24"/>
      <c r="BD59" s="24"/>
      <c r="BE59" s="25"/>
      <c r="BF59" s="44"/>
      <c r="BG59" s="44"/>
      <c r="BH59" s="26"/>
      <c r="BI59" s="45"/>
      <c r="BJ59" s="133"/>
      <c r="BK59" s="26"/>
      <c r="BL59" s="45"/>
    </row>
    <row r="60" spans="2:64" s="15" customFormat="1" ht="17.25" x14ac:dyDescent="0.25">
      <c r="B60" s="161" t="s">
        <v>65</v>
      </c>
      <c r="C60" s="39"/>
      <c r="D60" s="39"/>
      <c r="E60" s="40"/>
      <c r="F60" s="154"/>
      <c r="G60" s="153"/>
      <c r="H60" s="153"/>
      <c r="I60" s="155"/>
      <c r="J60" s="154"/>
      <c r="K60" s="153"/>
      <c r="L60" s="153"/>
      <c r="M60" s="155"/>
      <c r="N60" s="154"/>
      <c r="O60" s="153"/>
      <c r="P60" s="153"/>
      <c r="Q60" s="153"/>
      <c r="R60" s="155"/>
      <c r="S60" s="154"/>
      <c r="T60" s="153"/>
      <c r="U60" s="153"/>
      <c r="V60" s="155"/>
      <c r="W60" s="154"/>
      <c r="X60" s="153"/>
      <c r="Y60" s="153"/>
      <c r="Z60" s="155"/>
      <c r="AA60" s="154"/>
      <c r="AB60" s="153"/>
      <c r="AC60" s="153"/>
      <c r="AD60" s="153"/>
      <c r="AE60" s="153"/>
      <c r="AF60" s="154"/>
      <c r="AG60" s="153"/>
      <c r="AH60" s="153"/>
      <c r="AI60" s="155"/>
      <c r="AJ60" s="153"/>
      <c r="AK60" s="153"/>
      <c r="AL60" s="153"/>
      <c r="AM60" s="153"/>
      <c r="AN60" s="153"/>
      <c r="AO60" s="153"/>
      <c r="AP60" s="153"/>
      <c r="AQ60" s="153"/>
      <c r="AR60" s="153"/>
      <c r="AS60" s="154"/>
      <c r="AT60" s="153"/>
      <c r="AU60" s="153"/>
      <c r="AV60" s="153"/>
      <c r="AW60" s="153"/>
      <c r="AX60" s="153"/>
      <c r="AY60" s="153"/>
      <c r="AZ60" s="153"/>
      <c r="BA60" s="153"/>
      <c r="BB60" s="153"/>
      <c r="BC60" s="153"/>
      <c r="BD60" s="153"/>
      <c r="BE60" s="153"/>
      <c r="BF60" s="41"/>
      <c r="BG60" s="41">
        <f>SUM(BG62:BG64)</f>
        <v>130</v>
      </c>
      <c r="BH60" s="42"/>
      <c r="BI60" s="43">
        <f>BI62</f>
        <v>13015</v>
      </c>
      <c r="BJ60" s="133"/>
      <c r="BK60" s="43"/>
      <c r="BL60" s="43">
        <f>SUM(BL62:BL65)</f>
        <v>24685</v>
      </c>
    </row>
    <row r="61" spans="2:64" s="15" customFormat="1" ht="18" customHeight="1" x14ac:dyDescent="0.25">
      <c r="B61" s="106" t="s">
        <v>79</v>
      </c>
      <c r="C61" s="27"/>
      <c r="D61" s="27"/>
      <c r="E61" s="28"/>
      <c r="F61" s="114"/>
      <c r="G61" s="117"/>
      <c r="H61" s="115"/>
      <c r="I61" s="116"/>
      <c r="J61" s="114"/>
      <c r="K61" s="117"/>
      <c r="L61" s="115"/>
      <c r="M61" s="116"/>
      <c r="N61" s="114"/>
      <c r="O61" s="117"/>
      <c r="P61" s="117"/>
      <c r="Q61" s="115"/>
      <c r="R61" s="116"/>
      <c r="S61" s="114"/>
      <c r="T61" s="117"/>
      <c r="U61" s="115"/>
      <c r="V61" s="116"/>
      <c r="W61" s="114"/>
      <c r="X61" s="117"/>
      <c r="Y61" s="115"/>
      <c r="Z61" s="116"/>
      <c r="AA61" s="114"/>
      <c r="AB61" s="117"/>
      <c r="AC61" s="117"/>
      <c r="AD61" s="115"/>
      <c r="AE61" s="156"/>
      <c r="AF61" s="114"/>
      <c r="AG61" s="117"/>
      <c r="AH61" s="115"/>
      <c r="AI61" s="116"/>
      <c r="AJ61" s="117"/>
      <c r="AK61" s="117"/>
      <c r="AL61" s="115"/>
      <c r="AM61" s="116"/>
      <c r="AN61" s="114"/>
      <c r="AO61" s="117"/>
      <c r="AP61" s="117"/>
      <c r="AQ61" s="115"/>
      <c r="AR61" s="116"/>
      <c r="AS61" s="114"/>
      <c r="AT61" s="117"/>
      <c r="AU61" s="115"/>
      <c r="AV61" s="116"/>
      <c r="AW61" s="117"/>
      <c r="AX61" s="117"/>
      <c r="AY61" s="115"/>
      <c r="AZ61" s="116"/>
      <c r="BA61" s="117"/>
      <c r="BB61" s="117"/>
      <c r="BC61" s="117"/>
      <c r="BD61" s="115"/>
      <c r="BE61" s="116"/>
      <c r="BF61" s="29"/>
      <c r="BG61" s="29"/>
      <c r="BH61" s="30"/>
      <c r="BI61" s="31"/>
      <c r="BJ61" s="133"/>
      <c r="BK61" s="30"/>
      <c r="BL61" s="31"/>
    </row>
    <row r="62" spans="2:64" s="15" customFormat="1" ht="18" customHeight="1" x14ac:dyDescent="0.25">
      <c r="B62" s="148" t="s">
        <v>56</v>
      </c>
      <c r="C62" s="27" t="s">
        <v>52</v>
      </c>
      <c r="D62" s="27" t="s">
        <v>55</v>
      </c>
      <c r="E62" s="34" t="s">
        <v>54</v>
      </c>
      <c r="F62" s="35">
        <v>8</v>
      </c>
      <c r="G62" s="38">
        <v>5</v>
      </c>
      <c r="H62" s="36"/>
      <c r="I62" s="37"/>
      <c r="J62" s="35"/>
      <c r="K62" s="38"/>
      <c r="L62" s="36"/>
      <c r="M62" s="37"/>
      <c r="N62" s="35">
        <v>8</v>
      </c>
      <c r="O62" s="38">
        <v>5</v>
      </c>
      <c r="P62" s="38"/>
      <c r="Q62" s="36"/>
      <c r="R62" s="37"/>
      <c r="S62" s="35">
        <v>10</v>
      </c>
      <c r="T62" s="38">
        <v>5</v>
      </c>
      <c r="U62" s="36"/>
      <c r="V62" s="37"/>
      <c r="W62" s="35">
        <v>10</v>
      </c>
      <c r="X62" s="38">
        <v>5</v>
      </c>
      <c r="Y62" s="36"/>
      <c r="Z62" s="37"/>
      <c r="AA62" s="35"/>
      <c r="AB62" s="38"/>
      <c r="AC62" s="38"/>
      <c r="AD62" s="36"/>
      <c r="AE62" s="158"/>
      <c r="AF62" s="35"/>
      <c r="AG62" s="38"/>
      <c r="AH62" s="36"/>
      <c r="AI62" s="37"/>
      <c r="AJ62" s="38">
        <v>8</v>
      </c>
      <c r="AK62" s="38">
        <v>5</v>
      </c>
      <c r="AL62" s="36"/>
      <c r="AM62" s="37"/>
      <c r="AN62" s="35"/>
      <c r="AO62" s="38"/>
      <c r="AP62" s="38"/>
      <c r="AQ62" s="36"/>
      <c r="AR62" s="37"/>
      <c r="AS62" s="35"/>
      <c r="AT62" s="38"/>
      <c r="AU62" s="36"/>
      <c r="AV62" s="37"/>
      <c r="AW62" s="38">
        <v>8</v>
      </c>
      <c r="AX62" s="38">
        <v>5</v>
      </c>
      <c r="AY62" s="36"/>
      <c r="AZ62" s="37"/>
      <c r="BA62" s="38">
        <v>8</v>
      </c>
      <c r="BB62" s="38">
        <v>5</v>
      </c>
      <c r="BC62" s="38"/>
      <c r="BD62" s="36"/>
      <c r="BE62" s="37"/>
      <c r="BF62" s="29">
        <v>1</v>
      </c>
      <c r="BG62" s="29">
        <f>SUM(F62:BE62)*BF62</f>
        <v>95</v>
      </c>
      <c r="BH62" s="30">
        <v>137</v>
      </c>
      <c r="BI62" s="31">
        <f>BH62*BG62</f>
        <v>13015</v>
      </c>
      <c r="BJ62" s="133"/>
      <c r="BK62" s="30">
        <v>202</v>
      </c>
      <c r="BL62" s="31">
        <f>BK62*BG62/BF62</f>
        <v>19190</v>
      </c>
    </row>
    <row r="63" spans="2:64" s="15" customFormat="1" ht="18" customHeight="1" x14ac:dyDescent="0.25">
      <c r="B63" s="148" t="s">
        <v>57</v>
      </c>
      <c r="C63" s="27" t="s">
        <v>52</v>
      </c>
      <c r="D63" s="27" t="s">
        <v>55</v>
      </c>
      <c r="E63" s="34" t="s">
        <v>73</v>
      </c>
      <c r="F63" s="35">
        <v>3</v>
      </c>
      <c r="G63" s="38">
        <v>2</v>
      </c>
      <c r="H63" s="36"/>
      <c r="I63" s="152"/>
      <c r="J63" s="35"/>
      <c r="K63" s="38"/>
      <c r="L63" s="151"/>
      <c r="M63" s="152"/>
      <c r="N63" s="35">
        <v>3</v>
      </c>
      <c r="O63" s="38">
        <v>2</v>
      </c>
      <c r="P63" s="150"/>
      <c r="Q63" s="151"/>
      <c r="R63" s="152"/>
      <c r="S63" s="35">
        <v>3</v>
      </c>
      <c r="T63" s="38">
        <v>2</v>
      </c>
      <c r="U63" s="151"/>
      <c r="V63" s="152"/>
      <c r="W63" s="35">
        <v>3</v>
      </c>
      <c r="X63" s="38">
        <v>2</v>
      </c>
      <c r="Y63" s="151"/>
      <c r="Z63" s="152"/>
      <c r="AA63" s="149"/>
      <c r="AB63" s="150"/>
      <c r="AC63" s="150"/>
      <c r="AD63" s="151"/>
      <c r="AE63" s="157"/>
      <c r="AF63" s="149"/>
      <c r="AG63" s="150"/>
      <c r="AH63" s="151"/>
      <c r="AI63" s="152"/>
      <c r="AJ63" s="35">
        <v>3</v>
      </c>
      <c r="AK63" s="38">
        <v>2</v>
      </c>
      <c r="AL63" s="151"/>
      <c r="AM63" s="152"/>
      <c r="AN63" s="35"/>
      <c r="AO63" s="38"/>
      <c r="AP63" s="150"/>
      <c r="AQ63" s="115"/>
      <c r="AR63" s="116"/>
      <c r="AS63" s="35"/>
      <c r="AT63" s="38"/>
      <c r="AU63" s="151"/>
      <c r="AV63" s="152"/>
      <c r="AW63" s="35">
        <v>3</v>
      </c>
      <c r="AX63" s="38">
        <v>2</v>
      </c>
      <c r="AY63" s="151"/>
      <c r="AZ63" s="152"/>
      <c r="BA63" s="35">
        <v>3</v>
      </c>
      <c r="BB63" s="38">
        <v>2</v>
      </c>
      <c r="BC63" s="150"/>
      <c r="BD63" s="151"/>
      <c r="BE63" s="152"/>
      <c r="BF63" s="29">
        <v>1</v>
      </c>
      <c r="BG63" s="29">
        <f>SUM(F63:BE63)*BF63</f>
        <v>35</v>
      </c>
      <c r="BH63" s="164" t="s">
        <v>89</v>
      </c>
      <c r="BI63" s="164" t="s">
        <v>89</v>
      </c>
      <c r="BJ63" s="133"/>
      <c r="BK63" s="30">
        <v>157</v>
      </c>
      <c r="BL63" s="31">
        <f>BK63*BG63/BF63</f>
        <v>5495</v>
      </c>
    </row>
    <row r="64" spans="2:64" s="15" customFormat="1" ht="18" customHeight="1" x14ac:dyDescent="0.25">
      <c r="B64" s="33"/>
      <c r="C64" s="27"/>
      <c r="D64" s="27"/>
      <c r="E64" s="34"/>
      <c r="F64" s="35"/>
      <c r="G64" s="38"/>
      <c r="H64" s="36"/>
      <c r="I64" s="37"/>
      <c r="J64" s="35"/>
      <c r="K64" s="38"/>
      <c r="L64" s="36"/>
      <c r="M64" s="37"/>
      <c r="N64" s="35"/>
      <c r="O64" s="38"/>
      <c r="P64" s="38"/>
      <c r="Q64" s="36"/>
      <c r="R64" s="37"/>
      <c r="S64" s="35"/>
      <c r="T64" s="38"/>
      <c r="U64" s="36"/>
      <c r="V64" s="37"/>
      <c r="W64" s="35"/>
      <c r="X64" s="38"/>
      <c r="Y64" s="36"/>
      <c r="Z64" s="37"/>
      <c r="AA64" s="35"/>
      <c r="AB64" s="38"/>
      <c r="AC64" s="38"/>
      <c r="AD64" s="36"/>
      <c r="AE64" s="158"/>
      <c r="AF64" s="35"/>
      <c r="AG64" s="38"/>
      <c r="AH64" s="36"/>
      <c r="AI64" s="37"/>
      <c r="AJ64" s="38"/>
      <c r="AK64" s="38"/>
      <c r="AL64" s="36"/>
      <c r="AM64" s="37"/>
      <c r="AN64" s="35"/>
      <c r="AO64" s="38"/>
      <c r="AP64" s="38"/>
      <c r="AQ64" s="36"/>
      <c r="AR64" s="37"/>
      <c r="AS64" s="35"/>
      <c r="AT64" s="38"/>
      <c r="AU64" s="36"/>
      <c r="AV64" s="37"/>
      <c r="AW64" s="38"/>
      <c r="AX64" s="38"/>
      <c r="AY64" s="36"/>
      <c r="AZ64" s="37"/>
      <c r="BA64" s="38"/>
      <c r="BB64" s="38"/>
      <c r="BC64" s="38"/>
      <c r="BD64" s="36"/>
      <c r="BE64" s="37"/>
      <c r="BF64" s="29"/>
      <c r="BG64" s="29"/>
      <c r="BH64" s="30"/>
      <c r="BI64" s="31"/>
      <c r="BJ64" s="133"/>
      <c r="BK64" s="30"/>
      <c r="BL64" s="31"/>
    </row>
    <row r="65" spans="2:64" s="15" customFormat="1" ht="18" customHeight="1" x14ac:dyDescent="0.25">
      <c r="B65" s="33"/>
      <c r="C65" s="27"/>
      <c r="D65" s="27"/>
      <c r="E65" s="34"/>
      <c r="F65" s="35"/>
      <c r="G65" s="38"/>
      <c r="H65" s="36"/>
      <c r="I65" s="37"/>
      <c r="J65" s="35"/>
      <c r="K65" s="38"/>
      <c r="L65" s="36"/>
      <c r="M65" s="37"/>
      <c r="N65" s="35"/>
      <c r="O65" s="38"/>
      <c r="P65" s="38"/>
      <c r="Q65" s="36"/>
      <c r="R65" s="37"/>
      <c r="S65" s="35"/>
      <c r="T65" s="38"/>
      <c r="U65" s="36"/>
      <c r="V65" s="37"/>
      <c r="W65" s="35"/>
      <c r="X65" s="38"/>
      <c r="Y65" s="36"/>
      <c r="Z65" s="37"/>
      <c r="AA65" s="35"/>
      <c r="AB65" s="38"/>
      <c r="AC65" s="38"/>
      <c r="AD65" s="36"/>
      <c r="AE65" s="158"/>
      <c r="AF65" s="35"/>
      <c r="AG65" s="38"/>
      <c r="AH65" s="36"/>
      <c r="AI65" s="37"/>
      <c r="AJ65" s="38"/>
      <c r="AK65" s="38"/>
      <c r="AL65" s="36"/>
      <c r="AM65" s="37"/>
      <c r="AN65" s="35"/>
      <c r="AO65" s="38"/>
      <c r="AP65" s="38"/>
      <c r="AQ65" s="36"/>
      <c r="AR65" s="37"/>
      <c r="AS65" s="35"/>
      <c r="AT65" s="38"/>
      <c r="AU65" s="36"/>
      <c r="AV65" s="37"/>
      <c r="AW65" s="38"/>
      <c r="AX65" s="38"/>
      <c r="AY65" s="36"/>
      <c r="AZ65" s="37"/>
      <c r="BA65" s="38"/>
      <c r="BB65" s="38"/>
      <c r="BC65" s="38"/>
      <c r="BD65" s="36"/>
      <c r="BE65" s="37"/>
      <c r="BF65" s="29"/>
      <c r="BG65" s="29"/>
      <c r="BH65" s="30"/>
      <c r="BI65" s="31"/>
      <c r="BJ65" s="133"/>
      <c r="BK65" s="30"/>
      <c r="BL65" s="31"/>
    </row>
    <row r="66" spans="2:64" s="15" customFormat="1" ht="18" customHeight="1" x14ac:dyDescent="0.25">
      <c r="B66" s="21" t="s">
        <v>80</v>
      </c>
      <c r="C66" s="22"/>
      <c r="D66" s="22"/>
      <c r="E66" s="128"/>
      <c r="F66" s="23"/>
      <c r="G66" s="24"/>
      <c r="H66" s="24"/>
      <c r="I66" s="25"/>
      <c r="J66" s="23"/>
      <c r="K66" s="24"/>
      <c r="L66" s="24"/>
      <c r="M66" s="25"/>
      <c r="N66" s="23"/>
      <c r="O66" s="24"/>
      <c r="P66" s="24"/>
      <c r="Q66" s="24"/>
      <c r="R66" s="25"/>
      <c r="S66" s="23"/>
      <c r="T66" s="24"/>
      <c r="U66" s="24"/>
      <c r="V66" s="25"/>
      <c r="W66" s="23"/>
      <c r="X66" s="24"/>
      <c r="Y66" s="24"/>
      <c r="Z66" s="25"/>
      <c r="AA66" s="23"/>
      <c r="AB66" s="24"/>
      <c r="AC66" s="24"/>
      <c r="AD66" s="24"/>
      <c r="AE66" s="24"/>
      <c r="AF66" s="23"/>
      <c r="AG66" s="24"/>
      <c r="AH66" s="24"/>
      <c r="AI66" s="25"/>
      <c r="AJ66" s="24"/>
      <c r="AK66" s="24"/>
      <c r="AL66" s="24"/>
      <c r="AM66" s="25"/>
      <c r="AN66" s="23"/>
      <c r="AO66" s="24"/>
      <c r="AP66" s="24"/>
      <c r="AQ66" s="24"/>
      <c r="AR66" s="25"/>
      <c r="AS66" s="23"/>
      <c r="AT66" s="24"/>
      <c r="AU66" s="24"/>
      <c r="AV66" s="25"/>
      <c r="AW66" s="24"/>
      <c r="AX66" s="24"/>
      <c r="AY66" s="24"/>
      <c r="AZ66" s="25"/>
      <c r="BA66" s="24"/>
      <c r="BB66" s="24"/>
      <c r="BC66" s="24"/>
      <c r="BD66" s="24"/>
      <c r="BE66" s="25"/>
      <c r="BF66" s="44"/>
      <c r="BG66" s="44"/>
      <c r="BH66" s="26"/>
      <c r="BI66" s="45"/>
      <c r="BJ66" s="133"/>
      <c r="BK66" s="26"/>
      <c r="BL66" s="45"/>
    </row>
    <row r="67" spans="2:64" s="15" customFormat="1" ht="17.25" x14ac:dyDescent="0.25">
      <c r="B67" s="163" t="s">
        <v>88</v>
      </c>
      <c r="C67" s="39"/>
      <c r="D67" s="39"/>
      <c r="E67" s="40"/>
      <c r="F67" s="154"/>
      <c r="G67" s="153"/>
      <c r="H67" s="153"/>
      <c r="I67" s="155"/>
      <c r="J67" s="154"/>
      <c r="K67" s="153"/>
      <c r="L67" s="153"/>
      <c r="M67" s="155"/>
      <c r="N67" s="154"/>
      <c r="O67" s="153"/>
      <c r="P67" s="153"/>
      <c r="Q67" s="153"/>
      <c r="R67" s="155"/>
      <c r="S67" s="154"/>
      <c r="T67" s="153"/>
      <c r="U67" s="153"/>
      <c r="V67" s="155"/>
      <c r="W67" s="154"/>
      <c r="X67" s="153"/>
      <c r="Y67" s="153"/>
      <c r="Z67" s="155"/>
      <c r="AA67" s="154"/>
      <c r="AB67" s="153"/>
      <c r="AC67" s="153"/>
      <c r="AD67" s="153"/>
      <c r="AE67" s="153"/>
      <c r="AF67" s="154"/>
      <c r="AG67" s="153"/>
      <c r="AH67" s="153"/>
      <c r="AI67" s="155"/>
      <c r="AJ67" s="153"/>
      <c r="AK67" s="153"/>
      <c r="AL67" s="153"/>
      <c r="AM67" s="153"/>
      <c r="AN67" s="153"/>
      <c r="AO67" s="153"/>
      <c r="AP67" s="153"/>
      <c r="AQ67" s="153"/>
      <c r="AR67" s="153"/>
      <c r="AS67" s="154"/>
      <c r="AT67" s="153"/>
      <c r="AU67" s="153"/>
      <c r="AV67" s="153"/>
      <c r="AW67" s="153"/>
      <c r="AX67" s="153"/>
      <c r="AY67" s="153"/>
      <c r="AZ67" s="153"/>
      <c r="BA67" s="153"/>
      <c r="BB67" s="153"/>
      <c r="BC67" s="153"/>
      <c r="BD67" s="153"/>
      <c r="BE67" s="153"/>
      <c r="BF67" s="41"/>
      <c r="BG67" s="41">
        <f>SUM(BG68:BG80)</f>
        <v>390</v>
      </c>
      <c r="BH67" s="42"/>
      <c r="BI67" s="43">
        <f>BI69+BI73+BI77+BI81+BI85+BI89+BI93</f>
        <v>24567</v>
      </c>
      <c r="BJ67" s="133"/>
      <c r="BK67" s="43"/>
      <c r="BL67" s="43">
        <f>SUM(BL69:BL95)</f>
        <v>41084</v>
      </c>
    </row>
    <row r="68" spans="2:64" s="15" customFormat="1" ht="18" customHeight="1" x14ac:dyDescent="0.25">
      <c r="B68" s="162" t="s">
        <v>81</v>
      </c>
      <c r="C68" s="27"/>
      <c r="D68" s="27"/>
      <c r="E68" s="28"/>
      <c r="F68" s="114"/>
      <c r="G68" s="117"/>
      <c r="H68" s="115"/>
      <c r="I68" s="116"/>
      <c r="J68" s="114"/>
      <c r="K68" s="117"/>
      <c r="L68" s="115"/>
      <c r="M68" s="116"/>
      <c r="N68" s="114"/>
      <c r="O68" s="117"/>
      <c r="P68" s="117"/>
      <c r="Q68" s="115"/>
      <c r="R68" s="116"/>
      <c r="S68" s="114"/>
      <c r="T68" s="117"/>
      <c r="U68" s="115"/>
      <c r="V68" s="116"/>
      <c r="W68" s="114"/>
      <c r="X68" s="117"/>
      <c r="Y68" s="115"/>
      <c r="Z68" s="116"/>
      <c r="AA68" s="114"/>
      <c r="AB68" s="117"/>
      <c r="AC68" s="117"/>
      <c r="AD68" s="115"/>
      <c r="AE68" s="156"/>
      <c r="AF68" s="114"/>
      <c r="AG68" s="117"/>
      <c r="AH68" s="115"/>
      <c r="AI68" s="116"/>
      <c r="AJ68" s="117"/>
      <c r="AK68" s="117"/>
      <c r="AL68" s="115"/>
      <c r="AM68" s="116"/>
      <c r="AN68" s="114"/>
      <c r="AO68" s="117"/>
      <c r="AP68" s="117"/>
      <c r="AQ68" s="115"/>
      <c r="AR68" s="116"/>
      <c r="AS68" s="114"/>
      <c r="AT68" s="117"/>
      <c r="AU68" s="115"/>
      <c r="AV68" s="116"/>
      <c r="AW68" s="117"/>
      <c r="AX68" s="117"/>
      <c r="AY68" s="115"/>
      <c r="AZ68" s="116"/>
      <c r="BA68" s="117"/>
      <c r="BB68" s="117"/>
      <c r="BC68" s="117"/>
      <c r="BD68" s="115"/>
      <c r="BE68" s="116"/>
      <c r="BF68" s="29"/>
      <c r="BG68" s="29"/>
      <c r="BH68" s="30"/>
      <c r="BI68" s="31"/>
      <c r="BJ68" s="134"/>
      <c r="BK68" s="32"/>
      <c r="BL68" s="31"/>
    </row>
    <row r="69" spans="2:64" s="15" customFormat="1" ht="18" customHeight="1" x14ac:dyDescent="0.25">
      <c r="B69" s="148" t="s">
        <v>56</v>
      </c>
      <c r="C69" s="27" t="s">
        <v>52</v>
      </c>
      <c r="D69" s="27" t="s">
        <v>55</v>
      </c>
      <c r="E69" s="34" t="s">
        <v>54</v>
      </c>
      <c r="F69" s="35">
        <v>8</v>
      </c>
      <c r="G69" s="38">
        <v>5</v>
      </c>
      <c r="H69" s="36"/>
      <c r="I69" s="37"/>
      <c r="J69" s="35"/>
      <c r="K69" s="38"/>
      <c r="L69" s="36"/>
      <c r="M69" s="37"/>
      <c r="N69" s="35">
        <v>8</v>
      </c>
      <c r="O69" s="38">
        <v>5</v>
      </c>
      <c r="P69" s="38"/>
      <c r="Q69" s="36"/>
      <c r="R69" s="37"/>
      <c r="S69" s="35">
        <v>10</v>
      </c>
      <c r="T69" s="38">
        <v>5</v>
      </c>
      <c r="U69" s="36"/>
      <c r="V69" s="37"/>
      <c r="W69" s="35">
        <v>10</v>
      </c>
      <c r="X69" s="38">
        <v>5</v>
      </c>
      <c r="Y69" s="36"/>
      <c r="Z69" s="37"/>
      <c r="AA69" s="35"/>
      <c r="AB69" s="38"/>
      <c r="AC69" s="38"/>
      <c r="AD69" s="36"/>
      <c r="AE69" s="158"/>
      <c r="AF69" s="35"/>
      <c r="AG69" s="38"/>
      <c r="AH69" s="36"/>
      <c r="AI69" s="37"/>
      <c r="AJ69" s="35">
        <v>8</v>
      </c>
      <c r="AK69" s="38">
        <v>5</v>
      </c>
      <c r="AL69" s="36"/>
      <c r="AM69" s="37"/>
      <c r="AN69" s="35"/>
      <c r="AO69" s="38"/>
      <c r="AP69" s="38"/>
      <c r="AQ69" s="36"/>
      <c r="AR69" s="37"/>
      <c r="AS69" s="35"/>
      <c r="AT69" s="38"/>
      <c r="AU69" s="36"/>
      <c r="AV69" s="37"/>
      <c r="AW69" s="35">
        <v>8</v>
      </c>
      <c r="AX69" s="38">
        <v>5</v>
      </c>
      <c r="AY69" s="36"/>
      <c r="AZ69" s="37"/>
      <c r="BA69" s="35">
        <v>8</v>
      </c>
      <c r="BB69" s="38">
        <v>5</v>
      </c>
      <c r="BC69" s="38"/>
      <c r="BD69" s="36"/>
      <c r="BE69" s="37"/>
      <c r="BF69" s="29">
        <v>1</v>
      </c>
      <c r="BG69" s="29">
        <f>SUM(F69:BE69)*BF69</f>
        <v>95</v>
      </c>
      <c r="BH69" s="30">
        <v>29</v>
      </c>
      <c r="BI69" s="31">
        <f>BH69*BG69/BF69</f>
        <v>2755</v>
      </c>
      <c r="BJ69" s="133"/>
      <c r="BK69" s="30">
        <v>43</v>
      </c>
      <c r="BL69" s="31">
        <f>BK69*BG69/BF69</f>
        <v>4085</v>
      </c>
    </row>
    <row r="70" spans="2:64" s="15" customFormat="1" ht="18" customHeight="1" x14ac:dyDescent="0.25">
      <c r="B70" s="148" t="s">
        <v>57</v>
      </c>
      <c r="C70" s="27" t="s">
        <v>52</v>
      </c>
      <c r="D70" s="27" t="s">
        <v>55</v>
      </c>
      <c r="E70" s="34" t="s">
        <v>73</v>
      </c>
      <c r="F70" s="35">
        <v>3</v>
      </c>
      <c r="G70" s="38">
        <v>2</v>
      </c>
      <c r="H70" s="36"/>
      <c r="I70" s="152"/>
      <c r="J70" s="35"/>
      <c r="K70" s="38"/>
      <c r="L70" s="151"/>
      <c r="M70" s="152"/>
      <c r="N70" s="35">
        <v>3</v>
      </c>
      <c r="O70" s="38">
        <v>2</v>
      </c>
      <c r="P70" s="150"/>
      <c r="Q70" s="151"/>
      <c r="R70" s="152"/>
      <c r="S70" s="35">
        <v>3</v>
      </c>
      <c r="T70" s="38">
        <v>2</v>
      </c>
      <c r="U70" s="151"/>
      <c r="V70" s="152"/>
      <c r="W70" s="35">
        <v>3</v>
      </c>
      <c r="X70" s="38">
        <v>2</v>
      </c>
      <c r="Y70" s="151"/>
      <c r="Z70" s="152"/>
      <c r="AA70" s="149"/>
      <c r="AB70" s="150"/>
      <c r="AC70" s="150"/>
      <c r="AD70" s="151"/>
      <c r="AE70" s="157"/>
      <c r="AF70" s="149"/>
      <c r="AG70" s="150"/>
      <c r="AH70" s="151"/>
      <c r="AI70" s="152"/>
      <c r="AJ70" s="35">
        <v>3</v>
      </c>
      <c r="AK70" s="38">
        <v>2</v>
      </c>
      <c r="AL70" s="151"/>
      <c r="AM70" s="152"/>
      <c r="AN70" s="35"/>
      <c r="AO70" s="38"/>
      <c r="AP70" s="150"/>
      <c r="AQ70" s="115"/>
      <c r="AR70" s="116"/>
      <c r="AS70" s="35"/>
      <c r="AT70" s="38"/>
      <c r="AU70" s="151"/>
      <c r="AV70" s="152"/>
      <c r="AW70" s="35">
        <v>3</v>
      </c>
      <c r="AX70" s="38">
        <v>2</v>
      </c>
      <c r="AY70" s="151"/>
      <c r="AZ70" s="152"/>
      <c r="BA70" s="35">
        <v>3</v>
      </c>
      <c r="BB70" s="38">
        <v>2</v>
      </c>
      <c r="BC70" s="150"/>
      <c r="BD70" s="151"/>
      <c r="BE70" s="152"/>
      <c r="BF70" s="29">
        <v>1</v>
      </c>
      <c r="BG70" s="29">
        <f>SUM(F70:BE70)*BF70</f>
        <v>35</v>
      </c>
      <c r="BH70" s="164" t="s">
        <v>89</v>
      </c>
      <c r="BI70" s="164" t="s">
        <v>89</v>
      </c>
      <c r="BJ70" s="133"/>
      <c r="BK70" s="30">
        <v>34</v>
      </c>
      <c r="BL70" s="31">
        <f>BK70*BG70/BF70</f>
        <v>1190</v>
      </c>
    </row>
    <row r="71" spans="2:64" s="15" customFormat="1" ht="18" customHeight="1" x14ac:dyDescent="0.25">
      <c r="B71" s="33"/>
      <c r="C71" s="27"/>
      <c r="D71" s="27"/>
      <c r="E71" s="34"/>
      <c r="F71" s="35"/>
      <c r="G71" s="38"/>
      <c r="H71" s="36"/>
      <c r="I71" s="37"/>
      <c r="J71" s="35"/>
      <c r="K71" s="38"/>
      <c r="L71" s="36"/>
      <c r="M71" s="37"/>
      <c r="N71" s="35"/>
      <c r="O71" s="38"/>
      <c r="P71" s="38"/>
      <c r="Q71" s="36"/>
      <c r="R71" s="37"/>
      <c r="S71" s="35"/>
      <c r="T71" s="38"/>
      <c r="U71" s="36"/>
      <c r="V71" s="37"/>
      <c r="W71" s="35"/>
      <c r="X71" s="38"/>
      <c r="Y71" s="36"/>
      <c r="Z71" s="37"/>
      <c r="AA71" s="35"/>
      <c r="AB71" s="38"/>
      <c r="AC71" s="38"/>
      <c r="AD71" s="36"/>
      <c r="AE71" s="158"/>
      <c r="AF71" s="35"/>
      <c r="AG71" s="38"/>
      <c r="AH71" s="36"/>
      <c r="AI71" s="37"/>
      <c r="AJ71" s="35"/>
      <c r="AK71" s="38"/>
      <c r="AL71" s="36"/>
      <c r="AM71" s="37"/>
      <c r="AN71" s="35"/>
      <c r="AO71" s="38"/>
      <c r="AP71" s="38"/>
      <c r="AQ71" s="36"/>
      <c r="AR71" s="37"/>
      <c r="AS71" s="35"/>
      <c r="AT71" s="38"/>
      <c r="AU71" s="36"/>
      <c r="AV71" s="37"/>
      <c r="AW71" s="35"/>
      <c r="AX71" s="38"/>
      <c r="AY71" s="36"/>
      <c r="AZ71" s="37"/>
      <c r="BA71" s="35"/>
      <c r="BB71" s="38"/>
      <c r="BC71" s="38"/>
      <c r="BD71" s="36"/>
      <c r="BE71" s="37"/>
      <c r="BF71" s="29"/>
      <c r="BG71" s="29"/>
      <c r="BH71" s="30"/>
      <c r="BI71" s="31"/>
      <c r="BJ71" s="133"/>
      <c r="BK71" s="30"/>
      <c r="BL71" s="31"/>
    </row>
    <row r="72" spans="2:64" s="15" customFormat="1" ht="18" customHeight="1" x14ac:dyDescent="0.25">
      <c r="B72" s="162" t="s">
        <v>82</v>
      </c>
      <c r="C72" s="27"/>
      <c r="D72" s="27"/>
      <c r="E72" s="28"/>
      <c r="F72" s="35"/>
      <c r="G72" s="38"/>
      <c r="H72" s="36"/>
      <c r="I72" s="37"/>
      <c r="J72" s="35"/>
      <c r="K72" s="38"/>
      <c r="L72" s="36"/>
      <c r="M72" s="37"/>
      <c r="N72" s="35"/>
      <c r="O72" s="38"/>
      <c r="P72" s="38"/>
      <c r="Q72" s="36"/>
      <c r="R72" s="37"/>
      <c r="S72" s="35"/>
      <c r="T72" s="38"/>
      <c r="U72" s="36"/>
      <c r="V72" s="37"/>
      <c r="W72" s="35"/>
      <c r="X72" s="38"/>
      <c r="Y72" s="36"/>
      <c r="Z72" s="37"/>
      <c r="AA72" s="35"/>
      <c r="AB72" s="38"/>
      <c r="AC72" s="38"/>
      <c r="AD72" s="36"/>
      <c r="AE72" s="158"/>
      <c r="AF72" s="35"/>
      <c r="AG72" s="38"/>
      <c r="AH72" s="36"/>
      <c r="AI72" s="37"/>
      <c r="AJ72" s="35"/>
      <c r="AK72" s="38"/>
      <c r="AL72" s="36"/>
      <c r="AM72" s="37"/>
      <c r="AN72" s="35"/>
      <c r="AO72" s="38"/>
      <c r="AP72" s="38"/>
      <c r="AQ72" s="36"/>
      <c r="AR72" s="37"/>
      <c r="AS72" s="35"/>
      <c r="AT72" s="38"/>
      <c r="AU72" s="36"/>
      <c r="AV72" s="37"/>
      <c r="AW72" s="35"/>
      <c r="AX72" s="38"/>
      <c r="AY72" s="36"/>
      <c r="AZ72" s="37"/>
      <c r="BA72" s="35"/>
      <c r="BB72" s="38"/>
      <c r="BC72" s="38"/>
      <c r="BD72" s="36"/>
      <c r="BE72" s="37"/>
      <c r="BF72" s="29"/>
      <c r="BG72" s="29"/>
      <c r="BH72" s="30"/>
      <c r="BI72" s="31"/>
      <c r="BJ72" s="134"/>
      <c r="BK72" s="32"/>
      <c r="BL72" s="31"/>
    </row>
    <row r="73" spans="2:64" s="15" customFormat="1" ht="18" customHeight="1" x14ac:dyDescent="0.25">
      <c r="B73" s="148" t="s">
        <v>56</v>
      </c>
      <c r="C73" s="27" t="s">
        <v>52</v>
      </c>
      <c r="D73" s="27" t="s">
        <v>55</v>
      </c>
      <c r="E73" s="34" t="s">
        <v>54</v>
      </c>
      <c r="F73" s="35">
        <v>8</v>
      </c>
      <c r="G73" s="38">
        <v>5</v>
      </c>
      <c r="H73" s="36"/>
      <c r="I73" s="37"/>
      <c r="J73" s="35"/>
      <c r="K73" s="38"/>
      <c r="L73" s="36"/>
      <c r="M73" s="37"/>
      <c r="N73" s="35">
        <v>8</v>
      </c>
      <c r="O73" s="38">
        <v>5</v>
      </c>
      <c r="P73" s="38"/>
      <c r="Q73" s="36"/>
      <c r="R73" s="37"/>
      <c r="S73" s="35">
        <v>10</v>
      </c>
      <c r="T73" s="38">
        <v>5</v>
      </c>
      <c r="U73" s="36"/>
      <c r="V73" s="37"/>
      <c r="W73" s="35">
        <v>10</v>
      </c>
      <c r="X73" s="38">
        <v>5</v>
      </c>
      <c r="Y73" s="36"/>
      <c r="Z73" s="37"/>
      <c r="AA73" s="35"/>
      <c r="AB73" s="38"/>
      <c r="AC73" s="38"/>
      <c r="AD73" s="36"/>
      <c r="AE73" s="158"/>
      <c r="AF73" s="35"/>
      <c r="AG73" s="38"/>
      <c r="AH73" s="36"/>
      <c r="AI73" s="37"/>
      <c r="AJ73" s="35">
        <v>8</v>
      </c>
      <c r="AK73" s="38">
        <v>5</v>
      </c>
      <c r="AL73" s="36"/>
      <c r="AM73" s="37"/>
      <c r="AN73" s="35"/>
      <c r="AO73" s="38"/>
      <c r="AP73" s="38"/>
      <c r="AQ73" s="36"/>
      <c r="AR73" s="37"/>
      <c r="AS73" s="35"/>
      <c r="AT73" s="38"/>
      <c r="AU73" s="36"/>
      <c r="AV73" s="37"/>
      <c r="AW73" s="35">
        <v>8</v>
      </c>
      <c r="AX73" s="38">
        <v>5</v>
      </c>
      <c r="AY73" s="36"/>
      <c r="AZ73" s="37"/>
      <c r="BA73" s="35">
        <v>8</v>
      </c>
      <c r="BB73" s="38">
        <v>5</v>
      </c>
      <c r="BC73" s="38"/>
      <c r="BD73" s="36"/>
      <c r="BE73" s="37"/>
      <c r="BF73" s="29">
        <v>1</v>
      </c>
      <c r="BG73" s="29">
        <f>SUM(F73:BE73)*BF73</f>
        <v>95</v>
      </c>
      <c r="BH73" s="30">
        <v>29</v>
      </c>
      <c r="BI73" s="31">
        <f>BH73*BG73/BF73</f>
        <v>2755</v>
      </c>
      <c r="BJ73" s="133"/>
      <c r="BK73" s="30">
        <v>43</v>
      </c>
      <c r="BL73" s="31">
        <f>BK73*BG73/BF73</f>
        <v>4085</v>
      </c>
    </row>
    <row r="74" spans="2:64" s="15" customFormat="1" ht="18" customHeight="1" x14ac:dyDescent="0.25">
      <c r="B74" s="148" t="s">
        <v>57</v>
      </c>
      <c r="C74" s="27" t="s">
        <v>52</v>
      </c>
      <c r="D74" s="27" t="s">
        <v>55</v>
      </c>
      <c r="E74" s="34" t="s">
        <v>73</v>
      </c>
      <c r="F74" s="35">
        <v>3</v>
      </c>
      <c r="G74" s="38">
        <v>2</v>
      </c>
      <c r="H74" s="36"/>
      <c r="I74" s="152"/>
      <c r="J74" s="35"/>
      <c r="K74" s="38"/>
      <c r="L74" s="151"/>
      <c r="M74" s="152"/>
      <c r="N74" s="35">
        <v>3</v>
      </c>
      <c r="O74" s="38">
        <v>2</v>
      </c>
      <c r="P74" s="150"/>
      <c r="Q74" s="151"/>
      <c r="R74" s="152"/>
      <c r="S74" s="35">
        <v>3</v>
      </c>
      <c r="T74" s="38">
        <v>2</v>
      </c>
      <c r="U74" s="151"/>
      <c r="V74" s="152"/>
      <c r="W74" s="35">
        <v>3</v>
      </c>
      <c r="X74" s="38">
        <v>2</v>
      </c>
      <c r="Y74" s="151"/>
      <c r="Z74" s="152"/>
      <c r="AA74" s="149"/>
      <c r="AB74" s="150"/>
      <c r="AC74" s="150"/>
      <c r="AD74" s="151"/>
      <c r="AE74" s="157"/>
      <c r="AF74" s="149"/>
      <c r="AG74" s="150"/>
      <c r="AH74" s="151"/>
      <c r="AI74" s="152"/>
      <c r="AJ74" s="35">
        <v>3</v>
      </c>
      <c r="AK74" s="38">
        <v>2</v>
      </c>
      <c r="AL74" s="151"/>
      <c r="AM74" s="152"/>
      <c r="AN74" s="35"/>
      <c r="AO74" s="38"/>
      <c r="AP74" s="150"/>
      <c r="AQ74" s="115"/>
      <c r="AR74" s="116"/>
      <c r="AS74" s="35"/>
      <c r="AT74" s="38"/>
      <c r="AU74" s="36"/>
      <c r="AV74" s="37"/>
      <c r="AW74" s="35">
        <v>3</v>
      </c>
      <c r="AX74" s="38">
        <v>2</v>
      </c>
      <c r="AY74" s="36"/>
      <c r="AZ74" s="37"/>
      <c r="BA74" s="35">
        <v>3</v>
      </c>
      <c r="BB74" s="38">
        <v>2</v>
      </c>
      <c r="BC74" s="38"/>
      <c r="BD74" s="36"/>
      <c r="BE74" s="37"/>
      <c r="BF74" s="29">
        <v>1</v>
      </c>
      <c r="BG74" s="29">
        <f>SUM(F74:BE74)*BF74</f>
        <v>35</v>
      </c>
      <c r="BH74" s="164" t="s">
        <v>89</v>
      </c>
      <c r="BI74" s="164" t="s">
        <v>89</v>
      </c>
      <c r="BJ74" s="133"/>
      <c r="BK74" s="30">
        <v>34</v>
      </c>
      <c r="BL74" s="31"/>
    </row>
    <row r="75" spans="2:64" s="15" customFormat="1" ht="17.25" x14ac:dyDescent="0.25">
      <c r="B75" s="159"/>
      <c r="C75" s="27"/>
      <c r="D75" s="27"/>
      <c r="E75" s="28"/>
      <c r="F75" s="35"/>
      <c r="G75" s="38"/>
      <c r="H75" s="36"/>
      <c r="I75" s="37"/>
      <c r="J75" s="35"/>
      <c r="K75" s="38"/>
      <c r="L75" s="36"/>
      <c r="M75" s="37"/>
      <c r="N75" s="35"/>
      <c r="O75" s="38"/>
      <c r="P75" s="38"/>
      <c r="Q75" s="36"/>
      <c r="R75" s="37"/>
      <c r="S75" s="35"/>
      <c r="T75" s="38"/>
      <c r="U75" s="36"/>
      <c r="V75" s="37"/>
      <c r="W75" s="35"/>
      <c r="X75" s="38"/>
      <c r="Y75" s="36"/>
      <c r="Z75" s="37"/>
      <c r="AA75" s="35"/>
      <c r="AB75" s="38"/>
      <c r="AC75" s="38"/>
      <c r="AD75" s="36"/>
      <c r="AE75" s="158"/>
      <c r="AF75" s="35"/>
      <c r="AG75" s="38"/>
      <c r="AH75" s="36"/>
      <c r="AI75" s="37"/>
      <c r="AJ75" s="35"/>
      <c r="AK75" s="38"/>
      <c r="AL75" s="36"/>
      <c r="AM75" s="37"/>
      <c r="AN75" s="35"/>
      <c r="AO75" s="38"/>
      <c r="AP75" s="38"/>
      <c r="AQ75" s="36"/>
      <c r="AR75" s="37"/>
      <c r="AS75" s="35"/>
      <c r="AT75" s="38"/>
      <c r="AU75" s="36"/>
      <c r="AV75" s="37"/>
      <c r="AW75" s="35"/>
      <c r="AX75" s="38"/>
      <c r="AY75" s="36"/>
      <c r="AZ75" s="37"/>
      <c r="BA75" s="35"/>
      <c r="BB75" s="38"/>
      <c r="BC75" s="38"/>
      <c r="BD75" s="36"/>
      <c r="BE75" s="37"/>
      <c r="BF75" s="165"/>
      <c r="BG75" s="29"/>
      <c r="BH75" s="30"/>
      <c r="BI75" s="31"/>
      <c r="BJ75" s="160"/>
      <c r="BK75" s="31"/>
      <c r="BL75" s="31"/>
    </row>
    <row r="76" spans="2:64" s="15" customFormat="1" ht="18" customHeight="1" x14ac:dyDescent="0.25">
      <c r="B76" s="162" t="s">
        <v>83</v>
      </c>
      <c r="C76" s="27"/>
      <c r="D76" s="27"/>
      <c r="E76" s="28"/>
      <c r="F76" s="114"/>
      <c r="G76" s="117"/>
      <c r="H76" s="115"/>
      <c r="I76" s="116"/>
      <c r="J76" s="114"/>
      <c r="K76" s="117"/>
      <c r="L76" s="115"/>
      <c r="M76" s="116"/>
      <c r="N76" s="114"/>
      <c r="O76" s="117"/>
      <c r="P76" s="117"/>
      <c r="Q76" s="115"/>
      <c r="R76" s="116"/>
      <c r="S76" s="114"/>
      <c r="T76" s="117"/>
      <c r="U76" s="115"/>
      <c r="V76" s="116"/>
      <c r="W76" s="114"/>
      <c r="X76" s="117"/>
      <c r="Y76" s="115"/>
      <c r="Z76" s="116"/>
      <c r="AA76" s="114"/>
      <c r="AB76" s="117"/>
      <c r="AC76" s="117"/>
      <c r="AD76" s="115"/>
      <c r="AE76" s="156"/>
      <c r="AF76" s="114"/>
      <c r="AG76" s="117"/>
      <c r="AH76" s="115"/>
      <c r="AI76" s="116"/>
      <c r="AJ76" s="114"/>
      <c r="AK76" s="117"/>
      <c r="AL76" s="115"/>
      <c r="AM76" s="116"/>
      <c r="AN76" s="114"/>
      <c r="AO76" s="117"/>
      <c r="AP76" s="117"/>
      <c r="AQ76" s="115"/>
      <c r="AR76" s="116"/>
      <c r="AS76" s="114"/>
      <c r="AT76" s="117"/>
      <c r="AU76" s="115"/>
      <c r="AV76" s="116"/>
      <c r="AW76" s="114"/>
      <c r="AX76" s="117"/>
      <c r="AY76" s="115"/>
      <c r="AZ76" s="116"/>
      <c r="BA76" s="114"/>
      <c r="BB76" s="117"/>
      <c r="BC76" s="117"/>
      <c r="BD76" s="115"/>
      <c r="BE76" s="116"/>
      <c r="BF76" s="29"/>
      <c r="BG76" s="29"/>
      <c r="BH76" s="30"/>
      <c r="BI76" s="31"/>
      <c r="BJ76" s="134"/>
      <c r="BK76" s="32"/>
      <c r="BL76" s="31"/>
    </row>
    <row r="77" spans="2:64" s="15" customFormat="1" ht="18" customHeight="1" x14ac:dyDescent="0.25">
      <c r="B77" s="148" t="s">
        <v>56</v>
      </c>
      <c r="C77" s="27" t="s">
        <v>52</v>
      </c>
      <c r="D77" s="27" t="s">
        <v>55</v>
      </c>
      <c r="E77" s="34" t="s">
        <v>54</v>
      </c>
      <c r="F77" s="35">
        <v>8</v>
      </c>
      <c r="G77" s="38">
        <v>5</v>
      </c>
      <c r="H77" s="36"/>
      <c r="I77" s="37"/>
      <c r="J77" s="35"/>
      <c r="K77" s="38"/>
      <c r="L77" s="36"/>
      <c r="M77" s="37"/>
      <c r="N77" s="35">
        <v>8</v>
      </c>
      <c r="O77" s="38">
        <v>5</v>
      </c>
      <c r="P77" s="38"/>
      <c r="Q77" s="36"/>
      <c r="R77" s="37"/>
      <c r="S77" s="35">
        <v>10</v>
      </c>
      <c r="T77" s="38">
        <v>5</v>
      </c>
      <c r="U77" s="36"/>
      <c r="V77" s="37"/>
      <c r="W77" s="35">
        <v>10</v>
      </c>
      <c r="X77" s="38">
        <v>5</v>
      </c>
      <c r="Y77" s="36"/>
      <c r="Z77" s="37"/>
      <c r="AA77" s="35"/>
      <c r="AB77" s="38"/>
      <c r="AC77" s="38"/>
      <c r="AD77" s="36"/>
      <c r="AE77" s="158"/>
      <c r="AF77" s="35"/>
      <c r="AG77" s="38"/>
      <c r="AH77" s="36"/>
      <c r="AI77" s="37"/>
      <c r="AJ77" s="35">
        <v>8</v>
      </c>
      <c r="AK77" s="38">
        <v>5</v>
      </c>
      <c r="AL77" s="36"/>
      <c r="AM77" s="37"/>
      <c r="AN77" s="35"/>
      <c r="AO77" s="38"/>
      <c r="AP77" s="38"/>
      <c r="AQ77" s="36"/>
      <c r="AR77" s="37"/>
      <c r="AS77" s="35"/>
      <c r="AT77" s="38"/>
      <c r="AU77" s="36"/>
      <c r="AV77" s="37"/>
      <c r="AW77" s="35">
        <v>8</v>
      </c>
      <c r="AX77" s="38">
        <v>5</v>
      </c>
      <c r="AY77" s="36"/>
      <c r="AZ77" s="37"/>
      <c r="BA77" s="35">
        <v>8</v>
      </c>
      <c r="BB77" s="38">
        <v>5</v>
      </c>
      <c r="BC77" s="38"/>
      <c r="BD77" s="36"/>
      <c r="BE77" s="37"/>
      <c r="BF77" s="29">
        <v>1</v>
      </c>
      <c r="BG77" s="29">
        <f>SUM(F77:BE77)*BF77</f>
        <v>95</v>
      </c>
      <c r="BH77" s="30">
        <v>29</v>
      </c>
      <c r="BI77" s="31">
        <f>BH77*BG77/BF77</f>
        <v>2755</v>
      </c>
      <c r="BJ77" s="133"/>
      <c r="BK77" s="30">
        <v>43</v>
      </c>
      <c r="BL77" s="31">
        <f>BK77*BG77/BF77</f>
        <v>4085</v>
      </c>
    </row>
    <row r="78" spans="2:64" s="15" customFormat="1" ht="18" customHeight="1" x14ac:dyDescent="0.25">
      <c r="B78" s="148" t="s">
        <v>57</v>
      </c>
      <c r="C78" s="27" t="s">
        <v>52</v>
      </c>
      <c r="D78" s="27" t="s">
        <v>55</v>
      </c>
      <c r="E78" s="34" t="s">
        <v>73</v>
      </c>
      <c r="F78" s="35">
        <v>3</v>
      </c>
      <c r="G78" s="38">
        <v>2</v>
      </c>
      <c r="H78" s="36"/>
      <c r="I78" s="152"/>
      <c r="J78" s="35"/>
      <c r="K78" s="38"/>
      <c r="L78" s="151"/>
      <c r="M78" s="152"/>
      <c r="N78" s="35">
        <v>3</v>
      </c>
      <c r="O78" s="38">
        <v>2</v>
      </c>
      <c r="P78" s="150"/>
      <c r="Q78" s="151"/>
      <c r="R78" s="152"/>
      <c r="S78" s="35">
        <v>3</v>
      </c>
      <c r="T78" s="38">
        <v>2</v>
      </c>
      <c r="U78" s="151"/>
      <c r="V78" s="152"/>
      <c r="W78" s="35">
        <v>3</v>
      </c>
      <c r="X78" s="38">
        <v>2</v>
      </c>
      <c r="Y78" s="151"/>
      <c r="Z78" s="152"/>
      <c r="AA78" s="149"/>
      <c r="AB78" s="150"/>
      <c r="AC78" s="150"/>
      <c r="AD78" s="151"/>
      <c r="AE78" s="157"/>
      <c r="AF78" s="149"/>
      <c r="AG78" s="150"/>
      <c r="AH78" s="151"/>
      <c r="AI78" s="152"/>
      <c r="AJ78" s="35">
        <v>3</v>
      </c>
      <c r="AK78" s="38">
        <v>2</v>
      </c>
      <c r="AL78" s="151"/>
      <c r="AM78" s="152"/>
      <c r="AN78" s="35"/>
      <c r="AO78" s="38"/>
      <c r="AP78" s="150"/>
      <c r="AQ78" s="115"/>
      <c r="AR78" s="116"/>
      <c r="AS78" s="35"/>
      <c r="AT78" s="38"/>
      <c r="AU78" s="151"/>
      <c r="AV78" s="152"/>
      <c r="AW78" s="35">
        <v>3</v>
      </c>
      <c r="AX78" s="38">
        <v>2</v>
      </c>
      <c r="AY78" s="151"/>
      <c r="AZ78" s="152"/>
      <c r="BA78" s="35">
        <v>3</v>
      </c>
      <c r="BB78" s="38">
        <v>2</v>
      </c>
      <c r="BC78" s="150"/>
      <c r="BD78" s="151"/>
      <c r="BE78" s="152"/>
      <c r="BF78" s="29">
        <v>1</v>
      </c>
      <c r="BG78" s="29">
        <f>SUM(F78:BE78)*BF78</f>
        <v>35</v>
      </c>
      <c r="BH78" s="164" t="s">
        <v>89</v>
      </c>
      <c r="BI78" s="164" t="s">
        <v>89</v>
      </c>
      <c r="BJ78" s="133"/>
      <c r="BK78" s="30">
        <v>34</v>
      </c>
      <c r="BL78" s="31">
        <f>BK78*BG78/BF78</f>
        <v>1190</v>
      </c>
    </row>
    <row r="79" spans="2:64" s="15" customFormat="1" ht="18" customHeight="1" x14ac:dyDescent="0.25">
      <c r="B79" s="33"/>
      <c r="C79" s="27"/>
      <c r="D79" s="27"/>
      <c r="E79" s="34"/>
      <c r="F79" s="35"/>
      <c r="G79" s="38"/>
      <c r="H79" s="36"/>
      <c r="I79" s="37"/>
      <c r="J79" s="35"/>
      <c r="K79" s="38"/>
      <c r="L79" s="36"/>
      <c r="M79" s="37"/>
      <c r="N79" s="35"/>
      <c r="O79" s="38"/>
      <c r="P79" s="38"/>
      <c r="Q79" s="36"/>
      <c r="R79" s="37"/>
      <c r="S79" s="35"/>
      <c r="T79" s="38"/>
      <c r="U79" s="36"/>
      <c r="V79" s="37"/>
      <c r="W79" s="35"/>
      <c r="X79" s="38"/>
      <c r="Y79" s="36"/>
      <c r="Z79" s="37"/>
      <c r="AA79" s="35"/>
      <c r="AB79" s="38"/>
      <c r="AC79" s="38"/>
      <c r="AD79" s="36"/>
      <c r="AE79" s="158"/>
      <c r="AF79" s="35"/>
      <c r="AG79" s="38"/>
      <c r="AH79" s="36"/>
      <c r="AI79" s="37"/>
      <c r="AJ79" s="35"/>
      <c r="AK79" s="38"/>
      <c r="AL79" s="36"/>
      <c r="AM79" s="37"/>
      <c r="AN79" s="35"/>
      <c r="AO79" s="38"/>
      <c r="AP79" s="38"/>
      <c r="AQ79" s="36"/>
      <c r="AR79" s="37"/>
      <c r="AS79" s="35"/>
      <c r="AT79" s="38"/>
      <c r="AU79" s="36"/>
      <c r="AV79" s="37"/>
      <c r="AW79" s="35"/>
      <c r="AX79" s="38"/>
      <c r="AY79" s="36"/>
      <c r="AZ79" s="37"/>
      <c r="BA79" s="35"/>
      <c r="BB79" s="38"/>
      <c r="BC79" s="38"/>
      <c r="BD79" s="36"/>
      <c r="BE79" s="37"/>
      <c r="BF79" s="29"/>
      <c r="BG79" s="29"/>
      <c r="BH79" s="30"/>
      <c r="BI79" s="31"/>
      <c r="BJ79" s="133"/>
      <c r="BK79" s="30"/>
      <c r="BL79" s="31"/>
    </row>
    <row r="80" spans="2:64" s="15" customFormat="1" ht="18" customHeight="1" x14ac:dyDescent="0.25">
      <c r="B80" s="162" t="s">
        <v>84</v>
      </c>
      <c r="C80" s="27"/>
      <c r="D80" s="27"/>
      <c r="E80" s="28"/>
      <c r="F80" s="114"/>
      <c r="G80" s="117"/>
      <c r="H80" s="115"/>
      <c r="I80" s="116"/>
      <c r="J80" s="114"/>
      <c r="K80" s="117"/>
      <c r="L80" s="115"/>
      <c r="M80" s="116"/>
      <c r="N80" s="114"/>
      <c r="O80" s="117"/>
      <c r="P80" s="117"/>
      <c r="Q80" s="115"/>
      <c r="R80" s="116"/>
      <c r="S80" s="114"/>
      <c r="T80" s="117"/>
      <c r="U80" s="115"/>
      <c r="V80" s="116"/>
      <c r="W80" s="114"/>
      <c r="X80" s="117"/>
      <c r="Y80" s="115"/>
      <c r="Z80" s="116"/>
      <c r="AA80" s="114"/>
      <c r="AB80" s="117"/>
      <c r="AC80" s="117"/>
      <c r="AD80" s="115"/>
      <c r="AE80" s="156"/>
      <c r="AF80" s="114"/>
      <c r="AG80" s="117"/>
      <c r="AH80" s="115"/>
      <c r="AI80" s="116"/>
      <c r="AJ80" s="114"/>
      <c r="AK80" s="117"/>
      <c r="AL80" s="115"/>
      <c r="AM80" s="116"/>
      <c r="AN80" s="114"/>
      <c r="AO80" s="117"/>
      <c r="AP80" s="117"/>
      <c r="AQ80" s="115"/>
      <c r="AR80" s="116"/>
      <c r="AS80" s="114"/>
      <c r="AT80" s="117"/>
      <c r="AU80" s="115"/>
      <c r="AV80" s="116"/>
      <c r="AW80" s="114"/>
      <c r="AX80" s="117"/>
      <c r="AY80" s="115"/>
      <c r="AZ80" s="116"/>
      <c r="BA80" s="114"/>
      <c r="BB80" s="117"/>
      <c r="BC80" s="117"/>
      <c r="BD80" s="115"/>
      <c r="BE80" s="116"/>
      <c r="BF80" s="29"/>
      <c r="BG80" s="29"/>
      <c r="BH80" s="30"/>
      <c r="BI80" s="31"/>
      <c r="BJ80" s="134"/>
      <c r="BK80" s="32"/>
      <c r="BL80" s="31"/>
    </row>
    <row r="81" spans="2:64" s="15" customFormat="1" ht="18" customHeight="1" x14ac:dyDescent="0.25">
      <c r="B81" s="148" t="s">
        <v>56</v>
      </c>
      <c r="C81" s="27" t="s">
        <v>52</v>
      </c>
      <c r="D81" s="27" t="s">
        <v>55</v>
      </c>
      <c r="E81" s="34" t="s">
        <v>54</v>
      </c>
      <c r="F81" s="35">
        <v>8</v>
      </c>
      <c r="G81" s="38">
        <v>5</v>
      </c>
      <c r="H81" s="36"/>
      <c r="I81" s="37"/>
      <c r="J81" s="35"/>
      <c r="K81" s="38"/>
      <c r="L81" s="36"/>
      <c r="M81" s="37"/>
      <c r="N81" s="35">
        <v>8</v>
      </c>
      <c r="O81" s="38">
        <v>5</v>
      </c>
      <c r="P81" s="38"/>
      <c r="Q81" s="36"/>
      <c r="R81" s="37"/>
      <c r="S81" s="35">
        <v>10</v>
      </c>
      <c r="T81" s="38">
        <v>5</v>
      </c>
      <c r="U81" s="36"/>
      <c r="V81" s="37"/>
      <c r="W81" s="35">
        <v>10</v>
      </c>
      <c r="X81" s="38">
        <v>5</v>
      </c>
      <c r="Y81" s="36"/>
      <c r="Z81" s="37"/>
      <c r="AA81" s="35"/>
      <c r="AB81" s="38"/>
      <c r="AC81" s="38"/>
      <c r="AD81" s="36"/>
      <c r="AE81" s="158"/>
      <c r="AF81" s="35"/>
      <c r="AG81" s="38"/>
      <c r="AH81" s="36"/>
      <c r="AI81" s="37"/>
      <c r="AJ81" s="35">
        <v>8</v>
      </c>
      <c r="AK81" s="38">
        <v>5</v>
      </c>
      <c r="AL81" s="36"/>
      <c r="AM81" s="37"/>
      <c r="AN81" s="35"/>
      <c r="AO81" s="38"/>
      <c r="AP81" s="38"/>
      <c r="AQ81" s="36"/>
      <c r="AR81" s="37"/>
      <c r="AS81" s="35"/>
      <c r="AT81" s="38"/>
      <c r="AU81" s="36"/>
      <c r="AV81" s="37"/>
      <c r="AW81" s="35">
        <v>8</v>
      </c>
      <c r="AX81" s="38">
        <v>5</v>
      </c>
      <c r="AY81" s="36"/>
      <c r="AZ81" s="37"/>
      <c r="BA81" s="35">
        <v>8</v>
      </c>
      <c r="BB81" s="38">
        <v>5</v>
      </c>
      <c r="BC81" s="38"/>
      <c r="BD81" s="36"/>
      <c r="BE81" s="37"/>
      <c r="BF81" s="29">
        <v>1</v>
      </c>
      <c r="BG81" s="29">
        <f>SUM(F81:BE81)*BF81</f>
        <v>95</v>
      </c>
      <c r="BH81" s="30">
        <v>29</v>
      </c>
      <c r="BI81" s="31">
        <f>BH81*BG81/BF81</f>
        <v>2755</v>
      </c>
      <c r="BJ81" s="133"/>
      <c r="BK81" s="30">
        <v>43</v>
      </c>
      <c r="BL81" s="31">
        <f>BK81*BG81/BF81</f>
        <v>4085</v>
      </c>
    </row>
    <row r="82" spans="2:64" s="15" customFormat="1" ht="18" customHeight="1" x14ac:dyDescent="0.25">
      <c r="B82" s="148" t="s">
        <v>57</v>
      </c>
      <c r="C82" s="27" t="s">
        <v>52</v>
      </c>
      <c r="D82" s="27" t="s">
        <v>55</v>
      </c>
      <c r="E82" s="34" t="s">
        <v>73</v>
      </c>
      <c r="F82" s="35">
        <v>3</v>
      </c>
      <c r="G82" s="38">
        <v>2</v>
      </c>
      <c r="H82" s="36"/>
      <c r="I82" s="152"/>
      <c r="J82" s="35"/>
      <c r="K82" s="38"/>
      <c r="L82" s="151"/>
      <c r="M82" s="152"/>
      <c r="N82" s="35">
        <v>3</v>
      </c>
      <c r="O82" s="38">
        <v>2</v>
      </c>
      <c r="P82" s="150"/>
      <c r="Q82" s="151"/>
      <c r="R82" s="152"/>
      <c r="S82" s="35">
        <v>3</v>
      </c>
      <c r="T82" s="38">
        <v>2</v>
      </c>
      <c r="U82" s="151"/>
      <c r="V82" s="152"/>
      <c r="W82" s="35">
        <v>3</v>
      </c>
      <c r="X82" s="38">
        <v>2</v>
      </c>
      <c r="Y82" s="151"/>
      <c r="Z82" s="152"/>
      <c r="AA82" s="149"/>
      <c r="AB82" s="150"/>
      <c r="AC82" s="150"/>
      <c r="AD82" s="151"/>
      <c r="AE82" s="157"/>
      <c r="AF82" s="149"/>
      <c r="AG82" s="150"/>
      <c r="AH82" s="151"/>
      <c r="AI82" s="152"/>
      <c r="AJ82" s="35">
        <v>3</v>
      </c>
      <c r="AK82" s="38">
        <v>2</v>
      </c>
      <c r="AL82" s="151"/>
      <c r="AM82" s="152"/>
      <c r="AN82" s="35"/>
      <c r="AO82" s="38"/>
      <c r="AP82" s="150"/>
      <c r="AQ82" s="115"/>
      <c r="AR82" s="116"/>
      <c r="AS82" s="35"/>
      <c r="AT82" s="38"/>
      <c r="AU82" s="115"/>
      <c r="AV82" s="116"/>
      <c r="AW82" s="35">
        <v>3</v>
      </c>
      <c r="AX82" s="38">
        <v>2</v>
      </c>
      <c r="AY82" s="115"/>
      <c r="AZ82" s="116"/>
      <c r="BA82" s="35">
        <v>3</v>
      </c>
      <c r="BB82" s="38">
        <v>2</v>
      </c>
      <c r="BC82" s="117"/>
      <c r="BD82" s="115"/>
      <c r="BE82" s="116"/>
      <c r="BF82" s="29">
        <v>1</v>
      </c>
      <c r="BG82" s="29">
        <f>SUM(F82:BE82)*BF82</f>
        <v>35</v>
      </c>
      <c r="BH82" s="164" t="s">
        <v>89</v>
      </c>
      <c r="BI82" s="164" t="s">
        <v>89</v>
      </c>
      <c r="BJ82" s="133"/>
      <c r="BK82" s="30">
        <v>34</v>
      </c>
      <c r="BL82" s="31"/>
    </row>
    <row r="83" spans="2:64" s="15" customFormat="1" ht="18" customHeight="1" x14ac:dyDescent="0.25">
      <c r="B83" s="33"/>
      <c r="C83" s="27"/>
      <c r="D83" s="27"/>
      <c r="E83" s="34"/>
      <c r="F83" s="35"/>
      <c r="G83" s="38"/>
      <c r="H83" s="36"/>
      <c r="I83" s="37"/>
      <c r="J83" s="35"/>
      <c r="K83" s="38"/>
      <c r="L83" s="36"/>
      <c r="M83" s="37"/>
      <c r="N83" s="35"/>
      <c r="O83" s="38"/>
      <c r="P83" s="38"/>
      <c r="Q83" s="36"/>
      <c r="R83" s="37"/>
      <c r="S83" s="35"/>
      <c r="T83" s="38"/>
      <c r="U83" s="36"/>
      <c r="V83" s="37"/>
      <c r="W83" s="35"/>
      <c r="X83" s="38"/>
      <c r="Y83" s="36"/>
      <c r="Z83" s="37"/>
      <c r="AA83" s="35"/>
      <c r="AB83" s="38"/>
      <c r="AC83" s="38"/>
      <c r="AD83" s="36"/>
      <c r="AE83" s="158"/>
      <c r="AF83" s="35"/>
      <c r="AG83" s="38"/>
      <c r="AH83" s="36"/>
      <c r="AI83" s="37"/>
      <c r="AJ83" s="35"/>
      <c r="AK83" s="38"/>
      <c r="AL83" s="36"/>
      <c r="AM83" s="37"/>
      <c r="AN83" s="35"/>
      <c r="AO83" s="38"/>
      <c r="AP83" s="38"/>
      <c r="AQ83" s="36"/>
      <c r="AR83" s="37"/>
      <c r="AS83" s="35"/>
      <c r="AT83" s="38"/>
      <c r="AU83" s="36"/>
      <c r="AV83" s="37"/>
      <c r="AW83" s="35"/>
      <c r="AX83" s="38"/>
      <c r="AY83" s="36"/>
      <c r="AZ83" s="37"/>
      <c r="BA83" s="35"/>
      <c r="BB83" s="38"/>
      <c r="BC83" s="38"/>
      <c r="BD83" s="36"/>
      <c r="BE83" s="37"/>
      <c r="BF83" s="29"/>
      <c r="BG83" s="29"/>
      <c r="BH83" s="30"/>
      <c r="BI83" s="31"/>
      <c r="BJ83" s="133"/>
      <c r="BK83" s="30"/>
      <c r="BL83" s="31"/>
    </row>
    <row r="84" spans="2:64" s="15" customFormat="1" ht="18" customHeight="1" x14ac:dyDescent="0.25">
      <c r="B84" s="106" t="s">
        <v>85</v>
      </c>
      <c r="C84" s="27"/>
      <c r="D84" s="27"/>
      <c r="E84" s="28"/>
      <c r="F84" s="35"/>
      <c r="G84" s="38"/>
      <c r="H84" s="36"/>
      <c r="I84" s="37"/>
      <c r="J84" s="35"/>
      <c r="K84" s="38"/>
      <c r="L84" s="36"/>
      <c r="M84" s="37"/>
      <c r="N84" s="35"/>
      <c r="O84" s="38"/>
      <c r="P84" s="38"/>
      <c r="Q84" s="36"/>
      <c r="R84" s="37"/>
      <c r="S84" s="35"/>
      <c r="T84" s="38"/>
      <c r="U84" s="36"/>
      <c r="V84" s="37"/>
      <c r="W84" s="35"/>
      <c r="X84" s="38"/>
      <c r="Y84" s="36"/>
      <c r="Z84" s="37"/>
      <c r="AA84" s="35"/>
      <c r="AB84" s="38"/>
      <c r="AC84" s="38"/>
      <c r="AD84" s="36"/>
      <c r="AE84" s="158"/>
      <c r="AF84" s="35"/>
      <c r="AG84" s="38"/>
      <c r="AH84" s="36"/>
      <c r="AI84" s="37"/>
      <c r="AJ84" s="35"/>
      <c r="AK84" s="38"/>
      <c r="AL84" s="36"/>
      <c r="AM84" s="37"/>
      <c r="AN84" s="35"/>
      <c r="AO84" s="38"/>
      <c r="AP84" s="38"/>
      <c r="AQ84" s="36"/>
      <c r="AR84" s="37"/>
      <c r="AS84" s="35"/>
      <c r="AT84" s="38"/>
      <c r="AU84" s="36"/>
      <c r="AV84" s="37"/>
      <c r="AW84" s="35"/>
      <c r="AX84" s="38"/>
      <c r="AY84" s="36"/>
      <c r="AZ84" s="37"/>
      <c r="BA84" s="35"/>
      <c r="BB84" s="38"/>
      <c r="BC84" s="38"/>
      <c r="BD84" s="36"/>
      <c r="BE84" s="37"/>
      <c r="BF84" s="29"/>
      <c r="BG84" s="29"/>
      <c r="BH84" s="30"/>
      <c r="BI84" s="31"/>
      <c r="BJ84" s="134"/>
      <c r="BK84" s="32"/>
      <c r="BL84" s="31"/>
    </row>
    <row r="85" spans="2:64" s="15" customFormat="1" ht="18" customHeight="1" x14ac:dyDescent="0.25">
      <c r="B85" s="148" t="s">
        <v>56</v>
      </c>
      <c r="C85" s="27" t="s">
        <v>52</v>
      </c>
      <c r="D85" s="27" t="s">
        <v>55</v>
      </c>
      <c r="E85" s="34" t="s">
        <v>54</v>
      </c>
      <c r="F85" s="35">
        <v>8</v>
      </c>
      <c r="G85" s="38">
        <v>5</v>
      </c>
      <c r="H85" s="36"/>
      <c r="I85" s="37"/>
      <c r="J85" s="35"/>
      <c r="K85" s="38"/>
      <c r="L85" s="36"/>
      <c r="M85" s="37"/>
      <c r="N85" s="35">
        <v>8</v>
      </c>
      <c r="O85" s="38">
        <v>5</v>
      </c>
      <c r="P85" s="38"/>
      <c r="Q85" s="36"/>
      <c r="R85" s="37"/>
      <c r="S85" s="35">
        <v>10</v>
      </c>
      <c r="T85" s="38">
        <v>5</v>
      </c>
      <c r="U85" s="36"/>
      <c r="V85" s="37"/>
      <c r="W85" s="35">
        <v>10</v>
      </c>
      <c r="X85" s="38">
        <v>5</v>
      </c>
      <c r="Y85" s="36"/>
      <c r="Z85" s="37"/>
      <c r="AA85" s="35"/>
      <c r="AB85" s="38"/>
      <c r="AC85" s="38"/>
      <c r="AD85" s="36"/>
      <c r="AE85" s="158"/>
      <c r="AF85" s="35"/>
      <c r="AG85" s="38"/>
      <c r="AH85" s="36"/>
      <c r="AI85" s="37"/>
      <c r="AJ85" s="35">
        <v>8</v>
      </c>
      <c r="AK85" s="38">
        <v>5</v>
      </c>
      <c r="AL85" s="36"/>
      <c r="AM85" s="37"/>
      <c r="AN85" s="35"/>
      <c r="AO85" s="38"/>
      <c r="AP85" s="38"/>
      <c r="AQ85" s="36"/>
      <c r="AR85" s="37"/>
      <c r="AS85" s="35"/>
      <c r="AT85" s="38"/>
      <c r="AU85" s="36"/>
      <c r="AV85" s="37"/>
      <c r="AW85" s="35">
        <v>8</v>
      </c>
      <c r="AX85" s="38">
        <v>5</v>
      </c>
      <c r="AY85" s="36"/>
      <c r="AZ85" s="37"/>
      <c r="BA85" s="35">
        <v>8</v>
      </c>
      <c r="BB85" s="38">
        <v>5</v>
      </c>
      <c r="BC85" s="38"/>
      <c r="BD85" s="36"/>
      <c r="BE85" s="37"/>
      <c r="BF85" s="29">
        <v>1</v>
      </c>
      <c r="BG85" s="29">
        <f>SUM(F85:BE85)*BF85</f>
        <v>95</v>
      </c>
      <c r="BH85" s="30">
        <v>42</v>
      </c>
      <c r="BI85" s="31">
        <f>BH85*BG85/BF85</f>
        <v>3990</v>
      </c>
      <c r="BJ85" s="133"/>
      <c r="BK85" s="30">
        <v>63</v>
      </c>
      <c r="BL85" s="31">
        <f>BK85*BG85/BF85</f>
        <v>5985</v>
      </c>
    </row>
    <row r="86" spans="2:64" s="15" customFormat="1" ht="18" customHeight="1" x14ac:dyDescent="0.25">
      <c r="B86" s="148" t="s">
        <v>57</v>
      </c>
      <c r="C86" s="27" t="s">
        <v>52</v>
      </c>
      <c r="D86" s="27" t="s">
        <v>55</v>
      </c>
      <c r="E86" s="34" t="s">
        <v>73</v>
      </c>
      <c r="F86" s="35">
        <v>3</v>
      </c>
      <c r="G86" s="38">
        <v>2</v>
      </c>
      <c r="H86" s="36"/>
      <c r="I86" s="152"/>
      <c r="J86" s="35"/>
      <c r="K86" s="38"/>
      <c r="L86" s="151"/>
      <c r="M86" s="152"/>
      <c r="N86" s="35">
        <v>3</v>
      </c>
      <c r="O86" s="38">
        <v>2</v>
      </c>
      <c r="P86" s="150"/>
      <c r="Q86" s="151"/>
      <c r="R86" s="152"/>
      <c r="S86" s="35">
        <v>3</v>
      </c>
      <c r="T86" s="38">
        <v>2</v>
      </c>
      <c r="U86" s="151"/>
      <c r="V86" s="152"/>
      <c r="W86" s="35">
        <v>3</v>
      </c>
      <c r="X86" s="38">
        <v>2</v>
      </c>
      <c r="Y86" s="151"/>
      <c r="Z86" s="152"/>
      <c r="AA86" s="149"/>
      <c r="AB86" s="150"/>
      <c r="AC86" s="150"/>
      <c r="AD86" s="151"/>
      <c r="AE86" s="157"/>
      <c r="AF86" s="149"/>
      <c r="AG86" s="150"/>
      <c r="AH86" s="151"/>
      <c r="AI86" s="152"/>
      <c r="AJ86" s="35">
        <v>3</v>
      </c>
      <c r="AK86" s="38">
        <v>2</v>
      </c>
      <c r="AL86" s="151"/>
      <c r="AM86" s="152"/>
      <c r="AN86" s="35"/>
      <c r="AO86" s="38"/>
      <c r="AP86" s="150"/>
      <c r="AQ86" s="115"/>
      <c r="AR86" s="116"/>
      <c r="AS86" s="35"/>
      <c r="AT86" s="38"/>
      <c r="AU86" s="36"/>
      <c r="AV86" s="37"/>
      <c r="AW86" s="35">
        <v>3</v>
      </c>
      <c r="AX86" s="38">
        <v>2</v>
      </c>
      <c r="AY86" s="36"/>
      <c r="AZ86" s="37"/>
      <c r="BA86" s="35">
        <v>3</v>
      </c>
      <c r="BB86" s="38">
        <v>2</v>
      </c>
      <c r="BC86" s="38"/>
      <c r="BD86" s="36"/>
      <c r="BE86" s="37"/>
      <c r="BF86" s="29">
        <v>1</v>
      </c>
      <c r="BG86" s="29">
        <f>SUM(F86:BE86)*BF86</f>
        <v>35</v>
      </c>
      <c r="BH86" s="164" t="s">
        <v>89</v>
      </c>
      <c r="BI86" s="164" t="s">
        <v>89</v>
      </c>
      <c r="BJ86" s="133"/>
      <c r="BK86" s="30">
        <v>49</v>
      </c>
      <c r="BL86" s="31"/>
    </row>
    <row r="87" spans="2:64" s="15" customFormat="1" ht="17.25" x14ac:dyDescent="0.25">
      <c r="B87" s="159"/>
      <c r="C87" s="27"/>
      <c r="D87" s="27"/>
      <c r="E87" s="28"/>
      <c r="F87" s="35"/>
      <c r="G87" s="38"/>
      <c r="H87" s="36"/>
      <c r="I87" s="37"/>
      <c r="J87" s="35"/>
      <c r="K87" s="38"/>
      <c r="L87" s="36"/>
      <c r="M87" s="37"/>
      <c r="N87" s="35"/>
      <c r="O87" s="38"/>
      <c r="P87" s="38"/>
      <c r="Q87" s="36"/>
      <c r="R87" s="37"/>
      <c r="S87" s="35"/>
      <c r="T87" s="38"/>
      <c r="U87" s="36"/>
      <c r="V87" s="37"/>
      <c r="W87" s="35"/>
      <c r="X87" s="38"/>
      <c r="Y87" s="36"/>
      <c r="Z87" s="37"/>
      <c r="AA87" s="35"/>
      <c r="AB87" s="38"/>
      <c r="AC87" s="38"/>
      <c r="AD87" s="36"/>
      <c r="AE87" s="158"/>
      <c r="AF87" s="35"/>
      <c r="AG87" s="38"/>
      <c r="AH87" s="36"/>
      <c r="AI87" s="37"/>
      <c r="AJ87" s="35"/>
      <c r="AK87" s="38"/>
      <c r="AL87" s="36"/>
      <c r="AM87" s="37"/>
      <c r="AN87" s="35"/>
      <c r="AO87" s="38"/>
      <c r="AP87" s="38"/>
      <c r="AQ87" s="36"/>
      <c r="AR87" s="37"/>
      <c r="AS87" s="35"/>
      <c r="AT87" s="38"/>
      <c r="AU87" s="36"/>
      <c r="AV87" s="37"/>
      <c r="AW87" s="35"/>
      <c r="AX87" s="38"/>
      <c r="AY87" s="36"/>
      <c r="AZ87" s="37"/>
      <c r="BA87" s="35"/>
      <c r="BB87" s="38"/>
      <c r="BC87" s="38"/>
      <c r="BD87" s="36"/>
      <c r="BE87" s="37"/>
      <c r="BF87" s="165"/>
      <c r="BG87" s="29"/>
      <c r="BH87" s="30"/>
      <c r="BI87" s="31"/>
      <c r="BJ87" s="160"/>
      <c r="BK87" s="31"/>
      <c r="BL87" s="31"/>
    </row>
    <row r="88" spans="2:64" s="15" customFormat="1" ht="18" customHeight="1" x14ac:dyDescent="0.25">
      <c r="B88" s="106" t="s">
        <v>86</v>
      </c>
      <c r="C88" s="27"/>
      <c r="D88" s="27"/>
      <c r="E88" s="28"/>
      <c r="F88" s="114"/>
      <c r="G88" s="117"/>
      <c r="H88" s="115"/>
      <c r="I88" s="116"/>
      <c r="J88" s="114"/>
      <c r="K88" s="117"/>
      <c r="L88" s="115"/>
      <c r="M88" s="116"/>
      <c r="N88" s="114"/>
      <c r="O88" s="117"/>
      <c r="P88" s="117"/>
      <c r="Q88" s="115"/>
      <c r="R88" s="116"/>
      <c r="S88" s="114"/>
      <c r="T88" s="117"/>
      <c r="U88" s="115"/>
      <c r="V88" s="116"/>
      <c r="W88" s="114"/>
      <c r="X88" s="117"/>
      <c r="Y88" s="115"/>
      <c r="Z88" s="116"/>
      <c r="AA88" s="114"/>
      <c r="AB88" s="117"/>
      <c r="AC88" s="117"/>
      <c r="AD88" s="115"/>
      <c r="AE88" s="156"/>
      <c r="AF88" s="114"/>
      <c r="AG88" s="117"/>
      <c r="AH88" s="115"/>
      <c r="AI88" s="116"/>
      <c r="AJ88" s="114"/>
      <c r="AK88" s="117"/>
      <c r="AL88" s="115"/>
      <c r="AM88" s="116"/>
      <c r="AN88" s="114"/>
      <c r="AO88" s="117"/>
      <c r="AP88" s="117"/>
      <c r="AQ88" s="115"/>
      <c r="AR88" s="116"/>
      <c r="AS88" s="114"/>
      <c r="AT88" s="117"/>
      <c r="AU88" s="115"/>
      <c r="AV88" s="116"/>
      <c r="AW88" s="114"/>
      <c r="AX88" s="117"/>
      <c r="AY88" s="115"/>
      <c r="AZ88" s="116"/>
      <c r="BA88" s="114"/>
      <c r="BB88" s="117"/>
      <c r="BC88" s="117"/>
      <c r="BD88" s="115"/>
      <c r="BE88" s="116"/>
      <c r="BF88" s="29"/>
      <c r="BG88" s="29"/>
      <c r="BH88" s="30"/>
      <c r="BI88" s="31"/>
      <c r="BJ88" s="134"/>
      <c r="BK88" s="32"/>
      <c r="BL88" s="31"/>
    </row>
    <row r="89" spans="2:64" s="15" customFormat="1" ht="18" customHeight="1" x14ac:dyDescent="0.25">
      <c r="B89" s="148" t="s">
        <v>56</v>
      </c>
      <c r="C89" s="27" t="s">
        <v>52</v>
      </c>
      <c r="D89" s="27" t="s">
        <v>55</v>
      </c>
      <c r="E89" s="34" t="s">
        <v>54</v>
      </c>
      <c r="F89" s="35">
        <v>8</v>
      </c>
      <c r="G89" s="38">
        <v>5</v>
      </c>
      <c r="H89" s="36"/>
      <c r="I89" s="37"/>
      <c r="J89" s="35"/>
      <c r="K89" s="38"/>
      <c r="L89" s="36"/>
      <c r="M89" s="37"/>
      <c r="N89" s="35">
        <v>8</v>
      </c>
      <c r="O89" s="38">
        <v>5</v>
      </c>
      <c r="P89" s="38"/>
      <c r="Q89" s="36"/>
      <c r="R89" s="37"/>
      <c r="S89" s="35">
        <v>8</v>
      </c>
      <c r="T89" s="38">
        <v>5</v>
      </c>
      <c r="U89" s="36"/>
      <c r="V89" s="37"/>
      <c r="W89" s="35">
        <v>8</v>
      </c>
      <c r="X89" s="38">
        <v>5</v>
      </c>
      <c r="Y89" s="36"/>
      <c r="Z89" s="37"/>
      <c r="AA89" s="35"/>
      <c r="AB89" s="38"/>
      <c r="AC89" s="38"/>
      <c r="AD89" s="36"/>
      <c r="AE89" s="158"/>
      <c r="AF89" s="35"/>
      <c r="AG89" s="38"/>
      <c r="AH89" s="36"/>
      <c r="AI89" s="37"/>
      <c r="AJ89" s="35">
        <v>8</v>
      </c>
      <c r="AK89" s="38">
        <v>5</v>
      </c>
      <c r="AL89" s="36"/>
      <c r="AM89" s="37"/>
      <c r="AN89" s="35"/>
      <c r="AO89" s="38"/>
      <c r="AP89" s="38"/>
      <c r="AQ89" s="36"/>
      <c r="AR89" s="37"/>
      <c r="AS89" s="35"/>
      <c r="AT89" s="38"/>
      <c r="AU89" s="36"/>
      <c r="AV89" s="37"/>
      <c r="AW89" s="35">
        <v>8</v>
      </c>
      <c r="AX89" s="38">
        <v>5</v>
      </c>
      <c r="AY89" s="36"/>
      <c r="AZ89" s="37"/>
      <c r="BA89" s="35">
        <v>8</v>
      </c>
      <c r="BB89" s="38">
        <v>5</v>
      </c>
      <c r="BC89" s="38"/>
      <c r="BD89" s="36"/>
      <c r="BE89" s="37"/>
      <c r="BF89" s="29">
        <v>1</v>
      </c>
      <c r="BG89" s="29">
        <f>SUM(F89:BE89)*BF89</f>
        <v>91</v>
      </c>
      <c r="BH89" s="30">
        <v>57</v>
      </c>
      <c r="BI89" s="31">
        <f>BH89*BG89/BF89</f>
        <v>5187</v>
      </c>
      <c r="BJ89" s="133"/>
      <c r="BK89" s="30">
        <v>84</v>
      </c>
      <c r="BL89" s="31">
        <f>BK89*BG89/BF89</f>
        <v>7644</v>
      </c>
    </row>
    <row r="90" spans="2:64" s="15" customFormat="1" ht="18" customHeight="1" x14ac:dyDescent="0.25">
      <c r="B90" s="148" t="s">
        <v>57</v>
      </c>
      <c r="C90" s="27" t="s">
        <v>52</v>
      </c>
      <c r="D90" s="27" t="s">
        <v>55</v>
      </c>
      <c r="E90" s="34" t="s">
        <v>73</v>
      </c>
      <c r="F90" s="35">
        <v>3</v>
      </c>
      <c r="G90" s="38">
        <v>2</v>
      </c>
      <c r="H90" s="36"/>
      <c r="I90" s="152"/>
      <c r="J90" s="35"/>
      <c r="K90" s="38"/>
      <c r="L90" s="151"/>
      <c r="M90" s="152"/>
      <c r="N90" s="35">
        <v>3</v>
      </c>
      <c r="O90" s="38">
        <v>2</v>
      </c>
      <c r="P90" s="150"/>
      <c r="Q90" s="151"/>
      <c r="R90" s="152"/>
      <c r="S90" s="35">
        <v>3</v>
      </c>
      <c r="T90" s="38">
        <v>2</v>
      </c>
      <c r="U90" s="151"/>
      <c r="V90" s="152"/>
      <c r="W90" s="35">
        <v>3</v>
      </c>
      <c r="X90" s="38">
        <v>2</v>
      </c>
      <c r="Y90" s="151"/>
      <c r="Z90" s="152"/>
      <c r="AA90" s="149"/>
      <c r="AB90" s="150"/>
      <c r="AC90" s="150"/>
      <c r="AD90" s="151"/>
      <c r="AE90" s="157"/>
      <c r="AF90" s="149"/>
      <c r="AG90" s="150"/>
      <c r="AH90" s="151"/>
      <c r="AI90" s="152"/>
      <c r="AJ90" s="35">
        <v>3</v>
      </c>
      <c r="AK90" s="38">
        <v>2</v>
      </c>
      <c r="AL90" s="151"/>
      <c r="AM90" s="152"/>
      <c r="AN90" s="35"/>
      <c r="AO90" s="38"/>
      <c r="AP90" s="150"/>
      <c r="AQ90" s="115"/>
      <c r="AR90" s="116"/>
      <c r="AS90" s="35"/>
      <c r="AT90" s="38"/>
      <c r="AU90" s="151"/>
      <c r="AV90" s="152"/>
      <c r="AW90" s="35">
        <v>3</v>
      </c>
      <c r="AX90" s="38">
        <v>2</v>
      </c>
      <c r="AY90" s="151"/>
      <c r="AZ90" s="152"/>
      <c r="BA90" s="35">
        <v>3</v>
      </c>
      <c r="BB90" s="38">
        <v>2</v>
      </c>
      <c r="BC90" s="150"/>
      <c r="BD90" s="151"/>
      <c r="BE90" s="152"/>
      <c r="BF90" s="29">
        <v>1</v>
      </c>
      <c r="BG90" s="29">
        <f>SUM(F90:BE90)*BF90</f>
        <v>35</v>
      </c>
      <c r="BH90" s="164" t="s">
        <v>89</v>
      </c>
      <c r="BI90" s="164" t="s">
        <v>89</v>
      </c>
      <c r="BJ90" s="133"/>
      <c r="BK90" s="30">
        <v>65</v>
      </c>
      <c r="BL90" s="31">
        <f>BK90*BG90/BF90</f>
        <v>2275</v>
      </c>
    </row>
    <row r="91" spans="2:64" s="15" customFormat="1" ht="18" customHeight="1" x14ac:dyDescent="0.25">
      <c r="B91" s="33"/>
      <c r="C91" s="27"/>
      <c r="D91" s="27"/>
      <c r="E91" s="34"/>
      <c r="F91" s="35"/>
      <c r="G91" s="38"/>
      <c r="H91" s="36"/>
      <c r="I91" s="37"/>
      <c r="J91" s="35"/>
      <c r="K91" s="38"/>
      <c r="L91" s="36"/>
      <c r="M91" s="37"/>
      <c r="N91" s="35"/>
      <c r="O91" s="38"/>
      <c r="P91" s="38"/>
      <c r="Q91" s="36"/>
      <c r="R91" s="37"/>
      <c r="S91" s="35"/>
      <c r="T91" s="38"/>
      <c r="U91" s="36"/>
      <c r="V91" s="37"/>
      <c r="W91" s="35"/>
      <c r="X91" s="38"/>
      <c r="Y91" s="36"/>
      <c r="Z91" s="37"/>
      <c r="AA91" s="35"/>
      <c r="AB91" s="38"/>
      <c r="AC91" s="38"/>
      <c r="AD91" s="36"/>
      <c r="AE91" s="158"/>
      <c r="AF91" s="35"/>
      <c r="AG91" s="38"/>
      <c r="AH91" s="36"/>
      <c r="AI91" s="37"/>
      <c r="AJ91" s="35"/>
      <c r="AK91" s="38"/>
      <c r="AL91" s="36"/>
      <c r="AM91" s="37"/>
      <c r="AN91" s="35"/>
      <c r="AO91" s="38"/>
      <c r="AP91" s="38"/>
      <c r="AQ91" s="36"/>
      <c r="AR91" s="37"/>
      <c r="AS91" s="35"/>
      <c r="AT91" s="38"/>
      <c r="AU91" s="36"/>
      <c r="AV91" s="37"/>
      <c r="AW91" s="35"/>
      <c r="AX91" s="38"/>
      <c r="AY91" s="36"/>
      <c r="AZ91" s="37"/>
      <c r="BA91" s="35"/>
      <c r="BB91" s="38"/>
      <c r="BC91" s="38"/>
      <c r="BD91" s="36"/>
      <c r="BE91" s="37"/>
      <c r="BF91" s="29"/>
      <c r="BG91" s="29"/>
      <c r="BH91" s="30"/>
      <c r="BI91" s="31"/>
      <c r="BJ91" s="133"/>
      <c r="BK91" s="30"/>
      <c r="BL91" s="31"/>
    </row>
    <row r="92" spans="2:64" s="15" customFormat="1" ht="18" customHeight="1" x14ac:dyDescent="0.25">
      <c r="B92" s="106" t="s">
        <v>87</v>
      </c>
      <c r="C92" s="27"/>
      <c r="D92" s="27"/>
      <c r="E92" s="28"/>
      <c r="F92" s="114"/>
      <c r="G92" s="117"/>
      <c r="H92" s="115"/>
      <c r="I92" s="116"/>
      <c r="J92" s="114"/>
      <c r="K92" s="117"/>
      <c r="L92" s="115"/>
      <c r="M92" s="116"/>
      <c r="N92" s="114"/>
      <c r="O92" s="117"/>
      <c r="P92" s="117"/>
      <c r="Q92" s="115"/>
      <c r="R92" s="116"/>
      <c r="S92" s="114"/>
      <c r="T92" s="117"/>
      <c r="U92" s="115"/>
      <c r="V92" s="116"/>
      <c r="W92" s="114"/>
      <c r="X92" s="117"/>
      <c r="Y92" s="115"/>
      <c r="Z92" s="116"/>
      <c r="AA92" s="114"/>
      <c r="AB92" s="117"/>
      <c r="AC92" s="117"/>
      <c r="AD92" s="115"/>
      <c r="AE92" s="156"/>
      <c r="AF92" s="114"/>
      <c r="AG92" s="117"/>
      <c r="AH92" s="115"/>
      <c r="AI92" s="116"/>
      <c r="AJ92" s="114"/>
      <c r="AK92" s="117"/>
      <c r="AL92" s="115"/>
      <c r="AM92" s="116"/>
      <c r="AN92" s="114"/>
      <c r="AO92" s="117"/>
      <c r="AP92" s="117"/>
      <c r="AQ92" s="115"/>
      <c r="AR92" s="116"/>
      <c r="AS92" s="114"/>
      <c r="AT92" s="117"/>
      <c r="AU92" s="115"/>
      <c r="AV92" s="116"/>
      <c r="AW92" s="114"/>
      <c r="AX92" s="117"/>
      <c r="AY92" s="115"/>
      <c r="AZ92" s="116"/>
      <c r="BA92" s="114"/>
      <c r="BB92" s="117"/>
      <c r="BC92" s="117"/>
      <c r="BD92" s="115"/>
      <c r="BE92" s="116"/>
      <c r="BF92" s="29"/>
      <c r="BG92" s="29"/>
      <c r="BH92" s="30"/>
      <c r="BI92" s="31"/>
      <c r="BJ92" s="134"/>
      <c r="BK92" s="32"/>
      <c r="BL92" s="31"/>
    </row>
    <row r="93" spans="2:64" s="15" customFormat="1" ht="18" customHeight="1" x14ac:dyDescent="0.25">
      <c r="B93" s="148" t="s">
        <v>56</v>
      </c>
      <c r="C93" s="27" t="s">
        <v>52</v>
      </c>
      <c r="D93" s="27" t="s">
        <v>55</v>
      </c>
      <c r="E93" s="34" t="s">
        <v>54</v>
      </c>
      <c r="F93" s="35">
        <v>8</v>
      </c>
      <c r="G93" s="38">
        <v>5</v>
      </c>
      <c r="H93" s="36"/>
      <c r="I93" s="37"/>
      <c r="J93" s="35"/>
      <c r="K93" s="38"/>
      <c r="L93" s="36"/>
      <c r="M93" s="37"/>
      <c r="N93" s="35">
        <v>8</v>
      </c>
      <c r="O93" s="38">
        <v>5</v>
      </c>
      <c r="P93" s="38"/>
      <c r="Q93" s="36"/>
      <c r="R93" s="37"/>
      <c r="S93" s="35">
        <v>10</v>
      </c>
      <c r="T93" s="38">
        <v>5</v>
      </c>
      <c r="U93" s="36"/>
      <c r="V93" s="37"/>
      <c r="W93" s="35">
        <v>10</v>
      </c>
      <c r="X93" s="38">
        <v>5</v>
      </c>
      <c r="Y93" s="36"/>
      <c r="Z93" s="37"/>
      <c r="AA93" s="35"/>
      <c r="AB93" s="38"/>
      <c r="AC93" s="38"/>
      <c r="AD93" s="36"/>
      <c r="AE93" s="158"/>
      <c r="AF93" s="35"/>
      <c r="AG93" s="38"/>
      <c r="AH93" s="36"/>
      <c r="AI93" s="37"/>
      <c r="AJ93" s="35">
        <v>8</v>
      </c>
      <c r="AK93" s="38">
        <v>5</v>
      </c>
      <c r="AL93" s="36"/>
      <c r="AM93" s="37"/>
      <c r="AN93" s="35"/>
      <c r="AO93" s="38"/>
      <c r="AP93" s="38"/>
      <c r="AQ93" s="36"/>
      <c r="AR93" s="37"/>
      <c r="AS93" s="35"/>
      <c r="AT93" s="38"/>
      <c r="AU93" s="36"/>
      <c r="AV93" s="37"/>
      <c r="AW93" s="35">
        <v>8</v>
      </c>
      <c r="AX93" s="38">
        <v>5</v>
      </c>
      <c r="AY93" s="36"/>
      <c r="AZ93" s="37"/>
      <c r="BA93" s="35">
        <v>8</v>
      </c>
      <c r="BB93" s="38">
        <v>5</v>
      </c>
      <c r="BC93" s="38"/>
      <c r="BD93" s="36"/>
      <c r="BE93" s="37"/>
      <c r="BF93" s="29">
        <v>1</v>
      </c>
      <c r="BG93" s="29">
        <f>SUM(F93:BE93)*BF93</f>
        <v>95</v>
      </c>
      <c r="BH93" s="30">
        <v>46</v>
      </c>
      <c r="BI93" s="31">
        <f>BH93*BG93/BF93</f>
        <v>4370</v>
      </c>
      <c r="BJ93" s="133"/>
      <c r="BK93" s="30">
        <v>68</v>
      </c>
      <c r="BL93" s="31">
        <f>BK93*BG93/BF93</f>
        <v>6460</v>
      </c>
    </row>
    <row r="94" spans="2:64" s="15" customFormat="1" ht="18" customHeight="1" x14ac:dyDescent="0.25">
      <c r="B94" s="148" t="s">
        <v>57</v>
      </c>
      <c r="C94" s="27" t="s">
        <v>52</v>
      </c>
      <c r="D94" s="27" t="s">
        <v>55</v>
      </c>
      <c r="E94" s="34" t="s">
        <v>73</v>
      </c>
      <c r="F94" s="35">
        <v>3</v>
      </c>
      <c r="G94" s="38">
        <v>2</v>
      </c>
      <c r="H94" s="36"/>
      <c r="I94" s="152"/>
      <c r="J94" s="35"/>
      <c r="K94" s="38"/>
      <c r="L94" s="151"/>
      <c r="M94" s="152"/>
      <c r="N94" s="35">
        <v>3</v>
      </c>
      <c r="O94" s="38">
        <v>2</v>
      </c>
      <c r="P94" s="150"/>
      <c r="Q94" s="151"/>
      <c r="R94" s="152"/>
      <c r="S94" s="35">
        <v>3</v>
      </c>
      <c r="T94" s="38">
        <v>2</v>
      </c>
      <c r="U94" s="151"/>
      <c r="V94" s="152"/>
      <c r="W94" s="35">
        <v>3</v>
      </c>
      <c r="X94" s="38">
        <v>2</v>
      </c>
      <c r="Y94" s="151"/>
      <c r="Z94" s="152"/>
      <c r="AA94" s="149"/>
      <c r="AB94" s="150"/>
      <c r="AC94" s="150"/>
      <c r="AD94" s="151"/>
      <c r="AE94" s="157"/>
      <c r="AF94" s="149"/>
      <c r="AG94" s="150"/>
      <c r="AH94" s="151"/>
      <c r="AI94" s="152"/>
      <c r="AJ94" s="35">
        <v>3</v>
      </c>
      <c r="AK94" s="38">
        <v>2</v>
      </c>
      <c r="AL94" s="151"/>
      <c r="AM94" s="152"/>
      <c r="AN94" s="35"/>
      <c r="AO94" s="38"/>
      <c r="AP94" s="150"/>
      <c r="AQ94" s="115"/>
      <c r="AR94" s="116"/>
      <c r="AS94" s="35"/>
      <c r="AT94" s="38"/>
      <c r="AU94" s="115"/>
      <c r="AV94" s="116"/>
      <c r="AW94" s="35">
        <v>3</v>
      </c>
      <c r="AX94" s="38">
        <v>2</v>
      </c>
      <c r="AY94" s="115"/>
      <c r="AZ94" s="116"/>
      <c r="BA94" s="35">
        <v>3</v>
      </c>
      <c r="BB94" s="38">
        <v>2</v>
      </c>
      <c r="BC94" s="117"/>
      <c r="BD94" s="115"/>
      <c r="BE94" s="116"/>
      <c r="BF94" s="29">
        <v>1</v>
      </c>
      <c r="BG94" s="29">
        <f>SUM(F94:BE94)*BF94</f>
        <v>35</v>
      </c>
      <c r="BH94" s="164" t="s">
        <v>89</v>
      </c>
      <c r="BI94" s="164" t="s">
        <v>89</v>
      </c>
      <c r="BJ94" s="133"/>
      <c r="BK94" s="30">
        <v>53</v>
      </c>
      <c r="BL94" s="31"/>
    </row>
    <row r="95" spans="2:64" s="15" customFormat="1" ht="18" customHeight="1" thickBot="1" x14ac:dyDescent="0.3">
      <c r="B95" s="33"/>
      <c r="C95" s="27"/>
      <c r="D95" s="27"/>
      <c r="E95" s="34"/>
      <c r="F95" s="35"/>
      <c r="G95" s="38"/>
      <c r="H95" s="36"/>
      <c r="I95" s="37"/>
      <c r="J95" s="35"/>
      <c r="K95" s="38"/>
      <c r="L95" s="36"/>
      <c r="M95" s="37"/>
      <c r="N95" s="35"/>
      <c r="O95" s="38"/>
      <c r="P95" s="38"/>
      <c r="Q95" s="36"/>
      <c r="R95" s="37"/>
      <c r="S95" s="35"/>
      <c r="T95" s="38"/>
      <c r="U95" s="36"/>
      <c r="V95" s="37"/>
      <c r="W95" s="35"/>
      <c r="X95" s="38"/>
      <c r="Y95" s="36"/>
      <c r="Z95" s="37"/>
      <c r="AA95" s="35"/>
      <c r="AB95" s="38"/>
      <c r="AC95" s="38"/>
      <c r="AD95" s="36"/>
      <c r="AE95" s="158"/>
      <c r="AF95" s="35"/>
      <c r="AG95" s="38"/>
      <c r="AH95" s="36"/>
      <c r="AI95" s="37"/>
      <c r="AJ95" s="38"/>
      <c r="AK95" s="38"/>
      <c r="AL95" s="36"/>
      <c r="AM95" s="37"/>
      <c r="AN95" s="35"/>
      <c r="AO95" s="38"/>
      <c r="AP95" s="38"/>
      <c r="AQ95" s="36"/>
      <c r="AR95" s="37"/>
      <c r="AS95" s="35"/>
      <c r="AT95" s="38"/>
      <c r="AU95" s="36"/>
      <c r="AV95" s="37"/>
      <c r="AW95" s="35"/>
      <c r="AX95" s="38"/>
      <c r="AY95" s="36"/>
      <c r="AZ95" s="37"/>
      <c r="BA95" s="35"/>
      <c r="BB95" s="38"/>
      <c r="BC95" s="38"/>
      <c r="BD95" s="36"/>
      <c r="BE95" s="37"/>
      <c r="BF95" s="29"/>
      <c r="BG95" s="29"/>
      <c r="BH95" s="30"/>
      <c r="BI95" s="31"/>
      <c r="BJ95" s="133"/>
      <c r="BK95" s="30"/>
      <c r="BL95" s="31"/>
    </row>
    <row r="96" spans="2:64" s="15" customFormat="1" ht="18" customHeight="1" thickBot="1" x14ac:dyDescent="0.3">
      <c r="B96" s="177"/>
      <c r="C96" s="178"/>
      <c r="D96" s="178"/>
      <c r="E96" s="17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46"/>
      <c r="AG96" s="118"/>
      <c r="AH96" s="118"/>
      <c r="AI96" s="147"/>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48" t="s">
        <v>15</v>
      </c>
      <c r="BG96" s="48" t="e">
        <f>SUM(BG11,BG20,BG31,BG45,BG59,BG66,BG75,BG85,BG94,#REF!,#REF!,#REF!,#REF!,#REF!)</f>
        <v>#REF!</v>
      </c>
      <c r="BH96" s="49" t="s">
        <v>16</v>
      </c>
      <c r="BI96" s="49">
        <f>BI67+BI60+BI45+BI30+BI12</f>
        <v>60097</v>
      </c>
      <c r="BJ96" s="135"/>
      <c r="BK96" s="49" t="s">
        <v>17</v>
      </c>
      <c r="BL96" s="49">
        <f>BL67+BL60+BL45+BL30+BL12</f>
        <v>109404</v>
      </c>
    </row>
    <row r="97" spans="2:64" s="15" customFormat="1" ht="12" customHeight="1" x14ac:dyDescent="0.25">
      <c r="B97" s="124"/>
      <c r="C97" s="51"/>
      <c r="D97" s="51"/>
      <c r="E97" s="51"/>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52"/>
      <c r="BG97" s="52"/>
      <c r="BH97" s="53"/>
      <c r="BI97" s="53"/>
      <c r="BJ97" s="135"/>
      <c r="BK97" s="53"/>
      <c r="BL97" s="53"/>
    </row>
    <row r="98" spans="2:64" s="15" customFormat="1" ht="12" customHeight="1" thickBot="1" x14ac:dyDescent="0.3">
      <c r="B98" s="55"/>
      <c r="C98" s="56"/>
      <c r="D98" s="56"/>
      <c r="E98" s="56"/>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c r="AZ98" s="123"/>
      <c r="BA98" s="123"/>
      <c r="BB98" s="123"/>
      <c r="BC98" s="123"/>
      <c r="BD98" s="123"/>
      <c r="BE98" s="123"/>
      <c r="BF98" s="57"/>
      <c r="BG98" s="57"/>
      <c r="BH98" s="50"/>
      <c r="BI98" s="50"/>
      <c r="BJ98" s="135"/>
      <c r="BK98" s="50"/>
      <c r="BL98" s="50"/>
    </row>
    <row r="99" spans="2:64" s="54" customFormat="1" ht="24" customHeight="1" thickBot="1" x14ac:dyDescent="0.3">
      <c r="B99" s="177" t="s">
        <v>20</v>
      </c>
      <c r="C99" s="178"/>
      <c r="D99" s="178"/>
      <c r="E99" s="178"/>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58"/>
      <c r="BG99" s="58"/>
      <c r="BH99" s="179" t="s">
        <v>21</v>
      </c>
      <c r="BI99" s="180"/>
      <c r="BJ99" s="136"/>
      <c r="BK99" s="181" t="s">
        <v>22</v>
      </c>
      <c r="BL99" s="182"/>
    </row>
    <row r="100" spans="2:64" s="54" customFormat="1" ht="14.1" customHeight="1" x14ac:dyDescent="0.25">
      <c r="B100" s="59"/>
      <c r="C100" s="60"/>
      <c r="D100" s="60"/>
      <c r="E100" s="60"/>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1"/>
      <c r="BG100" s="61"/>
      <c r="BH100" s="62" t="s">
        <v>23</v>
      </c>
      <c r="BI100" s="63">
        <f>BI67+BI60+BI45+BI30+BI12</f>
        <v>60097</v>
      </c>
      <c r="BJ100" s="136"/>
      <c r="BK100" s="62" t="s">
        <v>23</v>
      </c>
      <c r="BL100" s="63">
        <f>BL96</f>
        <v>109404</v>
      </c>
    </row>
    <row r="101" spans="2:64" s="15" customFormat="1" ht="17.25" x14ac:dyDescent="0.25">
      <c r="B101" s="64"/>
      <c r="C101" s="13"/>
      <c r="D101" s="13"/>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H101" s="65" t="s">
        <v>51</v>
      </c>
      <c r="BI101" s="66">
        <v>0</v>
      </c>
      <c r="BJ101" s="136"/>
      <c r="BK101" s="65" t="s">
        <v>51</v>
      </c>
      <c r="BL101" s="66">
        <v>0</v>
      </c>
    </row>
    <row r="102" spans="2:64" s="15" customFormat="1" ht="17.25" x14ac:dyDescent="0.25">
      <c r="C102" s="13"/>
      <c r="D102" s="13"/>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H102" s="65" t="s">
        <v>19</v>
      </c>
      <c r="BI102" s="66">
        <v>0</v>
      </c>
      <c r="BJ102" s="136"/>
      <c r="BK102" s="65" t="s">
        <v>19</v>
      </c>
      <c r="BL102" s="66">
        <v>0</v>
      </c>
    </row>
    <row r="103" spans="2:64" s="15" customFormat="1" ht="18" thickBot="1" x14ac:dyDescent="0.3">
      <c r="C103" s="13"/>
      <c r="D103" s="13"/>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H103" s="67" t="s">
        <v>18</v>
      </c>
      <c r="BI103" s="68">
        <f>SUM(BI100:BI102)</f>
        <v>60097</v>
      </c>
      <c r="BJ103" s="136"/>
      <c r="BK103" s="69" t="s">
        <v>17</v>
      </c>
      <c r="BL103" s="68">
        <f>SUM(BL100:BL102)</f>
        <v>109404</v>
      </c>
    </row>
    <row r="104" spans="2:64" s="15" customFormat="1" ht="5.45" customHeight="1" x14ac:dyDescent="0.25">
      <c r="C104" s="13"/>
      <c r="D104" s="13"/>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J104" s="137"/>
    </row>
    <row r="105" spans="2:64" ht="11.45" customHeight="1" x14ac:dyDescent="0.25">
      <c r="B105" s="15"/>
      <c r="C105" s="13"/>
      <c r="D105" s="13"/>
      <c r="E105" s="125"/>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5"/>
      <c r="BG105" s="15"/>
      <c r="BH105" s="46"/>
      <c r="BI105" s="126"/>
      <c r="BJ105" s="138"/>
      <c r="BK105" s="46"/>
      <c r="BL105" s="127"/>
    </row>
    <row r="106" spans="2:64" ht="14.45" customHeight="1" x14ac:dyDescent="0.25">
      <c r="C106" s="10"/>
      <c r="D106" s="10"/>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H106" s="71"/>
      <c r="BI106" s="72"/>
      <c r="BJ106" s="139"/>
      <c r="BK106" s="71"/>
      <c r="BL106" s="122"/>
    </row>
    <row r="107" spans="2:64" ht="14.45" customHeight="1" x14ac:dyDescent="0.25">
      <c r="C107" s="10"/>
      <c r="D107" s="10"/>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H107" s="71"/>
      <c r="BI107" s="72"/>
      <c r="BJ107" s="139"/>
      <c r="BK107" s="71"/>
      <c r="BL107" s="122"/>
    </row>
    <row r="108" spans="2:64" ht="14.45" customHeight="1" x14ac:dyDescent="0.25">
      <c r="C108" s="10"/>
      <c r="D108" s="10"/>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H108" s="71"/>
      <c r="BI108" s="72"/>
      <c r="BJ108" s="139"/>
      <c r="BK108" s="71"/>
      <c r="BL108" s="122"/>
    </row>
    <row r="109" spans="2:64" ht="14.45" customHeight="1" x14ac:dyDescent="0.25">
      <c r="C109" s="10"/>
      <c r="D109" s="10"/>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H109" s="71"/>
      <c r="BI109" s="72"/>
      <c r="BJ109" s="139"/>
      <c r="BK109" s="71"/>
      <c r="BL109" s="122"/>
    </row>
    <row r="110" spans="2:64" s="81" customFormat="1" ht="13.5" customHeight="1" x14ac:dyDescent="0.25">
      <c r="C110" s="76"/>
      <c r="D110" s="77"/>
      <c r="E110" s="77"/>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78"/>
      <c r="BG110" s="78"/>
      <c r="BH110" s="79"/>
      <c r="BI110" s="80"/>
      <c r="BJ110" s="140"/>
      <c r="BK110" s="71"/>
    </row>
    <row r="111" spans="2:64" s="81" customFormat="1" ht="13.5" customHeight="1" x14ac:dyDescent="0.25">
      <c r="C111" s="76"/>
      <c r="D111" s="77"/>
      <c r="E111" s="77"/>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78"/>
      <c r="BG111" s="78"/>
      <c r="BH111" s="79"/>
      <c r="BI111" s="80"/>
      <c r="BJ111" s="140"/>
      <c r="BK111" s="71"/>
    </row>
    <row r="112" spans="2:64" s="81" customFormat="1" ht="13.5" customHeight="1" x14ac:dyDescent="0.25">
      <c r="C112" s="76"/>
      <c r="D112" s="77"/>
      <c r="E112" s="77"/>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78"/>
      <c r="BG112" s="78"/>
      <c r="BH112" s="79"/>
      <c r="BI112" s="80"/>
      <c r="BJ112" s="140"/>
      <c r="BK112" s="71"/>
    </row>
    <row r="113" spans="3:64" s="81" customFormat="1" ht="13.5" customHeight="1" x14ac:dyDescent="0.25">
      <c r="C113" s="76"/>
      <c r="D113" s="77"/>
      <c r="E113" s="77"/>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78"/>
      <c r="BG113" s="78"/>
      <c r="BH113" s="79"/>
      <c r="BI113" s="80"/>
      <c r="BJ113" s="140"/>
      <c r="BK113" s="71"/>
    </row>
    <row r="114" spans="3:64" s="81" customFormat="1" ht="13.5" customHeight="1" x14ac:dyDescent="0.25">
      <c r="C114" s="76"/>
      <c r="D114" s="77"/>
      <c r="E114" s="77"/>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78"/>
      <c r="BG114" s="78"/>
      <c r="BH114" s="79"/>
      <c r="BI114" s="80"/>
      <c r="BJ114" s="140"/>
      <c r="BK114" s="71"/>
    </row>
    <row r="115" spans="3:64" s="81" customFormat="1" ht="13.5" customHeight="1" x14ac:dyDescent="0.25">
      <c r="C115" s="76"/>
      <c r="D115" s="77"/>
      <c r="E115" s="77"/>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78"/>
      <c r="BG115" s="78"/>
      <c r="BH115" s="79"/>
      <c r="BI115" s="80"/>
      <c r="BJ115" s="140"/>
      <c r="BK115" s="71"/>
    </row>
    <row r="116" spans="3:64" s="81" customFormat="1" ht="13.5" customHeight="1" x14ac:dyDescent="0.25">
      <c r="C116" s="76"/>
      <c r="D116" s="77"/>
      <c r="E116" s="77"/>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78"/>
      <c r="BG116" s="78"/>
      <c r="BH116" s="79"/>
      <c r="BI116" s="80"/>
      <c r="BJ116" s="140"/>
      <c r="BK116" s="71"/>
    </row>
    <row r="117" spans="3:64" s="81" customFormat="1" ht="13.5" customHeight="1" x14ac:dyDescent="0.25">
      <c r="C117" s="76"/>
      <c r="D117" s="77"/>
      <c r="E117" s="77"/>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78"/>
      <c r="BG117" s="78"/>
      <c r="BH117" s="79"/>
      <c r="BI117" s="80"/>
      <c r="BJ117" s="140"/>
      <c r="BK117" s="71"/>
    </row>
    <row r="118" spans="3:64" s="81" customFormat="1" ht="13.5" customHeight="1" x14ac:dyDescent="0.25">
      <c r="C118" s="76"/>
      <c r="D118" s="77"/>
      <c r="E118" s="77"/>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78"/>
      <c r="BG118" s="78"/>
      <c r="BH118" s="79"/>
      <c r="BI118" s="80"/>
      <c r="BJ118" s="140"/>
      <c r="BK118" s="71"/>
    </row>
    <row r="119" spans="3:64" s="81" customFormat="1" ht="13.5" customHeight="1" x14ac:dyDescent="0.25">
      <c r="C119" s="76"/>
      <c r="D119" s="77"/>
      <c r="E119" s="77"/>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78"/>
      <c r="BG119" s="78"/>
      <c r="BH119" s="79"/>
      <c r="BI119" s="80"/>
      <c r="BJ119" s="140"/>
      <c r="BK119" s="71"/>
    </row>
    <row r="120" spans="3:64" s="81" customFormat="1" ht="13.5" customHeight="1" x14ac:dyDescent="0.25">
      <c r="C120" s="76"/>
      <c r="D120" s="77"/>
      <c r="E120" s="77"/>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78"/>
      <c r="BG120" s="78"/>
      <c r="BH120" s="79"/>
      <c r="BI120" s="80"/>
      <c r="BJ120" s="140"/>
      <c r="BK120" s="71"/>
    </row>
    <row r="121" spans="3:64" s="81" customFormat="1" ht="13.5" customHeight="1" x14ac:dyDescent="0.25">
      <c r="C121" s="83"/>
      <c r="D121" s="83"/>
      <c r="E121" s="83"/>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1"/>
      <c r="BG121" s="1"/>
      <c r="BH121" s="71"/>
      <c r="BI121" s="85"/>
      <c r="BJ121" s="141"/>
      <c r="BK121" s="71"/>
      <c r="BL121" s="85"/>
    </row>
    <row r="122" spans="3:64" s="81" customFormat="1" ht="17.25" x14ac:dyDescent="0.25">
      <c r="C122" s="87"/>
      <c r="D122" s="87"/>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142"/>
      <c r="BK122" s="89"/>
      <c r="BL122" s="90"/>
    </row>
    <row r="123" spans="3:64" s="81" customFormat="1" ht="17.25" x14ac:dyDescent="0.25">
      <c r="C123" s="87"/>
      <c r="D123" s="87"/>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142"/>
      <c r="BK123" s="89"/>
      <c r="BL123" s="90"/>
    </row>
    <row r="124" spans="3:64" s="81" customFormat="1" ht="17.25" x14ac:dyDescent="0.25">
      <c r="C124" s="87"/>
      <c r="D124" s="87"/>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142"/>
      <c r="BK124" s="71"/>
      <c r="BL124" s="92"/>
    </row>
    <row r="125" spans="3:64" s="81" customFormat="1" ht="17.25" x14ac:dyDescent="0.25">
      <c r="C125" s="87"/>
      <c r="D125" s="87"/>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142"/>
      <c r="BK125" s="71"/>
      <c r="BL125" s="85"/>
    </row>
    <row r="126" spans="3:64" s="81" customFormat="1" ht="17.25" x14ac:dyDescent="0.25">
      <c r="C126" s="95"/>
      <c r="D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95"/>
      <c r="AO126" s="95"/>
      <c r="AP126" s="95"/>
      <c r="AQ126" s="95"/>
      <c r="AR126" s="95"/>
      <c r="AS126" s="95"/>
      <c r="AT126" s="95"/>
      <c r="AU126" s="95"/>
      <c r="AV126" s="95"/>
      <c r="AW126" s="95"/>
      <c r="AX126" s="95"/>
      <c r="AY126" s="95"/>
      <c r="AZ126" s="95"/>
      <c r="BA126" s="95"/>
      <c r="BB126" s="95"/>
      <c r="BC126" s="95"/>
      <c r="BD126" s="95"/>
      <c r="BE126" s="95"/>
      <c r="BF126" s="95"/>
      <c r="BG126" s="95"/>
      <c r="BH126" s="95"/>
      <c r="BI126" s="95"/>
      <c r="BJ126" s="143"/>
      <c r="BK126" s="71"/>
      <c r="BL126" s="85"/>
    </row>
    <row r="127" spans="3:64" s="81" customFormat="1" x14ac:dyDescent="0.25">
      <c r="C127" s="97"/>
      <c r="D127" s="97"/>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1"/>
      <c r="BG127" s="1"/>
      <c r="BH127" s="71"/>
      <c r="BI127" s="85"/>
      <c r="BJ127" s="141"/>
      <c r="BK127" s="71"/>
      <c r="BL127" s="85"/>
    </row>
    <row r="128" spans="3:64" s="81" customFormat="1" x14ac:dyDescent="0.25">
      <c r="C128" s="83"/>
      <c r="D128" s="83"/>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8"/>
      <c r="AU128" s="98"/>
      <c r="AV128" s="98"/>
      <c r="AW128" s="98"/>
      <c r="AX128" s="98"/>
      <c r="AY128" s="98"/>
      <c r="AZ128" s="98"/>
      <c r="BA128" s="98"/>
      <c r="BB128" s="98"/>
      <c r="BC128" s="98"/>
      <c r="BD128" s="98"/>
      <c r="BE128" s="98"/>
      <c r="BF128" s="1"/>
      <c r="BG128" s="1"/>
      <c r="BH128" s="71"/>
      <c r="BI128" s="85"/>
      <c r="BJ128" s="141"/>
      <c r="BK128" s="71"/>
      <c r="BL128" s="85"/>
    </row>
    <row r="129" spans="2:64" s="81" customFormat="1" x14ac:dyDescent="0.25">
      <c r="C129" s="83"/>
      <c r="D129" s="83"/>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8"/>
      <c r="AU129" s="98"/>
      <c r="AV129" s="98"/>
      <c r="AW129" s="98"/>
      <c r="AX129" s="98"/>
      <c r="AY129" s="98"/>
      <c r="AZ129" s="98"/>
      <c r="BA129" s="98"/>
      <c r="BB129" s="98"/>
      <c r="BC129" s="98"/>
      <c r="BD129" s="98"/>
      <c r="BE129" s="98"/>
      <c r="BF129" s="1"/>
      <c r="BG129" s="1"/>
      <c r="BH129" s="71"/>
      <c r="BI129" s="85"/>
      <c r="BJ129" s="141"/>
      <c r="BK129" s="71"/>
      <c r="BL129" s="85"/>
    </row>
    <row r="130" spans="2:64" s="81" customFormat="1" x14ac:dyDescent="0.25">
      <c r="C130" s="97"/>
      <c r="D130" s="97"/>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1"/>
      <c r="BG130" s="1"/>
      <c r="BH130" s="71"/>
      <c r="BI130" s="85"/>
      <c r="BJ130" s="141"/>
      <c r="BK130" s="71"/>
      <c r="BL130" s="85"/>
    </row>
    <row r="131" spans="2:64" s="81" customFormat="1" ht="14.25" x14ac:dyDescent="0.25">
      <c r="C131" s="97"/>
      <c r="D131" s="97"/>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
      <c r="BG131" s="1"/>
      <c r="BH131" s="71"/>
      <c r="BI131" s="85"/>
      <c r="BJ131" s="141"/>
      <c r="BK131" s="71"/>
      <c r="BL131" s="85"/>
    </row>
    <row r="132" spans="2:64" s="81" customFormat="1" ht="14.25" x14ac:dyDescent="0.25">
      <c r="B132" s="113" t="s">
        <v>24</v>
      </c>
      <c r="C132" s="83"/>
      <c r="D132" s="83"/>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
      <c r="BG132" s="1"/>
      <c r="BH132" s="71"/>
      <c r="BI132" s="85"/>
      <c r="BJ132" s="141"/>
      <c r="BK132" s="71"/>
      <c r="BL132" s="85"/>
    </row>
    <row r="133" spans="2:64" s="81" customFormat="1" x14ac:dyDescent="0.25">
      <c r="B133" s="113"/>
      <c r="C133" s="2"/>
      <c r="D133" s="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
      <c r="BG133" s="1"/>
      <c r="BH133" s="71"/>
      <c r="BI133" s="85"/>
      <c r="BJ133" s="141"/>
      <c r="BK133" s="71"/>
      <c r="BL133" s="85"/>
    </row>
    <row r="134" spans="2:64" s="81" customFormat="1" ht="14.25" x14ac:dyDescent="0.25">
      <c r="B134" s="70" t="s">
        <v>25</v>
      </c>
      <c r="C134" s="2"/>
      <c r="D134" s="2"/>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1"/>
      <c r="BG134" s="1"/>
      <c r="BH134" s="71"/>
      <c r="BI134" s="85"/>
      <c r="BJ134" s="141"/>
      <c r="BK134" s="71"/>
      <c r="BL134" s="85"/>
    </row>
    <row r="135" spans="2:64" s="81" customFormat="1" ht="14.25" x14ac:dyDescent="0.25">
      <c r="B135" s="70" t="s">
        <v>26</v>
      </c>
      <c r="C135" s="2"/>
      <c r="D135" s="2"/>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1"/>
      <c r="BG135" s="1"/>
      <c r="BH135" s="71"/>
      <c r="BI135" s="85"/>
      <c r="BJ135" s="141"/>
      <c r="BK135" s="71"/>
      <c r="BL135" s="85"/>
    </row>
    <row r="136" spans="2:64" s="81" customFormat="1" ht="14.25" x14ac:dyDescent="0.25">
      <c r="B136" s="70" t="s">
        <v>27</v>
      </c>
      <c r="C136" s="2"/>
      <c r="D136" s="2"/>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1"/>
      <c r="BG136" s="1"/>
      <c r="BH136" s="71"/>
      <c r="BI136" s="85"/>
      <c r="BJ136" s="141"/>
      <c r="BK136" s="71"/>
      <c r="BL136" s="85"/>
    </row>
    <row r="137" spans="2:64" s="81" customFormat="1" x14ac:dyDescent="0.25">
      <c r="B137" s="73" t="s">
        <v>28</v>
      </c>
      <c r="C137" s="2"/>
      <c r="D137" s="2"/>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1"/>
      <c r="BG137" s="1"/>
      <c r="BH137" s="71"/>
      <c r="BI137" s="85"/>
      <c r="BJ137" s="141"/>
      <c r="BK137" s="71"/>
      <c r="BL137" s="85"/>
    </row>
    <row r="138" spans="2:64" s="81" customFormat="1" x14ac:dyDescent="0.25">
      <c r="B138" s="74"/>
      <c r="C138" s="2"/>
      <c r="D138" s="2"/>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1"/>
      <c r="BG138" s="1"/>
      <c r="BH138" s="71"/>
      <c r="BI138" s="85"/>
      <c r="BJ138" s="141"/>
      <c r="BK138" s="71"/>
      <c r="BL138" s="85"/>
    </row>
    <row r="139" spans="2:64" s="81" customFormat="1" ht="14.25" x14ac:dyDescent="0.25">
      <c r="B139" s="75" t="s">
        <v>29</v>
      </c>
      <c r="C139" s="2"/>
      <c r="D139" s="2"/>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1"/>
      <c r="BG139" s="1"/>
      <c r="BH139" s="71"/>
      <c r="BI139" s="85"/>
      <c r="BJ139" s="141"/>
      <c r="BK139" s="71"/>
      <c r="BL139" s="85"/>
    </row>
    <row r="140" spans="2:64" s="81" customFormat="1" ht="14.25" x14ac:dyDescent="0.25">
      <c r="B140" s="82" t="s">
        <v>30</v>
      </c>
      <c r="C140" s="2"/>
      <c r="D140" s="2"/>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1"/>
      <c r="BG140" s="1"/>
      <c r="BH140" s="71"/>
      <c r="BI140" s="85"/>
      <c r="BJ140" s="141"/>
      <c r="BK140" s="71"/>
      <c r="BL140" s="85"/>
    </row>
    <row r="141" spans="2:64" s="81" customFormat="1" ht="14.25" x14ac:dyDescent="0.25">
      <c r="B141" s="86" t="s">
        <v>31</v>
      </c>
      <c r="C141" s="2"/>
      <c r="D141" s="2"/>
      <c r="E141" s="2"/>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1"/>
      <c r="BG141" s="1"/>
      <c r="BH141" s="71"/>
      <c r="BI141" s="85"/>
      <c r="BJ141" s="141"/>
      <c r="BK141" s="71"/>
      <c r="BL141" s="85"/>
    </row>
    <row r="142" spans="2:64" s="81" customFormat="1" ht="14.25" x14ac:dyDescent="0.25">
      <c r="B142" s="86" t="s">
        <v>32</v>
      </c>
      <c r="C142" s="2"/>
      <c r="D142" s="2"/>
      <c r="E142" s="2"/>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1"/>
      <c r="BG142" s="1"/>
      <c r="BH142" s="71"/>
      <c r="BI142" s="85"/>
      <c r="BJ142" s="141"/>
      <c r="BK142" s="71"/>
      <c r="BL142" s="85"/>
    </row>
    <row r="143" spans="2:64" s="81" customFormat="1" x14ac:dyDescent="0.25">
      <c r="B143" s="91"/>
      <c r="C143" s="2"/>
      <c r="D143" s="2"/>
      <c r="E143" s="2"/>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1"/>
      <c r="BG143" s="1"/>
      <c r="BH143" s="71"/>
      <c r="BI143" s="85"/>
      <c r="BJ143" s="141"/>
      <c r="BK143" s="71"/>
      <c r="BL143" s="85"/>
    </row>
    <row r="144" spans="2:64" s="81" customFormat="1" ht="14.25" x14ac:dyDescent="0.25">
      <c r="B144" s="93" t="s">
        <v>33</v>
      </c>
      <c r="C144" s="2"/>
      <c r="D144" s="2"/>
      <c r="E144" s="2"/>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1"/>
      <c r="BG144" s="1"/>
      <c r="BH144" s="71"/>
      <c r="BI144" s="85"/>
      <c r="BJ144" s="141"/>
      <c r="BK144" s="71"/>
      <c r="BL144" s="85"/>
    </row>
    <row r="145" spans="2:64" s="81" customFormat="1" ht="71.25" x14ac:dyDescent="0.25">
      <c r="B145" s="94" t="s">
        <v>34</v>
      </c>
      <c r="C145" s="2"/>
      <c r="D145" s="2"/>
      <c r="E145" s="2"/>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1"/>
      <c r="BG145" s="1"/>
      <c r="BH145" s="71"/>
      <c r="BI145" s="85"/>
      <c r="BJ145" s="141"/>
      <c r="BK145" s="71"/>
      <c r="BL145" s="85"/>
    </row>
    <row r="146" spans="2:64" s="81" customFormat="1" x14ac:dyDescent="0.25">
      <c r="B146" s="96" t="s">
        <v>35</v>
      </c>
      <c r="C146" s="2"/>
      <c r="D146" s="2"/>
      <c r="E146" s="2"/>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1"/>
      <c r="BG146" s="1"/>
      <c r="BH146" s="71"/>
      <c r="BI146" s="85"/>
      <c r="BJ146" s="141"/>
      <c r="BK146" s="71"/>
      <c r="BL146" s="85"/>
    </row>
    <row r="147" spans="2:64" s="81" customFormat="1" x14ac:dyDescent="0.25">
      <c r="B147" s="98"/>
      <c r="C147" s="2"/>
      <c r="D147" s="2"/>
      <c r="E147" s="2"/>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1"/>
      <c r="BG147" s="1"/>
      <c r="BH147" s="71"/>
      <c r="BI147" s="85"/>
      <c r="BJ147" s="141"/>
      <c r="BK147" s="71"/>
      <c r="BL147" s="85"/>
    </row>
    <row r="148" spans="2:64" s="81" customFormat="1" x14ac:dyDescent="0.25">
      <c r="B148" s="113" t="s">
        <v>36</v>
      </c>
      <c r="C148" s="2"/>
      <c r="D148" s="2"/>
      <c r="E148" s="2"/>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1"/>
      <c r="BG148" s="1"/>
      <c r="BH148" s="71"/>
      <c r="BI148" s="85"/>
      <c r="BJ148" s="141"/>
      <c r="BK148" s="71"/>
      <c r="BL148" s="85"/>
    </row>
    <row r="149" spans="2:64" s="81" customFormat="1" x14ac:dyDescent="0.25">
      <c r="B149" s="103" t="s">
        <v>37</v>
      </c>
      <c r="C149" s="2"/>
      <c r="D149" s="2"/>
      <c r="E149" s="2"/>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1"/>
      <c r="BG149" s="1"/>
      <c r="BH149" s="71"/>
      <c r="BI149" s="85"/>
      <c r="BJ149" s="141"/>
      <c r="BK149" s="71"/>
      <c r="BL149" s="85"/>
    </row>
    <row r="150" spans="2:64" s="81" customFormat="1" x14ac:dyDescent="0.25">
      <c r="B150" s="99" t="s">
        <v>38</v>
      </c>
      <c r="C150" s="2"/>
      <c r="D150" s="2"/>
      <c r="E150" s="2"/>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1"/>
      <c r="BG150" s="1"/>
      <c r="BH150" s="71"/>
      <c r="BI150" s="85"/>
      <c r="BJ150" s="141"/>
      <c r="BK150" s="71"/>
      <c r="BL150" s="85"/>
    </row>
    <row r="151" spans="2:64" s="81" customFormat="1" x14ac:dyDescent="0.25">
      <c r="B151" s="101"/>
      <c r="C151" s="2"/>
      <c r="D151" s="2"/>
      <c r="E151" s="2"/>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1"/>
      <c r="BG151" s="1"/>
      <c r="BH151" s="71"/>
      <c r="BI151" s="85"/>
      <c r="BJ151" s="141"/>
      <c r="BK151" s="71"/>
      <c r="BL151" s="85"/>
    </row>
    <row r="152" spans="2:64" s="81" customFormat="1" x14ac:dyDescent="0.25">
      <c r="B152" s="112" t="s">
        <v>39</v>
      </c>
      <c r="C152" s="2"/>
      <c r="D152" s="2"/>
      <c r="E152" s="2"/>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1"/>
      <c r="BG152" s="1"/>
      <c r="BH152" s="71"/>
      <c r="BI152" s="85"/>
      <c r="BJ152" s="141"/>
      <c r="BK152" s="71"/>
      <c r="BL152" s="85"/>
    </row>
    <row r="153" spans="2:64" s="81" customFormat="1" x14ac:dyDescent="0.25">
      <c r="B153" s="103" t="s">
        <v>40</v>
      </c>
      <c r="C153" s="2"/>
      <c r="D153" s="2"/>
      <c r="E153" s="2"/>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1"/>
      <c r="BG153" s="1"/>
      <c r="BH153" s="71"/>
      <c r="BI153" s="85"/>
      <c r="BJ153" s="141"/>
      <c r="BK153" s="71"/>
      <c r="BL153" s="85"/>
    </row>
    <row r="154" spans="2:64" s="81" customFormat="1" x14ac:dyDescent="0.25">
      <c r="B154" s="103" t="s">
        <v>41</v>
      </c>
      <c r="C154" s="2"/>
      <c r="D154" s="2"/>
      <c r="E154" s="2"/>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1"/>
      <c r="BG154" s="1"/>
      <c r="BH154" s="71"/>
      <c r="BI154" s="85"/>
      <c r="BJ154" s="141"/>
      <c r="BK154" s="71"/>
      <c r="BL154" s="85"/>
    </row>
    <row r="155" spans="2:64" s="81" customFormat="1" x14ac:dyDescent="0.25">
      <c r="B155" s="103" t="s">
        <v>42</v>
      </c>
      <c r="C155" s="2"/>
      <c r="D155" s="2"/>
      <c r="E155" s="2"/>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1"/>
      <c r="BG155" s="1"/>
      <c r="BH155" s="71"/>
      <c r="BI155" s="85"/>
      <c r="BJ155" s="141"/>
      <c r="BK155" s="71"/>
      <c r="BL155" s="85"/>
    </row>
    <row r="156" spans="2:64" s="81" customFormat="1" x14ac:dyDescent="0.25">
      <c r="B156" s="103" t="s">
        <v>43</v>
      </c>
      <c r="C156" s="2"/>
      <c r="D156" s="2"/>
      <c r="E156" s="2"/>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1"/>
      <c r="BG156" s="1"/>
      <c r="BH156" s="71"/>
      <c r="BI156" s="85"/>
      <c r="BJ156" s="141"/>
      <c r="BK156" s="71"/>
      <c r="BL156" s="85"/>
    </row>
    <row r="157" spans="2:64" s="81" customFormat="1" x14ac:dyDescent="0.25">
      <c r="B157" s="103" t="s">
        <v>44</v>
      </c>
      <c r="C157" s="2"/>
      <c r="D157" s="2"/>
      <c r="E157" s="2"/>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1"/>
      <c r="BG157" s="1"/>
      <c r="BH157" s="71"/>
      <c r="BI157" s="85"/>
      <c r="BJ157" s="141"/>
      <c r="BK157" s="71"/>
      <c r="BL157" s="85"/>
    </row>
    <row r="158" spans="2:64" s="81" customFormat="1" x14ac:dyDescent="0.25">
      <c r="B158" s="103" t="s">
        <v>45</v>
      </c>
      <c r="C158" s="2"/>
      <c r="D158" s="2"/>
      <c r="E158" s="2"/>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1"/>
      <c r="BG158" s="1"/>
      <c r="BH158" s="71"/>
      <c r="BI158" s="85"/>
      <c r="BJ158" s="141"/>
      <c r="BK158" s="71"/>
      <c r="BL158" s="85"/>
    </row>
    <row r="159" spans="2:64" s="81" customFormat="1" x14ac:dyDescent="0.25">
      <c r="B159" s="103" t="s">
        <v>46</v>
      </c>
      <c r="C159" s="2"/>
      <c r="D159" s="2"/>
      <c r="E159" s="2"/>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1"/>
      <c r="BG159" s="1"/>
      <c r="BH159" s="71"/>
      <c r="BI159" s="85"/>
      <c r="BJ159" s="141"/>
      <c r="BK159" s="71"/>
      <c r="BL159" s="85"/>
    </row>
    <row r="160" spans="2:64" s="81" customFormat="1" ht="16.5" x14ac:dyDescent="0.25">
      <c r="B160" s="9"/>
      <c r="C160" s="2"/>
      <c r="D160" s="2"/>
      <c r="E160" s="2"/>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1"/>
      <c r="BG160" s="1"/>
      <c r="BH160" s="71"/>
      <c r="BI160" s="85"/>
      <c r="BJ160" s="141"/>
      <c r="BK160" s="71"/>
      <c r="BL160" s="85"/>
    </row>
    <row r="161" spans="2:64" s="81" customFormat="1" x14ac:dyDescent="0.25">
      <c r="B161" s="104" t="s">
        <v>47</v>
      </c>
      <c r="C161" s="2"/>
      <c r="D161" s="2"/>
      <c r="E161" s="2"/>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1"/>
      <c r="BG161" s="1"/>
      <c r="BH161" s="71"/>
      <c r="BI161" s="85"/>
      <c r="BJ161" s="141"/>
      <c r="BK161" s="71"/>
      <c r="BL161" s="85"/>
    </row>
    <row r="162" spans="2:64" s="81" customFormat="1" x14ac:dyDescent="0.25">
      <c r="B162" s="105" t="s">
        <v>48</v>
      </c>
      <c r="C162" s="2"/>
      <c r="D162" s="2"/>
      <c r="E162" s="2"/>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1"/>
      <c r="BG162" s="1"/>
      <c r="BH162" s="71"/>
      <c r="BI162" s="85"/>
      <c r="BJ162" s="141"/>
      <c r="BK162" s="71"/>
      <c r="BL162" s="85"/>
    </row>
    <row r="163" spans="2:64" s="81" customFormat="1" x14ac:dyDescent="0.25">
      <c r="B163" s="105" t="s">
        <v>49</v>
      </c>
      <c r="C163" s="2"/>
      <c r="D163" s="2"/>
      <c r="E163" s="2"/>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1"/>
      <c r="BG163" s="1"/>
      <c r="BH163" s="71"/>
      <c r="BI163" s="85"/>
      <c r="BJ163" s="141"/>
      <c r="BK163" s="71"/>
      <c r="BL163" s="85"/>
    </row>
    <row r="164" spans="2:64" s="81" customFormat="1" x14ac:dyDescent="0.25">
      <c r="B164" s="105" t="s">
        <v>50</v>
      </c>
      <c r="C164" s="2"/>
      <c r="D164" s="2"/>
      <c r="E164" s="2"/>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1"/>
      <c r="BG164" s="1"/>
      <c r="BH164" s="71"/>
      <c r="BI164" s="85"/>
      <c r="BJ164" s="141"/>
      <c r="BK164" s="71"/>
      <c r="BL164" s="85"/>
    </row>
    <row r="165" spans="2:64" s="81" customFormat="1" x14ac:dyDescent="0.25">
      <c r="B165" s="1"/>
      <c r="C165" s="2"/>
      <c r="D165" s="2"/>
      <c r="E165" s="2"/>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1"/>
      <c r="BG165" s="1"/>
      <c r="BH165" s="71"/>
      <c r="BI165" s="85"/>
      <c r="BJ165" s="141"/>
      <c r="BK165" s="71"/>
      <c r="BL165" s="85"/>
    </row>
    <row r="166" spans="2:64" s="81" customFormat="1" x14ac:dyDescent="0.25">
      <c r="B166" s="1"/>
      <c r="C166" s="2"/>
      <c r="D166" s="2"/>
      <c r="E166" s="2"/>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1"/>
      <c r="BG166" s="1"/>
      <c r="BH166" s="71"/>
      <c r="BI166" s="85"/>
      <c r="BJ166" s="141"/>
      <c r="BK166" s="71"/>
      <c r="BL166" s="85"/>
    </row>
    <row r="167" spans="2:64" s="81" customFormat="1" x14ac:dyDescent="0.25">
      <c r="B167" s="1"/>
      <c r="C167" s="2"/>
      <c r="D167" s="2"/>
      <c r="E167" s="2"/>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1"/>
      <c r="BG167" s="1"/>
      <c r="BH167" s="71"/>
      <c r="BI167" s="85"/>
      <c r="BJ167" s="141"/>
      <c r="BK167" s="71"/>
      <c r="BL167" s="85"/>
    </row>
    <row r="168" spans="2:64" s="81" customFormat="1" x14ac:dyDescent="0.25">
      <c r="B168" s="1"/>
      <c r="C168" s="2"/>
      <c r="D168" s="2"/>
      <c r="E168" s="2"/>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1"/>
      <c r="BG168" s="1"/>
      <c r="BH168" s="71"/>
      <c r="BI168" s="85"/>
      <c r="BJ168" s="141"/>
      <c r="BK168" s="71"/>
      <c r="BL168" s="85"/>
    </row>
    <row r="169" spans="2:64" s="81" customFormat="1" x14ac:dyDescent="0.25">
      <c r="B169" s="1"/>
      <c r="C169" s="2"/>
      <c r="D169" s="2"/>
      <c r="E169" s="2"/>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1"/>
      <c r="BG169" s="1"/>
      <c r="BH169" s="71"/>
      <c r="BI169" s="85"/>
      <c r="BJ169" s="141"/>
      <c r="BK169" s="71"/>
      <c r="BL169" s="85"/>
    </row>
    <row r="170" spans="2:64" s="81" customFormat="1" x14ac:dyDescent="0.25">
      <c r="B170" s="1"/>
      <c r="C170" s="2"/>
      <c r="D170" s="2"/>
      <c r="E170" s="2"/>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1"/>
      <c r="BG170" s="1"/>
      <c r="BH170" s="71"/>
      <c r="BI170" s="85"/>
      <c r="BJ170" s="141"/>
      <c r="BK170" s="71"/>
      <c r="BL170" s="85"/>
    </row>
    <row r="171" spans="2:64" s="81" customFormat="1" x14ac:dyDescent="0.25">
      <c r="B171" s="1"/>
      <c r="C171" s="2"/>
      <c r="D171" s="2"/>
      <c r="E171" s="2"/>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1"/>
      <c r="BG171" s="1"/>
      <c r="BH171" s="71"/>
      <c r="BI171" s="85"/>
      <c r="BJ171" s="141"/>
      <c r="BK171" s="71"/>
      <c r="BL171" s="85"/>
    </row>
    <row r="172" spans="2:64" s="81" customFormat="1" x14ac:dyDescent="0.25">
      <c r="B172" s="1"/>
      <c r="C172" s="2"/>
      <c r="D172" s="2"/>
      <c r="E172" s="2"/>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1"/>
      <c r="BG172" s="1"/>
      <c r="BH172" s="71"/>
      <c r="BI172" s="85"/>
      <c r="BJ172" s="141"/>
      <c r="BK172" s="71"/>
      <c r="BL172" s="85"/>
    </row>
    <row r="173" spans="2:64" s="81" customFormat="1" x14ac:dyDescent="0.25">
      <c r="B173" s="1"/>
      <c r="C173" s="2"/>
      <c r="D173" s="2"/>
      <c r="E173" s="2"/>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1"/>
      <c r="BG173" s="1"/>
      <c r="BH173" s="71"/>
      <c r="BI173" s="85"/>
      <c r="BJ173" s="141"/>
      <c r="BK173" s="71"/>
      <c r="BL173" s="85"/>
    </row>
    <row r="174" spans="2:64" s="81" customFormat="1" x14ac:dyDescent="0.25">
      <c r="B174" s="1"/>
      <c r="C174" s="2"/>
      <c r="D174" s="2"/>
      <c r="E174" s="2"/>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1"/>
      <c r="BG174" s="1"/>
      <c r="BH174" s="71"/>
      <c r="BI174" s="85"/>
      <c r="BJ174" s="141"/>
      <c r="BK174" s="71"/>
      <c r="BL174" s="85"/>
    </row>
    <row r="175" spans="2:64" s="81" customFormat="1" x14ac:dyDescent="0.25">
      <c r="B175" s="1"/>
      <c r="C175" s="2"/>
      <c r="D175" s="2"/>
      <c r="E175" s="2"/>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1"/>
      <c r="BG175" s="1"/>
      <c r="BH175" s="71"/>
      <c r="BI175" s="85"/>
      <c r="BJ175" s="141"/>
      <c r="BK175" s="71"/>
      <c r="BL175" s="85"/>
    </row>
    <row r="176" spans="2:64" s="81" customFormat="1" x14ac:dyDescent="0.25">
      <c r="B176" s="1"/>
      <c r="C176" s="2"/>
      <c r="D176" s="2"/>
      <c r="E176" s="2"/>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1"/>
      <c r="BG176" s="1"/>
      <c r="BH176" s="71"/>
      <c r="BI176" s="85"/>
      <c r="BJ176" s="141"/>
      <c r="BK176" s="71"/>
      <c r="BL176" s="85"/>
    </row>
    <row r="177" spans="2:64" s="81" customFormat="1" x14ac:dyDescent="0.25">
      <c r="B177" s="1"/>
      <c r="C177" s="2"/>
      <c r="D177" s="2"/>
      <c r="E177" s="2"/>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1"/>
      <c r="BG177" s="1"/>
      <c r="BH177" s="71"/>
      <c r="BI177" s="85"/>
      <c r="BJ177" s="141"/>
      <c r="BK177" s="71"/>
      <c r="BL177" s="85"/>
    </row>
    <row r="178" spans="2:64" s="81" customFormat="1" x14ac:dyDescent="0.25">
      <c r="B178" s="1"/>
      <c r="C178" s="2"/>
      <c r="D178" s="2"/>
      <c r="E178" s="2"/>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1"/>
      <c r="BG178" s="1"/>
      <c r="BH178" s="71"/>
      <c r="BI178" s="85"/>
      <c r="BJ178" s="141"/>
      <c r="BK178" s="71"/>
      <c r="BL178" s="85"/>
    </row>
    <row r="179" spans="2:64" s="81" customFormat="1" x14ac:dyDescent="0.25">
      <c r="B179" s="1"/>
      <c r="C179" s="2"/>
      <c r="D179" s="2"/>
      <c r="E179" s="2"/>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1"/>
      <c r="BG179" s="1"/>
      <c r="BH179" s="71"/>
      <c r="BI179" s="85"/>
      <c r="BJ179" s="141"/>
      <c r="BK179" s="71"/>
      <c r="BL179" s="85"/>
    </row>
    <row r="180" spans="2:64" s="81" customFormat="1" x14ac:dyDescent="0.25">
      <c r="B180" s="1"/>
      <c r="C180" s="2"/>
      <c r="D180" s="2"/>
      <c r="E180" s="2"/>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1"/>
      <c r="BG180" s="1"/>
      <c r="BH180" s="71"/>
      <c r="BI180" s="85"/>
      <c r="BJ180" s="141"/>
      <c r="BK180" s="71"/>
      <c r="BL180" s="85"/>
    </row>
    <row r="181" spans="2:64" s="81" customFormat="1" x14ac:dyDescent="0.25">
      <c r="B181" s="1"/>
      <c r="C181" s="2"/>
      <c r="D181" s="2"/>
      <c r="E181" s="2"/>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1"/>
      <c r="BG181" s="1"/>
      <c r="BH181" s="71"/>
      <c r="BI181" s="85"/>
      <c r="BJ181" s="141"/>
      <c r="BK181" s="71"/>
      <c r="BL181" s="85"/>
    </row>
    <row r="182" spans="2:64" s="81" customFormat="1" x14ac:dyDescent="0.25">
      <c r="B182" s="1"/>
      <c r="C182" s="2"/>
      <c r="D182" s="2"/>
      <c r="E182" s="2"/>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1"/>
      <c r="BG182" s="1"/>
      <c r="BH182" s="71"/>
      <c r="BI182" s="85"/>
      <c r="BJ182" s="141"/>
      <c r="BK182" s="71"/>
      <c r="BL182" s="85"/>
    </row>
    <row r="183" spans="2:64" s="81" customFormat="1" x14ac:dyDescent="0.25">
      <c r="B183" s="1"/>
      <c r="C183" s="2"/>
      <c r="D183" s="2"/>
      <c r="E183" s="2"/>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1"/>
      <c r="BG183" s="1"/>
      <c r="BH183" s="71"/>
      <c r="BI183" s="85"/>
      <c r="BJ183" s="141"/>
      <c r="BK183" s="71"/>
      <c r="BL183" s="85"/>
    </row>
    <row r="184" spans="2:64" s="81" customFormat="1" x14ac:dyDescent="0.25">
      <c r="B184" s="1"/>
      <c r="C184" s="2"/>
      <c r="D184" s="2"/>
      <c r="E184" s="2"/>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1"/>
      <c r="BG184" s="1"/>
      <c r="BH184" s="71"/>
      <c r="BI184" s="85"/>
      <c r="BJ184" s="141"/>
      <c r="BK184" s="71"/>
      <c r="BL184" s="85"/>
    </row>
    <row r="185" spans="2:64" s="81" customFormat="1" x14ac:dyDescent="0.25">
      <c r="B185" s="1"/>
      <c r="C185" s="2"/>
      <c r="D185" s="2"/>
      <c r="E185" s="2"/>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1"/>
      <c r="BG185" s="1"/>
      <c r="BH185" s="71"/>
      <c r="BI185" s="85"/>
      <c r="BJ185" s="141"/>
      <c r="BK185" s="71"/>
      <c r="BL185" s="85"/>
    </row>
    <row r="186" spans="2:64" s="81" customFormat="1" x14ac:dyDescent="0.25">
      <c r="B186" s="1"/>
      <c r="C186" s="2"/>
      <c r="D186" s="2"/>
      <c r="E186" s="2"/>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1"/>
      <c r="BG186" s="1"/>
      <c r="BH186" s="71"/>
      <c r="BI186" s="85"/>
      <c r="BJ186" s="141"/>
      <c r="BK186" s="71"/>
      <c r="BL186" s="85"/>
    </row>
    <row r="187" spans="2:64" s="81" customFormat="1" x14ac:dyDescent="0.25">
      <c r="B187" s="1"/>
      <c r="C187" s="2"/>
      <c r="D187" s="2"/>
      <c r="E187" s="2"/>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1"/>
      <c r="BG187" s="1"/>
      <c r="BH187" s="71"/>
      <c r="BI187" s="85"/>
      <c r="BJ187" s="141"/>
      <c r="BK187" s="71"/>
      <c r="BL187" s="85"/>
    </row>
    <row r="188" spans="2:64" s="81" customFormat="1" x14ac:dyDescent="0.25">
      <c r="B188" s="1"/>
      <c r="C188" s="2"/>
      <c r="D188" s="2"/>
      <c r="E188" s="2"/>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1"/>
      <c r="BG188" s="1"/>
      <c r="BH188" s="71"/>
      <c r="BI188" s="85"/>
      <c r="BJ188" s="141"/>
      <c r="BK188" s="71"/>
      <c r="BL188" s="85"/>
    </row>
    <row r="189" spans="2:64" s="81" customFormat="1" x14ac:dyDescent="0.25">
      <c r="B189" s="1"/>
      <c r="C189" s="2"/>
      <c r="D189" s="2"/>
      <c r="E189" s="2"/>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1"/>
      <c r="BG189" s="1"/>
      <c r="BH189" s="71"/>
      <c r="BI189" s="85"/>
      <c r="BJ189" s="141"/>
      <c r="BK189" s="71"/>
      <c r="BL189" s="85"/>
    </row>
    <row r="190" spans="2:64" s="81" customFormat="1" x14ac:dyDescent="0.25">
      <c r="B190" s="1"/>
      <c r="C190" s="2"/>
      <c r="D190" s="2"/>
      <c r="E190" s="2"/>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1"/>
      <c r="BG190" s="1"/>
      <c r="BH190" s="71"/>
      <c r="BI190" s="85"/>
      <c r="BJ190" s="141"/>
      <c r="BK190" s="71"/>
      <c r="BL190" s="85"/>
    </row>
    <row r="191" spans="2:64" s="81" customFormat="1" x14ac:dyDescent="0.25">
      <c r="B191" s="1"/>
      <c r="C191" s="2"/>
      <c r="D191" s="2"/>
      <c r="E191" s="2"/>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1"/>
      <c r="BG191" s="1"/>
      <c r="BH191" s="71"/>
      <c r="BI191" s="85"/>
      <c r="BJ191" s="141"/>
      <c r="BK191" s="71"/>
      <c r="BL191" s="85"/>
    </row>
    <row r="192" spans="2:64" s="81" customFormat="1" x14ac:dyDescent="0.25">
      <c r="B192" s="1"/>
      <c r="C192" s="2"/>
      <c r="D192" s="2"/>
      <c r="E192" s="2"/>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1"/>
      <c r="BG192" s="1"/>
      <c r="BH192" s="71"/>
      <c r="BI192" s="85"/>
      <c r="BJ192" s="141"/>
      <c r="BK192" s="71"/>
      <c r="BL192" s="85"/>
    </row>
    <row r="193" spans="2:64" s="81" customFormat="1" x14ac:dyDescent="0.25">
      <c r="B193" s="1"/>
      <c r="C193" s="2"/>
      <c r="D193" s="2"/>
      <c r="E193" s="2"/>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1"/>
      <c r="BG193" s="1"/>
      <c r="BH193" s="71"/>
      <c r="BI193" s="85"/>
      <c r="BJ193" s="141"/>
      <c r="BK193" s="71"/>
      <c r="BL193" s="85"/>
    </row>
    <row r="194" spans="2:64" s="81" customFormat="1" x14ac:dyDescent="0.25">
      <c r="B194" s="1"/>
      <c r="C194" s="2"/>
      <c r="D194" s="2"/>
      <c r="E194" s="2"/>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1"/>
      <c r="BG194" s="1"/>
      <c r="BH194" s="71"/>
      <c r="BI194" s="85"/>
      <c r="BJ194" s="141"/>
      <c r="BK194" s="71"/>
      <c r="BL194" s="85"/>
    </row>
    <row r="195" spans="2:64" s="81" customFormat="1" x14ac:dyDescent="0.25">
      <c r="B195" s="1"/>
      <c r="C195" s="2"/>
      <c r="D195" s="2"/>
      <c r="E195" s="2"/>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1"/>
      <c r="BG195" s="1"/>
      <c r="BH195" s="71"/>
      <c r="BI195" s="85"/>
      <c r="BJ195" s="141"/>
      <c r="BK195" s="71"/>
      <c r="BL195" s="85"/>
    </row>
    <row r="196" spans="2:64" s="81" customFormat="1" x14ac:dyDescent="0.25">
      <c r="B196" s="1"/>
      <c r="C196" s="2"/>
      <c r="D196" s="2"/>
      <c r="E196" s="2"/>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1"/>
      <c r="BG196" s="1"/>
      <c r="BH196" s="71"/>
      <c r="BI196" s="85"/>
      <c r="BJ196" s="141"/>
      <c r="BK196" s="71"/>
      <c r="BL196" s="85"/>
    </row>
    <row r="197" spans="2:64" s="81" customFormat="1" x14ac:dyDescent="0.25">
      <c r="B197" s="1"/>
      <c r="C197" s="2"/>
      <c r="D197" s="2"/>
      <c r="E197" s="2"/>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1"/>
      <c r="BG197" s="1"/>
      <c r="BH197" s="71"/>
      <c r="BI197" s="85"/>
      <c r="BJ197" s="141"/>
      <c r="BK197" s="71"/>
      <c r="BL197" s="85"/>
    </row>
    <row r="198" spans="2:64" s="81" customFormat="1" x14ac:dyDescent="0.25">
      <c r="B198" s="1"/>
      <c r="C198" s="2"/>
      <c r="D198" s="2"/>
      <c r="E198" s="2"/>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1"/>
      <c r="BG198" s="1"/>
      <c r="BH198" s="71"/>
      <c r="BI198" s="85"/>
      <c r="BJ198" s="141"/>
      <c r="BK198" s="71"/>
      <c r="BL198" s="85"/>
    </row>
    <row r="199" spans="2:64" s="81" customFormat="1" x14ac:dyDescent="0.25">
      <c r="B199" s="1"/>
      <c r="C199" s="2"/>
      <c r="D199" s="2"/>
      <c r="E199" s="2"/>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1"/>
      <c r="BG199" s="1"/>
      <c r="BH199" s="71"/>
      <c r="BI199" s="85"/>
      <c r="BJ199" s="141"/>
      <c r="BK199" s="71"/>
      <c r="BL199" s="85"/>
    </row>
    <row r="200" spans="2:64" s="81" customFormat="1" x14ac:dyDescent="0.25">
      <c r="B200" s="1"/>
      <c r="C200" s="2"/>
      <c r="D200" s="2"/>
      <c r="E200" s="2"/>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1"/>
      <c r="BG200" s="1"/>
      <c r="BH200" s="71"/>
      <c r="BI200" s="85"/>
      <c r="BJ200" s="141"/>
      <c r="BK200" s="71"/>
      <c r="BL200" s="85"/>
    </row>
    <row r="201" spans="2:64" s="81" customFormat="1" x14ac:dyDescent="0.25">
      <c r="B201" s="1"/>
      <c r="C201" s="2"/>
      <c r="D201" s="2"/>
      <c r="E201" s="2"/>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1"/>
      <c r="BG201" s="1"/>
      <c r="BH201" s="71"/>
      <c r="BI201" s="85"/>
      <c r="BJ201" s="141"/>
      <c r="BK201" s="71"/>
      <c r="BL201" s="85"/>
    </row>
    <row r="202" spans="2:64" s="81" customFormat="1" x14ac:dyDescent="0.25">
      <c r="B202" s="1"/>
      <c r="C202" s="2"/>
      <c r="D202" s="2"/>
      <c r="E202" s="2"/>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1"/>
      <c r="BG202" s="1"/>
      <c r="BH202" s="71"/>
      <c r="BI202" s="85"/>
      <c r="BJ202" s="141"/>
      <c r="BK202" s="71"/>
      <c r="BL202" s="85"/>
    </row>
    <row r="203" spans="2:64" s="81" customFormat="1" x14ac:dyDescent="0.25">
      <c r="B203" s="1"/>
      <c r="C203" s="2"/>
      <c r="D203" s="2"/>
      <c r="E203" s="2"/>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1"/>
      <c r="BG203" s="1"/>
      <c r="BH203" s="71"/>
      <c r="BI203" s="85"/>
      <c r="BJ203" s="141"/>
      <c r="BK203" s="71"/>
      <c r="BL203" s="85"/>
    </row>
    <row r="204" spans="2:64" s="81" customFormat="1" x14ac:dyDescent="0.25">
      <c r="B204" s="1"/>
      <c r="C204" s="2"/>
      <c r="D204" s="2"/>
      <c r="E204" s="2"/>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1"/>
      <c r="BG204" s="1"/>
      <c r="BH204" s="71"/>
      <c r="BI204" s="85"/>
      <c r="BJ204" s="141"/>
      <c r="BK204" s="71"/>
      <c r="BL204" s="85"/>
    </row>
    <row r="205" spans="2:64" s="81" customFormat="1" x14ac:dyDescent="0.25">
      <c r="B205" s="1"/>
      <c r="C205" s="2"/>
      <c r="D205" s="2"/>
      <c r="E205" s="2"/>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1"/>
      <c r="BG205" s="1"/>
      <c r="BH205" s="71"/>
      <c r="BI205" s="85"/>
      <c r="BJ205" s="141"/>
      <c r="BK205" s="71"/>
      <c r="BL205" s="85"/>
    </row>
    <row r="206" spans="2:64" s="81" customFormat="1" x14ac:dyDescent="0.25">
      <c r="B206" s="1"/>
      <c r="C206" s="2"/>
      <c r="D206" s="2"/>
      <c r="E206" s="2"/>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1"/>
      <c r="BG206" s="1"/>
      <c r="BH206" s="71"/>
      <c r="BI206" s="85"/>
      <c r="BJ206" s="141"/>
      <c r="BK206" s="71"/>
      <c r="BL206" s="85"/>
    </row>
    <row r="207" spans="2:64" s="81" customFormat="1" x14ac:dyDescent="0.25">
      <c r="B207" s="1"/>
      <c r="C207" s="2"/>
      <c r="D207" s="2"/>
      <c r="E207" s="2"/>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1"/>
      <c r="BG207" s="1"/>
      <c r="BH207" s="71"/>
      <c r="BI207" s="85"/>
      <c r="BJ207" s="141"/>
      <c r="BK207" s="71"/>
      <c r="BL207" s="85"/>
    </row>
    <row r="208" spans="2:64" s="81" customFormat="1" x14ac:dyDescent="0.25">
      <c r="B208" s="1"/>
      <c r="C208" s="2"/>
      <c r="D208" s="2"/>
      <c r="E208" s="2"/>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1"/>
      <c r="BG208" s="1"/>
      <c r="BH208" s="71"/>
      <c r="BI208" s="85"/>
      <c r="BJ208" s="141"/>
      <c r="BK208" s="71"/>
      <c r="BL208" s="85"/>
    </row>
    <row r="209" spans="2:64" s="81" customFormat="1" x14ac:dyDescent="0.25">
      <c r="B209" s="1"/>
      <c r="C209" s="2"/>
      <c r="D209" s="2"/>
      <c r="E209" s="2"/>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1"/>
      <c r="BG209" s="1"/>
      <c r="BH209" s="71"/>
      <c r="BI209" s="85"/>
      <c r="BJ209" s="141"/>
      <c r="BK209" s="71"/>
      <c r="BL209" s="85"/>
    </row>
    <row r="210" spans="2:64" s="81" customFormat="1" x14ac:dyDescent="0.25">
      <c r="B210" s="1"/>
      <c r="C210" s="2"/>
      <c r="D210" s="2"/>
      <c r="E210" s="2"/>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1"/>
      <c r="BG210" s="1"/>
      <c r="BH210" s="71"/>
      <c r="BI210" s="85"/>
      <c r="BJ210" s="141"/>
      <c r="BK210" s="71"/>
      <c r="BL210" s="85"/>
    </row>
    <row r="211" spans="2:64" s="81" customFormat="1" x14ac:dyDescent="0.25">
      <c r="B211" s="1"/>
      <c r="C211" s="2"/>
      <c r="D211" s="2"/>
      <c r="E211" s="2"/>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1"/>
      <c r="BG211" s="1"/>
      <c r="BH211" s="71"/>
      <c r="BI211" s="85"/>
      <c r="BJ211" s="141"/>
      <c r="BK211" s="71"/>
      <c r="BL211" s="85"/>
    </row>
    <row r="212" spans="2:64" s="81" customFormat="1" x14ac:dyDescent="0.25">
      <c r="B212" s="1"/>
      <c r="C212" s="2"/>
      <c r="D212" s="2"/>
      <c r="E212" s="2"/>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1"/>
      <c r="BG212" s="1"/>
      <c r="BH212" s="71"/>
      <c r="BI212" s="85"/>
      <c r="BJ212" s="141"/>
      <c r="BK212" s="71"/>
      <c r="BL212" s="85"/>
    </row>
    <row r="213" spans="2:64" s="81" customFormat="1" x14ac:dyDescent="0.25">
      <c r="B213" s="1"/>
      <c r="C213" s="2"/>
      <c r="D213" s="2"/>
      <c r="E213" s="2"/>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1"/>
      <c r="BG213" s="1"/>
      <c r="BH213" s="71"/>
      <c r="BI213" s="85"/>
      <c r="BJ213" s="141"/>
      <c r="BK213" s="71"/>
      <c r="BL213" s="85"/>
    </row>
    <row r="214" spans="2:64" s="81" customFormat="1" x14ac:dyDescent="0.25">
      <c r="B214" s="1"/>
      <c r="C214" s="2"/>
      <c r="D214" s="2"/>
      <c r="E214" s="2"/>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1"/>
      <c r="BG214" s="1"/>
      <c r="BH214" s="71"/>
      <c r="BI214" s="85"/>
      <c r="BJ214" s="141"/>
      <c r="BK214" s="71"/>
      <c r="BL214" s="85"/>
    </row>
    <row r="215" spans="2:64" s="81" customFormat="1" x14ac:dyDescent="0.25">
      <c r="B215" s="1"/>
      <c r="C215" s="2"/>
      <c r="D215" s="2"/>
      <c r="E215" s="2"/>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1"/>
      <c r="BG215" s="1"/>
      <c r="BH215" s="71"/>
      <c r="BI215" s="85"/>
      <c r="BJ215" s="141"/>
      <c r="BK215" s="71"/>
      <c r="BL215" s="85"/>
    </row>
    <row r="216" spans="2:64" s="81" customFormat="1" x14ac:dyDescent="0.25">
      <c r="B216" s="1"/>
      <c r="C216" s="2"/>
      <c r="D216" s="2"/>
      <c r="E216" s="2"/>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1"/>
      <c r="BG216" s="1"/>
      <c r="BH216" s="71"/>
      <c r="BI216" s="85"/>
      <c r="BJ216" s="141"/>
      <c r="BK216" s="71"/>
      <c r="BL216" s="85"/>
    </row>
    <row r="217" spans="2:64" s="81" customFormat="1" x14ac:dyDescent="0.25">
      <c r="B217" s="1"/>
      <c r="C217" s="2"/>
      <c r="D217" s="2"/>
      <c r="E217" s="2"/>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1"/>
      <c r="BG217" s="1"/>
      <c r="BH217" s="5"/>
      <c r="BI217" s="85"/>
      <c r="BJ217" s="141"/>
      <c r="BK217" s="5"/>
      <c r="BL217" s="85"/>
    </row>
    <row r="218" spans="2:64" s="81" customFormat="1" x14ac:dyDescent="0.25">
      <c r="B218" s="1"/>
      <c r="C218" s="2"/>
      <c r="D218" s="2"/>
      <c r="E218" s="2"/>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1"/>
      <c r="BG218" s="1"/>
      <c r="BH218" s="5"/>
      <c r="BI218" s="85"/>
      <c r="BJ218" s="141"/>
      <c r="BK218" s="5"/>
      <c r="BL218" s="85"/>
    </row>
    <row r="219" spans="2:64" s="81" customFormat="1" x14ac:dyDescent="0.25">
      <c r="B219" s="1"/>
      <c r="C219" s="2"/>
      <c r="D219" s="2"/>
      <c r="E219" s="2"/>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1"/>
      <c r="BG219" s="1"/>
      <c r="BH219" s="5"/>
      <c r="BI219" s="85"/>
      <c r="BJ219" s="141"/>
      <c r="BK219" s="5"/>
      <c r="BL219" s="85"/>
    </row>
    <row r="220" spans="2:64" s="81" customFormat="1" x14ac:dyDescent="0.25">
      <c r="B220" s="1"/>
      <c r="C220" s="2"/>
      <c r="D220" s="2"/>
      <c r="E220" s="2"/>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1"/>
      <c r="BG220" s="1"/>
      <c r="BH220" s="5"/>
      <c r="BI220" s="85"/>
      <c r="BJ220" s="141"/>
      <c r="BK220" s="5"/>
      <c r="BL220" s="85"/>
    </row>
    <row r="221" spans="2:64" s="81" customFormat="1" x14ac:dyDescent="0.25">
      <c r="B221" s="1"/>
      <c r="C221" s="2"/>
      <c r="D221" s="2"/>
      <c r="E221" s="2"/>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1"/>
      <c r="BG221" s="1"/>
      <c r="BH221" s="5"/>
      <c r="BI221" s="85"/>
      <c r="BJ221" s="141"/>
      <c r="BK221" s="5"/>
      <c r="BL221" s="85"/>
    </row>
    <row r="222" spans="2:64" s="81" customFormat="1" x14ac:dyDescent="0.25">
      <c r="B222" s="1"/>
      <c r="C222" s="2"/>
      <c r="D222" s="2"/>
      <c r="E222" s="2"/>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1"/>
      <c r="BG222" s="1"/>
      <c r="BH222" s="5"/>
      <c r="BI222" s="85"/>
      <c r="BJ222" s="141"/>
      <c r="BK222" s="5"/>
      <c r="BL222" s="85"/>
    </row>
    <row r="223" spans="2:64" s="81" customFormat="1" x14ac:dyDescent="0.25">
      <c r="B223" s="1"/>
      <c r="C223" s="2"/>
      <c r="D223" s="2"/>
      <c r="E223" s="2"/>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1"/>
      <c r="BG223" s="1"/>
      <c r="BH223" s="5"/>
      <c r="BI223" s="85"/>
      <c r="BJ223" s="141"/>
      <c r="BK223" s="5"/>
      <c r="BL223" s="85"/>
    </row>
    <row r="224" spans="2:64" s="81" customFormat="1" x14ac:dyDescent="0.25">
      <c r="B224" s="1"/>
      <c r="C224" s="2"/>
      <c r="D224" s="2"/>
      <c r="E224" s="2"/>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1"/>
      <c r="BG224" s="1"/>
      <c r="BH224" s="5"/>
      <c r="BI224" s="85"/>
      <c r="BJ224" s="141"/>
      <c r="BK224" s="5"/>
      <c r="BL224" s="85"/>
    </row>
    <row r="225" spans="2:64" s="81" customFormat="1" x14ac:dyDescent="0.25">
      <c r="B225" s="1"/>
      <c r="C225" s="2"/>
      <c r="D225" s="2"/>
      <c r="E225" s="2"/>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1"/>
      <c r="BG225" s="1"/>
      <c r="BH225" s="5"/>
      <c r="BI225" s="85"/>
      <c r="BJ225" s="141"/>
      <c r="BK225" s="5"/>
      <c r="BL225" s="85"/>
    </row>
    <row r="226" spans="2:64" s="81" customFormat="1" x14ac:dyDescent="0.25">
      <c r="B226" s="1"/>
      <c r="C226" s="2"/>
      <c r="D226" s="2"/>
      <c r="E226" s="2"/>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1"/>
      <c r="BG226" s="1"/>
      <c r="BH226" s="5"/>
      <c r="BI226" s="85"/>
      <c r="BJ226" s="141"/>
      <c r="BK226" s="5"/>
      <c r="BL226" s="85"/>
    </row>
    <row r="227" spans="2:64" s="81" customFormat="1" x14ac:dyDescent="0.25">
      <c r="B227" s="1"/>
      <c r="C227" s="2"/>
      <c r="D227" s="2"/>
      <c r="E227" s="2"/>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1"/>
      <c r="BG227" s="1"/>
      <c r="BH227" s="5"/>
      <c r="BI227" s="85"/>
      <c r="BJ227" s="141"/>
      <c r="BK227" s="5"/>
      <c r="BL227" s="85"/>
    </row>
    <row r="228" spans="2:64" s="81" customFormat="1" x14ac:dyDescent="0.25">
      <c r="B228" s="1"/>
      <c r="C228" s="2"/>
      <c r="D228" s="2"/>
      <c r="E228" s="2"/>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1"/>
      <c r="BG228" s="1"/>
      <c r="BH228" s="5"/>
      <c r="BI228" s="85"/>
      <c r="BJ228" s="141"/>
      <c r="BK228" s="5"/>
      <c r="BL228" s="85"/>
    </row>
    <row r="229" spans="2:64" s="81" customFormat="1" x14ac:dyDescent="0.25">
      <c r="B229" s="1"/>
      <c r="C229" s="2"/>
      <c r="D229" s="2"/>
      <c r="E229" s="2"/>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1"/>
      <c r="BG229" s="1"/>
      <c r="BH229" s="5"/>
      <c r="BI229" s="85"/>
      <c r="BJ229" s="141"/>
      <c r="BK229" s="5"/>
      <c r="BL229" s="85"/>
    </row>
    <row r="230" spans="2:64" s="81" customFormat="1" x14ac:dyDescent="0.25">
      <c r="B230" s="1"/>
      <c r="C230" s="2"/>
      <c r="D230" s="2"/>
      <c r="E230" s="2"/>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1"/>
      <c r="BG230" s="1"/>
      <c r="BH230" s="5"/>
      <c r="BI230" s="85"/>
      <c r="BJ230" s="141"/>
      <c r="BK230" s="5"/>
      <c r="BL230" s="85"/>
    </row>
    <row r="231" spans="2:64" s="81" customFormat="1" x14ac:dyDescent="0.25">
      <c r="B231" s="1"/>
      <c r="C231" s="2"/>
      <c r="D231" s="2"/>
      <c r="E231" s="2"/>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1"/>
      <c r="BG231" s="1"/>
      <c r="BH231" s="5"/>
      <c r="BI231" s="85"/>
      <c r="BJ231" s="141"/>
      <c r="BK231" s="5"/>
      <c r="BL231" s="85"/>
    </row>
    <row r="232" spans="2:64" s="81" customFormat="1" x14ac:dyDescent="0.25">
      <c r="B232" s="1"/>
      <c r="C232" s="2"/>
      <c r="D232" s="2"/>
      <c r="E232" s="2"/>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1"/>
      <c r="BG232" s="1"/>
      <c r="BH232" s="5"/>
      <c r="BI232" s="85"/>
      <c r="BJ232" s="141"/>
      <c r="BK232" s="5"/>
      <c r="BL232" s="85"/>
    </row>
    <row r="233" spans="2:64" s="81" customFormat="1" x14ac:dyDescent="0.25">
      <c r="B233" s="1"/>
      <c r="C233" s="2"/>
      <c r="D233" s="2"/>
      <c r="E233" s="2"/>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1"/>
      <c r="BG233" s="1"/>
      <c r="BH233" s="5"/>
      <c r="BI233" s="85"/>
      <c r="BJ233" s="141"/>
      <c r="BK233" s="5"/>
      <c r="BL233" s="85"/>
    </row>
    <row r="234" spans="2:64" s="81" customFormat="1" x14ac:dyDescent="0.25">
      <c r="B234" s="1"/>
      <c r="C234" s="2"/>
      <c r="D234" s="2"/>
      <c r="E234" s="2"/>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1"/>
      <c r="BG234" s="1"/>
      <c r="BH234" s="5"/>
      <c r="BI234" s="85"/>
      <c r="BJ234" s="141"/>
      <c r="BK234" s="5"/>
      <c r="BL234" s="85"/>
    </row>
    <row r="235" spans="2:64" s="81" customFormat="1" x14ac:dyDescent="0.25">
      <c r="B235" s="1"/>
      <c r="C235" s="2"/>
      <c r="D235" s="2"/>
      <c r="E235" s="2"/>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1"/>
      <c r="BG235" s="1"/>
      <c r="BH235" s="5"/>
      <c r="BI235" s="85"/>
      <c r="BJ235" s="141"/>
      <c r="BK235" s="5"/>
      <c r="BL235" s="85"/>
    </row>
    <row r="236" spans="2:64" s="81" customFormat="1" x14ac:dyDescent="0.25">
      <c r="B236" s="1"/>
      <c r="C236" s="2"/>
      <c r="D236" s="2"/>
      <c r="E236" s="2"/>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1"/>
      <c r="BG236" s="1"/>
      <c r="BH236" s="5"/>
      <c r="BI236" s="85"/>
      <c r="BJ236" s="141"/>
      <c r="BK236" s="5"/>
      <c r="BL236" s="85"/>
    </row>
    <row r="237" spans="2:64" s="81" customFormat="1" x14ac:dyDescent="0.25">
      <c r="B237" s="1"/>
      <c r="C237" s="2"/>
      <c r="D237" s="2"/>
      <c r="E237" s="2"/>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1"/>
      <c r="BG237" s="1"/>
      <c r="BH237" s="5"/>
      <c r="BI237" s="85"/>
      <c r="BJ237" s="141"/>
      <c r="BK237" s="5"/>
      <c r="BL237" s="85"/>
    </row>
    <row r="238" spans="2:64" s="81" customFormat="1" x14ac:dyDescent="0.25">
      <c r="B238" s="1"/>
      <c r="C238" s="2"/>
      <c r="D238" s="2"/>
      <c r="E238" s="2"/>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1"/>
      <c r="BG238" s="1"/>
      <c r="BH238" s="5"/>
      <c r="BI238" s="85"/>
      <c r="BJ238" s="141"/>
      <c r="BK238" s="5"/>
      <c r="BL238" s="85"/>
    </row>
    <row r="239" spans="2:64" s="81" customFormat="1" x14ac:dyDescent="0.25">
      <c r="B239" s="1"/>
      <c r="C239" s="2"/>
      <c r="D239" s="2"/>
      <c r="E239" s="2"/>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1"/>
      <c r="BG239" s="1"/>
      <c r="BH239" s="5"/>
      <c r="BI239" s="85"/>
      <c r="BJ239" s="141"/>
      <c r="BK239" s="5"/>
      <c r="BL239" s="85"/>
    </row>
    <row r="240" spans="2:64" s="81" customFormat="1" x14ac:dyDescent="0.25">
      <c r="B240" s="1"/>
      <c r="C240" s="2"/>
      <c r="D240" s="2"/>
      <c r="E240" s="2"/>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1"/>
      <c r="BG240" s="1"/>
      <c r="BH240" s="5"/>
      <c r="BI240" s="85"/>
      <c r="BJ240" s="141"/>
      <c r="BK240" s="5"/>
      <c r="BL240" s="85"/>
    </row>
    <row r="241" spans="2:64" s="81" customFormat="1" x14ac:dyDescent="0.25">
      <c r="B241" s="1"/>
      <c r="C241" s="2"/>
      <c r="D241" s="2"/>
      <c r="E241" s="2"/>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1"/>
      <c r="BG241" s="1"/>
      <c r="BH241" s="5"/>
      <c r="BI241" s="85"/>
      <c r="BJ241" s="141"/>
      <c r="BK241" s="5"/>
      <c r="BL241" s="85"/>
    </row>
    <row r="242" spans="2:64" s="81" customFormat="1" x14ac:dyDescent="0.25">
      <c r="B242" s="1"/>
      <c r="C242" s="2"/>
      <c r="D242" s="2"/>
      <c r="E242" s="2"/>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1"/>
      <c r="BG242" s="1"/>
      <c r="BH242" s="5"/>
      <c r="BI242" s="85"/>
      <c r="BJ242" s="141"/>
      <c r="BK242" s="5"/>
      <c r="BL242" s="85"/>
    </row>
    <row r="243" spans="2:64" s="81" customFormat="1" x14ac:dyDescent="0.25">
      <c r="B243" s="1"/>
      <c r="C243" s="2"/>
      <c r="D243" s="2"/>
      <c r="E243" s="2"/>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1"/>
      <c r="BG243" s="1"/>
      <c r="BH243" s="5"/>
      <c r="BI243" s="85"/>
      <c r="BJ243" s="141"/>
      <c r="BK243" s="5"/>
      <c r="BL243" s="85"/>
    </row>
    <row r="244" spans="2:64" s="81" customFormat="1" x14ac:dyDescent="0.25">
      <c r="B244" s="1"/>
      <c r="C244" s="2"/>
      <c r="D244" s="2"/>
      <c r="E244" s="2"/>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1"/>
      <c r="BG244" s="1"/>
      <c r="BH244" s="5"/>
      <c r="BI244" s="85"/>
      <c r="BJ244" s="141"/>
      <c r="BK244" s="5"/>
      <c r="BL244" s="85"/>
    </row>
    <row r="245" spans="2:64" s="81" customFormat="1" x14ac:dyDescent="0.25">
      <c r="B245" s="1"/>
      <c r="C245" s="2"/>
      <c r="D245" s="2"/>
      <c r="E245" s="2"/>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1"/>
      <c r="BG245" s="1"/>
      <c r="BH245" s="5"/>
      <c r="BI245" s="85"/>
      <c r="BJ245" s="141"/>
      <c r="BK245" s="5"/>
      <c r="BL245" s="85"/>
    </row>
    <row r="246" spans="2:64" s="81" customFormat="1" x14ac:dyDescent="0.25">
      <c r="B246" s="1"/>
      <c r="C246" s="2"/>
      <c r="D246" s="2"/>
      <c r="E246" s="2"/>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1"/>
      <c r="BG246" s="1"/>
      <c r="BH246" s="5"/>
      <c r="BI246" s="85"/>
      <c r="BJ246" s="141"/>
      <c r="BK246" s="5"/>
      <c r="BL246" s="85"/>
    </row>
    <row r="247" spans="2:64" s="81" customFormat="1" x14ac:dyDescent="0.25">
      <c r="B247" s="1"/>
      <c r="C247" s="2"/>
      <c r="D247" s="2"/>
      <c r="E247" s="2"/>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1"/>
      <c r="BG247" s="1"/>
      <c r="BH247" s="5"/>
      <c r="BI247" s="85"/>
      <c r="BJ247" s="141"/>
      <c r="BK247" s="5"/>
      <c r="BL247" s="85"/>
    </row>
    <row r="248" spans="2:64" s="81" customFormat="1" x14ac:dyDescent="0.25">
      <c r="B248" s="1"/>
      <c r="C248" s="2"/>
      <c r="D248" s="2"/>
      <c r="E248" s="2"/>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1"/>
      <c r="BG248" s="1"/>
      <c r="BH248" s="5"/>
      <c r="BI248" s="85"/>
      <c r="BJ248" s="141"/>
      <c r="BK248" s="5"/>
      <c r="BL248" s="85"/>
    </row>
    <row r="249" spans="2:64" s="81" customFormat="1" x14ac:dyDescent="0.25">
      <c r="B249" s="1"/>
      <c r="C249" s="2"/>
      <c r="D249" s="2"/>
      <c r="E249" s="2"/>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1"/>
      <c r="BG249" s="1"/>
      <c r="BH249" s="5"/>
      <c r="BI249" s="85"/>
      <c r="BJ249" s="141"/>
      <c r="BK249" s="5"/>
      <c r="BL249" s="85"/>
    </row>
    <row r="250" spans="2:64" s="81" customFormat="1" x14ac:dyDescent="0.25">
      <c r="B250" s="1"/>
      <c r="C250" s="2"/>
      <c r="D250" s="2"/>
      <c r="E250" s="2"/>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1"/>
      <c r="BG250" s="1"/>
      <c r="BH250" s="5"/>
      <c r="BI250" s="85"/>
      <c r="BJ250" s="141"/>
      <c r="BK250" s="5"/>
      <c r="BL250" s="85"/>
    </row>
    <row r="251" spans="2:64" s="81" customFormat="1" x14ac:dyDescent="0.25">
      <c r="B251" s="1"/>
      <c r="C251" s="2"/>
      <c r="D251" s="2"/>
      <c r="E251" s="2"/>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1"/>
      <c r="BG251" s="1"/>
      <c r="BH251" s="5"/>
      <c r="BI251" s="85"/>
      <c r="BJ251" s="141"/>
      <c r="BK251" s="5"/>
      <c r="BL251" s="85"/>
    </row>
    <row r="252" spans="2:64" s="81" customFormat="1" x14ac:dyDescent="0.25">
      <c r="B252" s="1"/>
      <c r="C252" s="2"/>
      <c r="D252" s="2"/>
      <c r="E252" s="2"/>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1"/>
      <c r="BG252" s="1"/>
      <c r="BH252" s="5"/>
      <c r="BI252" s="85"/>
      <c r="BJ252" s="141"/>
      <c r="BK252" s="5"/>
      <c r="BL252" s="85"/>
    </row>
    <row r="253" spans="2:64" s="81" customFormat="1" x14ac:dyDescent="0.25">
      <c r="B253" s="1"/>
      <c r="C253" s="2"/>
      <c r="D253" s="2"/>
      <c r="E253" s="2"/>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1"/>
      <c r="BG253" s="1"/>
      <c r="BH253" s="5"/>
      <c r="BI253" s="85"/>
      <c r="BJ253" s="141"/>
      <c r="BK253" s="5"/>
      <c r="BL253" s="85"/>
    </row>
    <row r="254" spans="2:64" s="81" customFormat="1" x14ac:dyDescent="0.25">
      <c r="B254" s="1"/>
      <c r="C254" s="2"/>
      <c r="D254" s="2"/>
      <c r="E254" s="2"/>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1"/>
      <c r="BG254" s="1"/>
      <c r="BH254" s="5"/>
      <c r="BI254" s="85"/>
      <c r="BJ254" s="141"/>
      <c r="BK254" s="5"/>
      <c r="BL254" s="85"/>
    </row>
    <row r="255" spans="2:64" s="81" customFormat="1" x14ac:dyDescent="0.25">
      <c r="B255" s="1"/>
      <c r="C255" s="2"/>
      <c r="D255" s="2"/>
      <c r="E255" s="2"/>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1"/>
      <c r="BG255" s="1"/>
      <c r="BH255" s="5"/>
      <c r="BI255" s="85"/>
      <c r="BJ255" s="141"/>
      <c r="BK255" s="5"/>
      <c r="BL255" s="85"/>
    </row>
    <row r="256" spans="2:64" s="81" customFormat="1" x14ac:dyDescent="0.25">
      <c r="B256" s="1"/>
      <c r="C256" s="2"/>
      <c r="D256" s="2"/>
      <c r="E256" s="2"/>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1"/>
      <c r="BG256" s="1"/>
      <c r="BH256" s="5"/>
      <c r="BI256" s="85"/>
      <c r="BJ256" s="141"/>
      <c r="BK256" s="5"/>
      <c r="BL256" s="85"/>
    </row>
    <row r="257" spans="2:64" s="81" customFormat="1" x14ac:dyDescent="0.25">
      <c r="B257" s="1"/>
      <c r="C257" s="2"/>
      <c r="D257" s="2"/>
      <c r="E257" s="2"/>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1"/>
      <c r="BG257" s="1"/>
      <c r="BH257" s="5"/>
      <c r="BI257" s="85"/>
      <c r="BJ257" s="141"/>
      <c r="BK257" s="5"/>
      <c r="BL257" s="85"/>
    </row>
    <row r="258" spans="2:64" s="81" customFormat="1" x14ac:dyDescent="0.25">
      <c r="B258" s="1"/>
      <c r="C258" s="2"/>
      <c r="D258" s="2"/>
      <c r="E258" s="2"/>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1"/>
      <c r="BG258" s="1"/>
      <c r="BH258" s="5"/>
      <c r="BI258" s="85"/>
      <c r="BJ258" s="141"/>
      <c r="BK258" s="5"/>
      <c r="BL258" s="85"/>
    </row>
    <row r="259" spans="2:64" s="81" customFormat="1" x14ac:dyDescent="0.25">
      <c r="B259" s="1"/>
      <c r="C259" s="2"/>
      <c r="D259" s="2"/>
      <c r="E259" s="2"/>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1"/>
      <c r="BG259" s="1"/>
      <c r="BH259" s="5"/>
      <c r="BI259" s="85"/>
      <c r="BJ259" s="141"/>
      <c r="BK259" s="5"/>
      <c r="BL259" s="85"/>
    </row>
    <row r="260" spans="2:64" s="81" customFormat="1" x14ac:dyDescent="0.25">
      <c r="B260" s="1"/>
      <c r="C260" s="2"/>
      <c r="D260" s="2"/>
      <c r="E260" s="2"/>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1"/>
      <c r="BG260" s="1"/>
      <c r="BH260" s="5"/>
      <c r="BI260" s="85"/>
      <c r="BJ260" s="141"/>
      <c r="BK260" s="5"/>
      <c r="BL260" s="85"/>
    </row>
    <row r="261" spans="2:64" s="81" customFormat="1" x14ac:dyDescent="0.25">
      <c r="B261" s="1"/>
      <c r="C261" s="2"/>
      <c r="D261" s="2"/>
      <c r="E261" s="2"/>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1"/>
      <c r="BG261" s="1"/>
      <c r="BH261" s="5"/>
      <c r="BI261" s="85"/>
      <c r="BJ261" s="141"/>
      <c r="BK261" s="5"/>
      <c r="BL261" s="85"/>
    </row>
    <row r="262" spans="2:64" s="81" customFormat="1" x14ac:dyDescent="0.25">
      <c r="B262" s="1"/>
      <c r="C262" s="2"/>
      <c r="D262" s="2"/>
      <c r="E262" s="2"/>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1"/>
      <c r="BG262" s="1"/>
      <c r="BH262" s="5"/>
      <c r="BI262" s="85"/>
      <c r="BJ262" s="141"/>
      <c r="BK262" s="5"/>
      <c r="BL262" s="85"/>
    </row>
    <row r="263" spans="2:64" s="81" customFormat="1" x14ac:dyDescent="0.25">
      <c r="B263" s="1"/>
      <c r="C263" s="2"/>
      <c r="D263" s="2"/>
      <c r="E263" s="2"/>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1"/>
      <c r="BG263" s="1"/>
      <c r="BH263" s="5"/>
      <c r="BI263" s="85"/>
      <c r="BJ263" s="141"/>
      <c r="BK263" s="5"/>
      <c r="BL263" s="85"/>
    </row>
    <row r="264" spans="2:64" s="81" customFormat="1" x14ac:dyDescent="0.25">
      <c r="B264" s="1"/>
      <c r="C264" s="2"/>
      <c r="D264" s="2"/>
      <c r="E264" s="2"/>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1"/>
      <c r="BG264" s="1"/>
      <c r="BH264" s="5"/>
      <c r="BI264" s="85"/>
      <c r="BJ264" s="141"/>
      <c r="BK264" s="5"/>
      <c r="BL264" s="85"/>
    </row>
    <row r="265" spans="2:64" s="81" customFormat="1" x14ac:dyDescent="0.25">
      <c r="B265" s="1"/>
      <c r="C265" s="2"/>
      <c r="D265" s="2"/>
      <c r="E265" s="2"/>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1"/>
      <c r="BG265" s="1"/>
      <c r="BH265" s="5"/>
      <c r="BI265" s="85"/>
      <c r="BJ265" s="141"/>
      <c r="BK265" s="5"/>
      <c r="BL265" s="85"/>
    </row>
    <row r="266" spans="2:64" s="81" customFormat="1" x14ac:dyDescent="0.25">
      <c r="B266" s="1"/>
      <c r="C266" s="2"/>
      <c r="D266" s="2"/>
      <c r="E266" s="2"/>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1"/>
      <c r="BG266" s="1"/>
      <c r="BH266" s="5"/>
      <c r="BI266" s="85"/>
      <c r="BJ266" s="141"/>
      <c r="BK266" s="5"/>
      <c r="BL266" s="85"/>
    </row>
    <row r="267" spans="2:64" s="81" customFormat="1" x14ac:dyDescent="0.25">
      <c r="B267" s="1"/>
      <c r="C267" s="2"/>
      <c r="D267" s="2"/>
      <c r="E267" s="2"/>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1"/>
      <c r="BG267" s="1"/>
      <c r="BH267" s="5"/>
      <c r="BI267" s="85"/>
      <c r="BJ267" s="141"/>
      <c r="BK267" s="5"/>
      <c r="BL267" s="85"/>
    </row>
    <row r="268" spans="2:64" s="81" customFormat="1" x14ac:dyDescent="0.25">
      <c r="B268" s="1"/>
      <c r="C268" s="2"/>
      <c r="D268" s="2"/>
      <c r="E268" s="2"/>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1"/>
      <c r="BG268" s="1"/>
      <c r="BH268" s="5"/>
      <c r="BI268" s="85"/>
      <c r="BJ268" s="141"/>
      <c r="BK268" s="5"/>
      <c r="BL268" s="85"/>
    </row>
    <row r="269" spans="2:64" s="81" customFormat="1" x14ac:dyDescent="0.25">
      <c r="B269" s="1"/>
      <c r="C269" s="2"/>
      <c r="D269" s="2"/>
      <c r="E269" s="2"/>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1"/>
      <c r="BG269" s="1"/>
      <c r="BH269" s="5"/>
      <c r="BI269" s="85"/>
      <c r="BJ269" s="141"/>
      <c r="BK269" s="5"/>
      <c r="BL269" s="85"/>
    </row>
    <row r="270" spans="2:64" s="81" customFormat="1" x14ac:dyDescent="0.25">
      <c r="B270" s="1"/>
      <c r="C270" s="2"/>
      <c r="D270" s="2"/>
      <c r="E270" s="2"/>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1"/>
      <c r="BG270" s="1"/>
      <c r="BH270" s="5"/>
      <c r="BI270" s="85"/>
      <c r="BJ270" s="141"/>
      <c r="BK270" s="5"/>
      <c r="BL270" s="85"/>
    </row>
    <row r="271" spans="2:64" s="81" customFormat="1" x14ac:dyDescent="0.25">
      <c r="B271" s="1"/>
      <c r="C271" s="2"/>
      <c r="D271" s="2"/>
      <c r="E271" s="2"/>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1"/>
      <c r="BG271" s="1"/>
      <c r="BH271" s="5"/>
      <c r="BI271" s="85"/>
      <c r="BJ271" s="141"/>
      <c r="BK271" s="5"/>
      <c r="BL271" s="85"/>
    </row>
    <row r="272" spans="2:64" s="81" customFormat="1" x14ac:dyDescent="0.25">
      <c r="B272" s="1"/>
      <c r="C272" s="2"/>
      <c r="D272" s="2"/>
      <c r="E272" s="2"/>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1"/>
      <c r="BG272" s="1"/>
      <c r="BH272" s="5"/>
      <c r="BI272" s="85"/>
      <c r="BJ272" s="141"/>
      <c r="BK272" s="5"/>
      <c r="BL272" s="85"/>
    </row>
    <row r="273" spans="2:64" s="81" customFormat="1" x14ac:dyDescent="0.25">
      <c r="B273" s="1"/>
      <c r="C273" s="2"/>
      <c r="D273" s="2"/>
      <c r="E273" s="2"/>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1"/>
      <c r="BG273" s="1"/>
      <c r="BH273" s="5"/>
      <c r="BI273" s="85"/>
      <c r="BJ273" s="141"/>
      <c r="BK273" s="5"/>
      <c r="BL273" s="85"/>
    </row>
    <row r="274" spans="2:64" s="81" customFormat="1" x14ac:dyDescent="0.25">
      <c r="B274" s="1"/>
      <c r="C274" s="2"/>
      <c r="D274" s="2"/>
      <c r="E274" s="2"/>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1"/>
      <c r="BG274" s="1"/>
      <c r="BH274" s="5"/>
      <c r="BI274" s="85"/>
      <c r="BJ274" s="141"/>
      <c r="BK274" s="5"/>
      <c r="BL274" s="85"/>
    </row>
    <row r="275" spans="2:64" s="81" customFormat="1" x14ac:dyDescent="0.25">
      <c r="B275" s="1"/>
      <c r="C275" s="2"/>
      <c r="D275" s="2"/>
      <c r="E275" s="2"/>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1"/>
      <c r="BG275" s="1"/>
      <c r="BH275" s="5"/>
      <c r="BI275" s="85"/>
      <c r="BJ275" s="141"/>
      <c r="BK275" s="5"/>
      <c r="BL275" s="85"/>
    </row>
    <row r="276" spans="2:64" s="81" customFormat="1" x14ac:dyDescent="0.25">
      <c r="B276" s="1"/>
      <c r="C276" s="2"/>
      <c r="D276" s="2"/>
      <c r="E276" s="2"/>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1"/>
      <c r="BG276" s="1"/>
      <c r="BH276" s="5"/>
      <c r="BI276" s="85"/>
      <c r="BJ276" s="141"/>
      <c r="BK276" s="5"/>
      <c r="BL276" s="85"/>
    </row>
    <row r="277" spans="2:64" s="81" customFormat="1" x14ac:dyDescent="0.25">
      <c r="B277" s="1"/>
      <c r="C277" s="2"/>
      <c r="D277" s="2"/>
      <c r="E277" s="2"/>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1"/>
      <c r="BG277" s="1"/>
      <c r="BH277" s="5"/>
      <c r="BI277" s="85"/>
      <c r="BJ277" s="141"/>
      <c r="BK277" s="5"/>
      <c r="BL277" s="85"/>
    </row>
    <row r="278" spans="2:64" s="81" customFormat="1" x14ac:dyDescent="0.25">
      <c r="B278" s="1"/>
      <c r="C278" s="2"/>
      <c r="D278" s="2"/>
      <c r="E278" s="2"/>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1"/>
      <c r="BG278" s="1"/>
      <c r="BH278" s="5"/>
      <c r="BI278" s="85"/>
      <c r="BJ278" s="141"/>
      <c r="BK278" s="5"/>
      <c r="BL278" s="85"/>
    </row>
    <row r="279" spans="2:64" s="81" customFormat="1" x14ac:dyDescent="0.25">
      <c r="B279" s="1"/>
      <c r="C279" s="2"/>
      <c r="D279" s="2"/>
      <c r="E279" s="2"/>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1"/>
      <c r="BG279" s="1"/>
      <c r="BH279" s="5"/>
      <c r="BI279" s="85"/>
      <c r="BJ279" s="141"/>
      <c r="BK279" s="5"/>
      <c r="BL279" s="85"/>
    </row>
    <row r="280" spans="2:64" s="81" customFormat="1" x14ac:dyDescent="0.25">
      <c r="B280" s="1"/>
      <c r="C280" s="2"/>
      <c r="D280" s="2"/>
      <c r="E280" s="2"/>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1"/>
      <c r="BG280" s="1"/>
      <c r="BH280" s="5"/>
      <c r="BI280" s="85"/>
      <c r="BJ280" s="141"/>
      <c r="BK280" s="5"/>
      <c r="BL280" s="85"/>
    </row>
    <row r="281" spans="2:64" s="81" customFormat="1" x14ac:dyDescent="0.25">
      <c r="B281" s="1"/>
      <c r="C281" s="2"/>
      <c r="D281" s="2"/>
      <c r="E281" s="2"/>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1"/>
      <c r="BG281" s="1"/>
      <c r="BH281" s="5"/>
      <c r="BI281" s="85"/>
      <c r="BJ281" s="141"/>
      <c r="BK281" s="5"/>
      <c r="BL281" s="85"/>
    </row>
    <row r="282" spans="2:64" s="81" customFormat="1" x14ac:dyDescent="0.25">
      <c r="B282" s="1"/>
      <c r="C282" s="2"/>
      <c r="D282" s="2"/>
      <c r="E282" s="2"/>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1"/>
      <c r="BG282" s="1"/>
      <c r="BH282" s="5"/>
      <c r="BI282" s="85"/>
      <c r="BJ282" s="141"/>
      <c r="BK282" s="5"/>
      <c r="BL282" s="85"/>
    </row>
    <row r="283" spans="2:64" s="81" customFormat="1" x14ac:dyDescent="0.25">
      <c r="B283" s="1"/>
      <c r="C283" s="2"/>
      <c r="D283" s="2"/>
      <c r="E283" s="2"/>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1"/>
      <c r="BG283" s="1"/>
      <c r="BH283" s="5"/>
      <c r="BI283" s="85"/>
      <c r="BJ283" s="141"/>
      <c r="BK283" s="5"/>
      <c r="BL283" s="85"/>
    </row>
    <row r="284" spans="2:64" s="81" customFormat="1" x14ac:dyDescent="0.25">
      <c r="B284" s="1"/>
      <c r="C284" s="2"/>
      <c r="D284" s="2"/>
      <c r="E284" s="2"/>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1"/>
      <c r="BG284" s="1"/>
      <c r="BH284" s="5"/>
      <c r="BI284" s="85"/>
      <c r="BJ284" s="141"/>
      <c r="BK284" s="5"/>
      <c r="BL284" s="85"/>
    </row>
    <row r="285" spans="2:64" s="81" customFormat="1" x14ac:dyDescent="0.25">
      <c r="B285" s="1"/>
      <c r="C285" s="2"/>
      <c r="D285" s="2"/>
      <c r="E285" s="2"/>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1"/>
      <c r="BG285" s="1"/>
      <c r="BH285" s="5"/>
      <c r="BI285" s="85"/>
      <c r="BJ285" s="141"/>
      <c r="BK285" s="5"/>
      <c r="BL285" s="85"/>
    </row>
    <row r="286" spans="2:64" s="81" customFormat="1" x14ac:dyDescent="0.25">
      <c r="B286" s="1"/>
      <c r="C286" s="2"/>
      <c r="D286" s="2"/>
      <c r="E286" s="2"/>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1"/>
      <c r="BG286" s="1"/>
      <c r="BH286" s="5"/>
      <c r="BI286" s="85"/>
      <c r="BJ286" s="141"/>
      <c r="BK286" s="5"/>
      <c r="BL286" s="85"/>
    </row>
    <row r="287" spans="2:64" s="81" customFormat="1" x14ac:dyDescent="0.25">
      <c r="B287" s="1"/>
      <c r="C287" s="2"/>
      <c r="D287" s="2"/>
      <c r="E287" s="2"/>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1"/>
      <c r="BG287" s="1"/>
      <c r="BH287" s="5"/>
      <c r="BI287" s="85"/>
      <c r="BJ287" s="141"/>
      <c r="BK287" s="5"/>
      <c r="BL287" s="85"/>
    </row>
    <row r="288" spans="2:64" s="81" customFormat="1" x14ac:dyDescent="0.25">
      <c r="B288" s="1"/>
      <c r="C288" s="2"/>
      <c r="D288" s="2"/>
      <c r="E288" s="2"/>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1"/>
      <c r="BG288" s="1"/>
      <c r="BH288" s="5"/>
      <c r="BI288" s="85"/>
      <c r="BJ288" s="141"/>
      <c r="BK288" s="5"/>
      <c r="BL288" s="85"/>
    </row>
    <row r="289" spans="2:64" s="81" customFormat="1" x14ac:dyDescent="0.25">
      <c r="B289" s="1"/>
      <c r="C289" s="2"/>
      <c r="D289" s="2"/>
      <c r="E289" s="2"/>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1"/>
      <c r="BG289" s="1"/>
      <c r="BH289" s="5"/>
      <c r="BI289" s="85"/>
      <c r="BJ289" s="141"/>
      <c r="BK289" s="5"/>
      <c r="BL289" s="85"/>
    </row>
    <row r="290" spans="2:64" s="81" customFormat="1" x14ac:dyDescent="0.25">
      <c r="B290" s="1"/>
      <c r="C290" s="2"/>
      <c r="D290" s="2"/>
      <c r="E290" s="2"/>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1"/>
      <c r="BG290" s="1"/>
      <c r="BH290" s="5"/>
      <c r="BI290" s="85"/>
      <c r="BJ290" s="141"/>
      <c r="BK290" s="5"/>
      <c r="BL290" s="85"/>
    </row>
    <row r="291" spans="2:64" s="81" customFormat="1" x14ac:dyDescent="0.25">
      <c r="B291" s="1"/>
      <c r="C291" s="2"/>
      <c r="D291" s="2"/>
      <c r="E291" s="2"/>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1"/>
      <c r="BG291" s="1"/>
      <c r="BH291" s="5"/>
      <c r="BI291" s="85"/>
      <c r="BJ291" s="141"/>
      <c r="BK291" s="5"/>
      <c r="BL291" s="85"/>
    </row>
    <row r="292" spans="2:64" s="81" customFormat="1" x14ac:dyDescent="0.25">
      <c r="B292" s="1"/>
      <c r="C292" s="2"/>
      <c r="D292" s="2"/>
      <c r="E292" s="2"/>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1"/>
      <c r="BG292" s="1"/>
      <c r="BH292" s="5"/>
      <c r="BI292" s="85"/>
      <c r="BJ292" s="141"/>
      <c r="BK292" s="5"/>
      <c r="BL292" s="85"/>
    </row>
    <row r="293" spans="2:64" s="81" customFormat="1" x14ac:dyDescent="0.25">
      <c r="B293" s="1"/>
      <c r="C293" s="2"/>
      <c r="D293" s="2"/>
      <c r="E293" s="2"/>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1"/>
      <c r="BG293" s="1"/>
      <c r="BH293" s="5"/>
      <c r="BI293" s="85"/>
      <c r="BJ293" s="141"/>
      <c r="BK293" s="5"/>
      <c r="BL293" s="85"/>
    </row>
    <row r="294" spans="2:64" s="81" customFormat="1" x14ac:dyDescent="0.25">
      <c r="B294" s="1"/>
      <c r="C294" s="2"/>
      <c r="D294" s="2"/>
      <c r="E294" s="2"/>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1"/>
      <c r="BG294" s="1"/>
      <c r="BH294" s="5"/>
      <c r="BI294" s="85"/>
      <c r="BJ294" s="141"/>
      <c r="BK294" s="5"/>
      <c r="BL294" s="85"/>
    </row>
    <row r="295" spans="2:64" s="81" customFormat="1" x14ac:dyDescent="0.25">
      <c r="B295" s="1"/>
      <c r="C295" s="2"/>
      <c r="D295" s="2"/>
      <c r="E295" s="2"/>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1"/>
      <c r="BG295" s="1"/>
      <c r="BH295" s="5"/>
      <c r="BI295" s="85"/>
      <c r="BJ295" s="141"/>
      <c r="BK295" s="5"/>
      <c r="BL295" s="85"/>
    </row>
    <row r="296" spans="2:64" s="81" customFormat="1" x14ac:dyDescent="0.25">
      <c r="B296" s="1"/>
      <c r="C296" s="2"/>
      <c r="D296" s="2"/>
      <c r="E296" s="2"/>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1"/>
      <c r="BG296" s="1"/>
      <c r="BH296" s="5"/>
      <c r="BI296" s="85"/>
      <c r="BJ296" s="141"/>
      <c r="BK296" s="5"/>
      <c r="BL296" s="85"/>
    </row>
    <row r="297" spans="2:64" s="81" customFormat="1" x14ac:dyDescent="0.25">
      <c r="B297" s="1"/>
      <c r="C297" s="2"/>
      <c r="D297" s="2"/>
      <c r="E297" s="2"/>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1"/>
      <c r="BG297" s="1"/>
      <c r="BH297" s="5"/>
      <c r="BI297" s="85"/>
      <c r="BJ297" s="141"/>
      <c r="BK297" s="5"/>
      <c r="BL297" s="85"/>
    </row>
    <row r="298" spans="2:64" s="81" customFormat="1" x14ac:dyDescent="0.25">
      <c r="B298" s="1"/>
      <c r="C298" s="2"/>
      <c r="D298" s="2"/>
      <c r="E298" s="2"/>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1"/>
      <c r="BG298" s="1"/>
      <c r="BH298" s="5"/>
      <c r="BI298" s="85"/>
      <c r="BJ298" s="141"/>
      <c r="BK298" s="5"/>
      <c r="BL298" s="85"/>
    </row>
    <row r="299" spans="2:64" s="81" customFormat="1" x14ac:dyDescent="0.25">
      <c r="B299" s="1"/>
      <c r="C299" s="2"/>
      <c r="D299" s="2"/>
      <c r="E299" s="2"/>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1"/>
      <c r="BG299" s="1"/>
      <c r="BH299" s="5"/>
      <c r="BI299" s="85"/>
      <c r="BJ299" s="141"/>
      <c r="BK299" s="5"/>
      <c r="BL299" s="85"/>
    </row>
    <row r="300" spans="2:64" s="81" customFormat="1" x14ac:dyDescent="0.25">
      <c r="B300" s="1"/>
      <c r="C300" s="2"/>
      <c r="D300" s="2"/>
      <c r="E300" s="2"/>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1"/>
      <c r="BG300" s="1"/>
      <c r="BH300" s="5"/>
      <c r="BI300" s="85"/>
      <c r="BJ300" s="141"/>
      <c r="BK300" s="5"/>
      <c r="BL300" s="85"/>
    </row>
    <row r="301" spans="2:64" s="81" customFormat="1" x14ac:dyDescent="0.25">
      <c r="B301" s="1"/>
      <c r="C301" s="2"/>
      <c r="D301" s="2"/>
      <c r="E301" s="2"/>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1"/>
      <c r="BG301" s="1"/>
      <c r="BH301" s="5"/>
      <c r="BI301" s="85"/>
      <c r="BJ301" s="141"/>
      <c r="BK301" s="5"/>
      <c r="BL301" s="85"/>
    </row>
    <row r="302" spans="2:64" s="81" customFormat="1" x14ac:dyDescent="0.25">
      <c r="B302" s="1"/>
      <c r="C302" s="2"/>
      <c r="D302" s="2"/>
      <c r="E302" s="2"/>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1"/>
      <c r="BG302" s="1"/>
      <c r="BH302" s="5"/>
      <c r="BI302" s="85"/>
      <c r="BJ302" s="141"/>
      <c r="BK302" s="5"/>
      <c r="BL302" s="85"/>
    </row>
    <row r="303" spans="2:64" s="81" customFormat="1" x14ac:dyDescent="0.25">
      <c r="B303" s="1"/>
      <c r="C303" s="2"/>
      <c r="D303" s="2"/>
      <c r="E303" s="2"/>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1"/>
      <c r="BG303" s="1"/>
      <c r="BH303" s="5"/>
      <c r="BI303" s="85"/>
      <c r="BJ303" s="141"/>
      <c r="BK303" s="5"/>
      <c r="BL303" s="85"/>
    </row>
    <row r="304" spans="2:64" s="81" customFormat="1" x14ac:dyDescent="0.25">
      <c r="B304" s="1"/>
      <c r="C304" s="2"/>
      <c r="D304" s="2"/>
      <c r="E304" s="2"/>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1"/>
      <c r="BG304" s="1"/>
      <c r="BH304" s="5"/>
      <c r="BI304" s="85"/>
      <c r="BJ304" s="141"/>
      <c r="BK304" s="5"/>
      <c r="BL304" s="85"/>
    </row>
    <row r="305" spans="2:64" s="81" customFormat="1" x14ac:dyDescent="0.25">
      <c r="B305" s="1"/>
      <c r="C305" s="2"/>
      <c r="D305" s="2"/>
      <c r="E305" s="2"/>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1"/>
      <c r="BG305" s="1"/>
      <c r="BH305" s="5"/>
      <c r="BI305" s="85"/>
      <c r="BJ305" s="141"/>
      <c r="BK305" s="5"/>
      <c r="BL305" s="85"/>
    </row>
    <row r="306" spans="2:64" s="81" customFormat="1" x14ac:dyDescent="0.25">
      <c r="B306" s="1"/>
      <c r="C306" s="2"/>
      <c r="D306" s="2"/>
      <c r="E306" s="2"/>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1"/>
      <c r="BG306" s="1"/>
      <c r="BH306" s="5"/>
      <c r="BI306" s="85"/>
      <c r="BJ306" s="141"/>
      <c r="BK306" s="5"/>
      <c r="BL306" s="85"/>
    </row>
    <row r="307" spans="2:64" s="81" customFormat="1" x14ac:dyDescent="0.25">
      <c r="B307" s="1"/>
      <c r="C307" s="2"/>
      <c r="D307" s="2"/>
      <c r="E307" s="2"/>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1"/>
      <c r="BG307" s="1"/>
      <c r="BH307" s="5"/>
      <c r="BI307" s="85"/>
      <c r="BJ307" s="141"/>
      <c r="BK307" s="5"/>
      <c r="BL307" s="85"/>
    </row>
    <row r="308" spans="2:64" s="81" customFormat="1" x14ac:dyDescent="0.25">
      <c r="B308" s="1"/>
      <c r="C308" s="2"/>
      <c r="D308" s="2"/>
      <c r="E308" s="2"/>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1"/>
      <c r="BG308" s="1"/>
      <c r="BH308" s="5"/>
      <c r="BI308" s="85"/>
      <c r="BJ308" s="141"/>
      <c r="BK308" s="5"/>
      <c r="BL308" s="85"/>
    </row>
    <row r="309" spans="2:64" s="81" customFormat="1" x14ac:dyDescent="0.25">
      <c r="B309" s="1"/>
      <c r="C309" s="2"/>
      <c r="D309" s="2"/>
      <c r="E309" s="2"/>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1"/>
      <c r="BG309" s="1"/>
      <c r="BH309" s="5"/>
      <c r="BI309" s="85"/>
      <c r="BJ309" s="141"/>
      <c r="BK309" s="5"/>
      <c r="BL309" s="85"/>
    </row>
    <row r="310" spans="2:64" s="81" customFormat="1" x14ac:dyDescent="0.25">
      <c r="B310" s="1"/>
      <c r="C310" s="2"/>
      <c r="D310" s="2"/>
      <c r="E310" s="2"/>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1"/>
      <c r="BG310" s="1"/>
      <c r="BH310" s="5"/>
      <c r="BI310" s="85"/>
      <c r="BJ310" s="141"/>
      <c r="BK310" s="5"/>
      <c r="BL310" s="85"/>
    </row>
    <row r="311" spans="2:64" s="81" customFormat="1" x14ac:dyDescent="0.25">
      <c r="B311" s="1"/>
      <c r="C311" s="2"/>
      <c r="D311" s="2"/>
      <c r="E311" s="2"/>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1"/>
      <c r="BG311" s="1"/>
      <c r="BH311" s="5"/>
      <c r="BI311" s="85"/>
      <c r="BJ311" s="141"/>
      <c r="BK311" s="5"/>
      <c r="BL311" s="85"/>
    </row>
    <row r="312" spans="2:64" s="81" customFormat="1" x14ac:dyDescent="0.25">
      <c r="B312" s="1"/>
      <c r="C312" s="2"/>
      <c r="D312" s="2"/>
      <c r="E312" s="2"/>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1"/>
      <c r="BG312" s="1"/>
      <c r="BH312" s="5"/>
      <c r="BI312" s="85"/>
      <c r="BJ312" s="141"/>
      <c r="BK312" s="5"/>
      <c r="BL312" s="85"/>
    </row>
    <row r="313" spans="2:64" s="81" customFormat="1" x14ac:dyDescent="0.25">
      <c r="B313" s="1"/>
      <c r="C313" s="2"/>
      <c r="D313" s="2"/>
      <c r="E313" s="2"/>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1"/>
      <c r="BG313" s="1"/>
      <c r="BH313" s="5"/>
      <c r="BI313" s="85"/>
      <c r="BJ313" s="141"/>
      <c r="BK313" s="5"/>
      <c r="BL313" s="85"/>
    </row>
    <row r="314" spans="2:64" s="81" customFormat="1" x14ac:dyDescent="0.25">
      <c r="B314" s="1"/>
      <c r="C314" s="2"/>
      <c r="D314" s="2"/>
      <c r="E314" s="2"/>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1"/>
      <c r="BG314" s="1"/>
      <c r="BH314" s="5"/>
      <c r="BI314" s="85"/>
      <c r="BJ314" s="141"/>
      <c r="BK314" s="5"/>
      <c r="BL314" s="85"/>
    </row>
    <row r="315" spans="2:64" s="81" customFormat="1" x14ac:dyDescent="0.25">
      <c r="B315" s="1"/>
      <c r="C315" s="2"/>
      <c r="D315" s="2"/>
      <c r="E315" s="2"/>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1"/>
      <c r="BG315" s="1"/>
      <c r="BH315" s="5"/>
      <c r="BI315" s="85"/>
      <c r="BJ315" s="141"/>
      <c r="BK315" s="5"/>
      <c r="BL315" s="85"/>
    </row>
    <row r="316" spans="2:64" s="81" customFormat="1" x14ac:dyDescent="0.25">
      <c r="B316" s="1"/>
      <c r="C316" s="2"/>
      <c r="D316" s="2"/>
      <c r="E316" s="2"/>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1"/>
      <c r="BG316" s="1"/>
      <c r="BH316" s="5"/>
      <c r="BI316" s="85"/>
      <c r="BJ316" s="141"/>
      <c r="BK316" s="5"/>
      <c r="BL316" s="85"/>
    </row>
    <row r="317" spans="2:64" s="81" customFormat="1" x14ac:dyDescent="0.25">
      <c r="B317" s="1"/>
      <c r="C317" s="2"/>
      <c r="D317" s="2"/>
      <c r="E317" s="2"/>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1"/>
      <c r="BG317" s="1"/>
      <c r="BH317" s="5"/>
      <c r="BI317" s="85"/>
      <c r="BJ317" s="141"/>
      <c r="BK317" s="5"/>
      <c r="BL317" s="85"/>
    </row>
    <row r="318" spans="2:64" s="81" customFormat="1" x14ac:dyDescent="0.25">
      <c r="B318" s="1"/>
      <c r="C318" s="2"/>
      <c r="D318" s="2"/>
      <c r="E318" s="2"/>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1"/>
      <c r="BG318" s="1"/>
      <c r="BH318" s="5"/>
      <c r="BI318" s="85"/>
      <c r="BJ318" s="141"/>
      <c r="BK318" s="5"/>
      <c r="BL318" s="85"/>
    </row>
    <row r="319" spans="2:64" s="81" customFormat="1" x14ac:dyDescent="0.25">
      <c r="B319" s="1"/>
      <c r="C319" s="2"/>
      <c r="D319" s="2"/>
      <c r="E319" s="2"/>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1"/>
      <c r="BG319" s="1"/>
      <c r="BH319" s="5"/>
      <c r="BI319" s="85"/>
      <c r="BJ319" s="141"/>
      <c r="BK319" s="5"/>
      <c r="BL319" s="85"/>
    </row>
    <row r="320" spans="2:64" s="81" customFormat="1" x14ac:dyDescent="0.25">
      <c r="B320" s="1"/>
      <c r="C320" s="2"/>
      <c r="D320" s="2"/>
      <c r="E320" s="2"/>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1"/>
      <c r="BG320" s="1"/>
      <c r="BH320" s="5"/>
      <c r="BI320" s="85"/>
      <c r="BJ320" s="141"/>
      <c r="BK320" s="5"/>
      <c r="BL320" s="85"/>
    </row>
    <row r="321" spans="2:64" s="81" customFormat="1" x14ac:dyDescent="0.25">
      <c r="B321" s="1"/>
      <c r="C321" s="2"/>
      <c r="D321" s="2"/>
      <c r="E321" s="2"/>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1"/>
      <c r="BG321" s="1"/>
      <c r="BH321" s="5"/>
      <c r="BI321" s="85"/>
      <c r="BJ321" s="141"/>
      <c r="BK321" s="5"/>
      <c r="BL321" s="85"/>
    </row>
    <row r="322" spans="2:64" s="81" customFormat="1" x14ac:dyDescent="0.25">
      <c r="B322" s="1"/>
      <c r="C322" s="2"/>
      <c r="D322" s="2"/>
      <c r="E322" s="2"/>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1"/>
      <c r="BG322" s="1"/>
      <c r="BH322" s="5"/>
      <c r="BI322" s="85"/>
      <c r="BJ322" s="141"/>
      <c r="BK322" s="5"/>
      <c r="BL322" s="85"/>
    </row>
    <row r="323" spans="2:64" s="81" customFormat="1" x14ac:dyDescent="0.25">
      <c r="B323" s="1"/>
      <c r="C323" s="2"/>
      <c r="D323" s="2"/>
      <c r="E323" s="2"/>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1"/>
      <c r="BG323" s="1"/>
      <c r="BH323" s="5"/>
      <c r="BI323" s="85"/>
      <c r="BJ323" s="141"/>
      <c r="BK323" s="5"/>
      <c r="BL323" s="85"/>
    </row>
    <row r="324" spans="2:64" s="81" customFormat="1" x14ac:dyDescent="0.25">
      <c r="B324" s="1"/>
      <c r="C324" s="2"/>
      <c r="D324" s="2"/>
      <c r="E324" s="2"/>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1"/>
      <c r="BG324" s="1"/>
      <c r="BH324" s="5"/>
      <c r="BI324" s="85"/>
      <c r="BJ324" s="141"/>
      <c r="BK324" s="5"/>
      <c r="BL324" s="85"/>
    </row>
    <row r="325" spans="2:64" s="81" customFormat="1" x14ac:dyDescent="0.25">
      <c r="B325" s="1"/>
      <c r="C325" s="2"/>
      <c r="D325" s="2"/>
      <c r="E325" s="2"/>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1"/>
      <c r="BG325" s="1"/>
      <c r="BH325" s="5"/>
      <c r="BI325" s="85"/>
      <c r="BJ325" s="141"/>
      <c r="BK325" s="5"/>
      <c r="BL325" s="85"/>
    </row>
    <row r="326" spans="2:64" s="81" customFormat="1" x14ac:dyDescent="0.25">
      <c r="B326" s="1"/>
      <c r="C326" s="2"/>
      <c r="D326" s="2"/>
      <c r="E326" s="2"/>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1"/>
      <c r="BG326" s="1"/>
      <c r="BH326" s="5"/>
      <c r="BI326" s="85"/>
      <c r="BJ326" s="141"/>
      <c r="BK326" s="5"/>
      <c r="BL326" s="85"/>
    </row>
    <row r="327" spans="2:64" s="81" customFormat="1" x14ac:dyDescent="0.25">
      <c r="B327" s="1"/>
      <c r="C327" s="2"/>
      <c r="D327" s="2"/>
      <c r="E327" s="2"/>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1"/>
      <c r="BG327" s="1"/>
      <c r="BH327" s="5"/>
      <c r="BI327" s="85"/>
      <c r="BJ327" s="141"/>
      <c r="BK327" s="5"/>
      <c r="BL327" s="85"/>
    </row>
    <row r="328" spans="2:64" s="81" customFormat="1" x14ac:dyDescent="0.25">
      <c r="B328" s="1"/>
      <c r="C328" s="2"/>
      <c r="D328" s="2"/>
      <c r="E328" s="2"/>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1"/>
      <c r="BG328" s="1"/>
      <c r="BH328" s="5"/>
      <c r="BI328" s="85"/>
      <c r="BJ328" s="141"/>
      <c r="BK328" s="5"/>
      <c r="BL328" s="85"/>
    </row>
  </sheetData>
  <mergeCells count="31">
    <mergeCell ref="BL9:BL10"/>
    <mergeCell ref="N9:R9"/>
    <mergeCell ref="S9:V9"/>
    <mergeCell ref="AJ9:AM9"/>
    <mergeCell ref="AN9:AR9"/>
    <mergeCell ref="AS9:AV9"/>
    <mergeCell ref="AW9:AZ9"/>
    <mergeCell ref="BA9:BE9"/>
    <mergeCell ref="AA9:AE9"/>
    <mergeCell ref="AF9:AI9"/>
    <mergeCell ref="BK9:BK10"/>
    <mergeCell ref="BH9:BH10"/>
    <mergeCell ref="BI9:BI10"/>
    <mergeCell ref="BG9:BG10"/>
    <mergeCell ref="BH99:BI99"/>
    <mergeCell ref="BK99:BL99"/>
    <mergeCell ref="BF9:BF10"/>
    <mergeCell ref="B99:E99"/>
    <mergeCell ref="B96:E96"/>
    <mergeCell ref="E9:E10"/>
    <mergeCell ref="W12:Z12"/>
    <mergeCell ref="B3:B7"/>
    <mergeCell ref="C9:C10"/>
    <mergeCell ref="W9:Z9"/>
    <mergeCell ref="D9:D10"/>
    <mergeCell ref="F9:I9"/>
    <mergeCell ref="J9:M9"/>
    <mergeCell ref="F12:I12"/>
    <mergeCell ref="J12:M12"/>
    <mergeCell ref="N12:R12"/>
    <mergeCell ref="S12:V12"/>
  </mergeCells>
  <phoneticPr fontId="42" type="noConversion"/>
  <pageMargins left="0.7" right="0.7" top="0.75" bottom="0.75" header="0.3" footer="0.3"/>
  <pageSetup paperSize="8" scale="31"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205B81A890CA4BA4DA2DDEE9E31235" ma:contentTypeVersion="0" ma:contentTypeDescription="Create a new document." ma:contentTypeScope="" ma:versionID="435b79ef5e541e384a205a8df3707f0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DB7113-D23B-4E3D-92A3-0984ABB0F94D}">
  <ds:schemaRefs>
    <ds:schemaRef ds:uri="http://schemas.microsoft.com/office/2006/metadata/properties"/>
    <ds:schemaRef ds:uri="http://schemas.microsoft.com/office/infopath/2007/PartnerControls"/>
    <ds:schemaRef ds:uri="d4a910ee-2ea5-44c0-9fcc-8b46252a81c4"/>
  </ds:schemaRefs>
</ds:datastoreItem>
</file>

<file path=customXml/itemProps2.xml><?xml version="1.0" encoding="utf-8"?>
<ds:datastoreItem xmlns:ds="http://schemas.openxmlformats.org/officeDocument/2006/customXml" ds:itemID="{24818127-C8CF-45AD-94C4-E10E593FF7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397EF5F-9E80-4AC4-85DB-CE05AEB078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Boss Engineering</vt:lpstr>
      <vt:lpstr>'Boss Engineering'!Print_Area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Collett</dc:creator>
  <cp:keywords/>
  <dc:description/>
  <cp:lastModifiedBy>Brad Easton</cp:lastModifiedBy>
  <cp:revision/>
  <dcterms:created xsi:type="dcterms:W3CDTF">2021-05-19T00:43:37Z</dcterms:created>
  <dcterms:modified xsi:type="dcterms:W3CDTF">2025-05-06T23:20:05Z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0x01010041205B81A890CA4BA4DA2DDEE9E31235</vt:lpwstr>
  </property>
</Properties>
</file>