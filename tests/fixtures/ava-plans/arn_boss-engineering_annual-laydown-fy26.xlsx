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ales\Melb Indie Agency 2025\CLIENTS\A - G\Boss Engineering\Annual Laydown FY26\Schedule\"/>
    </mc:Choice>
  </mc:AlternateContent>
  <xr:revisionPtr revIDLastSave="0" documentId="13_ncr:1_{7A439190-6CE7-4C55-A932-311BD6F96923}" xr6:coauthVersionLast="47" xr6:coauthVersionMax="47" xr10:uidLastSave="{00000000-0000-0000-0000-000000000000}"/>
  <bookViews>
    <workbookView xWindow="-120" yWindow="-120" windowWidth="29040" windowHeight="15840" xr2:uid="{D281A597-BEB6-4D0A-AA51-A819A70EFE26}"/>
  </bookViews>
  <sheets>
    <sheet name="ARN Schedule" sheetId="9" r:id="rId1"/>
  </sheets>
  <definedNames>
    <definedName name="_xlnm.Print_Area" localSheetId="0">'ARN Schedule'!$A$1:$CY$79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9" l="1"/>
  <c r="J17" i="9" s="1"/>
  <c r="F35" i="9"/>
  <c r="J35" i="9" s="1"/>
  <c r="F34" i="9"/>
  <c r="J34" i="9" s="1"/>
  <c r="F33" i="9"/>
  <c r="J33" i="9" s="1"/>
  <c r="F32" i="9"/>
  <c r="J32" i="9" s="1"/>
  <c r="F20" i="9"/>
  <c r="J20" i="9" s="1"/>
  <c r="F19" i="9"/>
  <c r="J19" i="9" s="1"/>
  <c r="F18" i="9"/>
  <c r="J18" i="9" s="1"/>
  <c r="F61" i="9"/>
  <c r="J61" i="9" s="1"/>
  <c r="F60" i="9"/>
  <c r="J60" i="9" s="1"/>
  <c r="F59" i="9"/>
  <c r="J59" i="9" s="1"/>
  <c r="F58" i="9"/>
  <c r="J58" i="9" s="1"/>
  <c r="F50" i="9"/>
  <c r="J50" i="9" s="1"/>
  <c r="F49" i="9"/>
  <c r="J49" i="9" s="1"/>
  <c r="F48" i="9"/>
  <c r="J48" i="9" s="1"/>
  <c r="F47" i="9"/>
  <c r="J47" i="9" s="1"/>
  <c r="F45" i="9"/>
  <c r="J45" i="9" s="1"/>
  <c r="F44" i="9"/>
  <c r="J44" i="9" s="1"/>
  <c r="F43" i="9"/>
  <c r="J43" i="9" s="1"/>
  <c r="F42" i="9"/>
  <c r="J42" i="9" s="1"/>
  <c r="F40" i="9"/>
  <c r="J40" i="9" s="1"/>
  <c r="F39" i="9"/>
  <c r="J39" i="9" s="1"/>
  <c r="F38" i="9"/>
  <c r="J38" i="9" s="1"/>
  <c r="F37" i="9"/>
  <c r="F30" i="9"/>
  <c r="J30" i="9" s="1"/>
  <c r="F29" i="9"/>
  <c r="J29" i="9" s="1"/>
  <c r="F28" i="9"/>
  <c r="J28" i="9" s="1"/>
  <c r="F27" i="9"/>
  <c r="J27" i="9" s="1"/>
  <c r="F25" i="9"/>
  <c r="J25" i="9" s="1"/>
  <c r="F24" i="9"/>
  <c r="J24" i="9" s="1"/>
  <c r="F23" i="9"/>
  <c r="J23" i="9" s="1"/>
  <c r="F22" i="9"/>
  <c r="J22" i="9" s="1"/>
  <c r="F66" i="9"/>
  <c r="J66" i="9" s="1"/>
  <c r="F65" i="9"/>
  <c r="J65" i="9" s="1"/>
  <c r="F64" i="9"/>
  <c r="J64" i="9" s="1"/>
  <c r="F63" i="9"/>
  <c r="J63" i="9" s="1"/>
  <c r="F54" i="9"/>
  <c r="J54" i="9" s="1"/>
  <c r="F55" i="9"/>
  <c r="J55" i="9" s="1"/>
  <c r="F56" i="9"/>
  <c r="J56" i="9" s="1"/>
  <c r="F53" i="9"/>
  <c r="J53" i="9" s="1"/>
  <c r="J37" i="9" l="1"/>
  <c r="I37" i="9"/>
  <c r="I22" i="9"/>
  <c r="I19" i="9"/>
  <c r="I24" i="9"/>
  <c r="I17" i="9"/>
  <c r="I27" i="9"/>
  <c r="I29" i="9"/>
  <c r="I58" i="9"/>
  <c r="I60" i="9"/>
  <c r="I42" i="9"/>
  <c r="I44" i="9"/>
  <c r="I39" i="9"/>
  <c r="I63" i="9"/>
  <c r="I65" i="9"/>
  <c r="I53" i="9"/>
  <c r="I55" i="9"/>
  <c r="I47" i="9"/>
  <c r="I49" i="9"/>
  <c r="I32" i="9"/>
  <c r="I34" i="9"/>
  <c r="F68" i="9"/>
  <c r="F69" i="9" s="1"/>
  <c r="I67" i="9" l="1"/>
  <c r="I68" i="9" s="1"/>
  <c r="J67" i="9"/>
</calcChain>
</file>

<file path=xl/sharedStrings.xml><?xml version="1.0" encoding="utf-8"?>
<sst xmlns="http://schemas.openxmlformats.org/spreadsheetml/2006/main" count="183" uniqueCount="60">
  <si>
    <t>Client:</t>
  </si>
  <si>
    <t>Campaign:</t>
  </si>
  <si>
    <t>Date:</t>
  </si>
  <si>
    <t>MAY</t>
  </si>
  <si>
    <t>Jordy Bartlett</t>
  </si>
  <si>
    <t>TOTAL SPOTS:</t>
  </si>
  <si>
    <t>Schedule Total (excluding GST)</t>
  </si>
  <si>
    <t>30"</t>
  </si>
  <si>
    <t>COMMERCIALS</t>
  </si>
  <si>
    <t>TOTAL
VALUE</t>
  </si>
  <si>
    <t>TOTAL
COST</t>
  </si>
  <si>
    <t>SPOT
VALUE</t>
  </si>
  <si>
    <t>SPOT
RATE</t>
  </si>
  <si>
    <t>NUMBER OF SPOTS</t>
  </si>
  <si>
    <t>PLACEMENT</t>
  </si>
  <si>
    <t>SPOT LENGTH</t>
  </si>
  <si>
    <t>SCHEDULING DETAILS</t>
  </si>
  <si>
    <t>STATION</t>
  </si>
  <si>
    <t>Prepared by:</t>
  </si>
  <si>
    <t>Target audience:</t>
  </si>
  <si>
    <t>Timing:</t>
  </si>
  <si>
    <t>Share Option:</t>
  </si>
  <si>
    <t>Broadcast Brand Commercials</t>
  </si>
  <si>
    <t>Total Radio</t>
  </si>
  <si>
    <t>Broadcast Radio</t>
  </si>
  <si>
    <t>Live Radio Streaming</t>
  </si>
  <si>
    <t>TOTAL RADIO SPOTS:</t>
  </si>
  <si>
    <t>JUNE</t>
  </si>
  <si>
    <t>Mon - Sun 00:00 - 24:00</t>
  </si>
  <si>
    <r>
      <t xml:space="preserve">Brand Commercials - Bonus BTA </t>
    </r>
    <r>
      <rPr>
        <i/>
        <sz val="20"/>
        <rFont val="Tahoma"/>
        <family val="2"/>
      </rPr>
      <t>(non-gtd)</t>
    </r>
  </si>
  <si>
    <t>New South Whales</t>
  </si>
  <si>
    <t>BOSS Engineering</t>
  </si>
  <si>
    <t>Annual Laydown FY26</t>
  </si>
  <si>
    <t>July 2025 - June 2026</t>
  </si>
  <si>
    <t>M30-60</t>
  </si>
  <si>
    <t>South Australia</t>
  </si>
  <si>
    <t>Brand Commercials - BMAD</t>
  </si>
  <si>
    <t>Mon - Sun 06:00 - 19:00</t>
  </si>
  <si>
    <t>15"</t>
  </si>
  <si>
    <t>JULY</t>
  </si>
  <si>
    <t>AUG</t>
  </si>
  <si>
    <t>SEP</t>
  </si>
  <si>
    <t>OCT</t>
  </si>
  <si>
    <t>NOV</t>
  </si>
  <si>
    <t>DEC</t>
  </si>
  <si>
    <t>JAN</t>
  </si>
  <si>
    <t>FEB</t>
  </si>
  <si>
    <t>MARCH</t>
  </si>
  <si>
    <t>APRIL</t>
  </si>
  <si>
    <r>
      <t xml:space="preserve">Magic 89.9
</t>
    </r>
    <r>
      <rPr>
        <b/>
        <i/>
        <sz val="20"/>
        <rFont val="Tahoma"/>
        <family val="2"/>
      </rPr>
      <t>Port Lincoln</t>
    </r>
  </si>
  <si>
    <r>
      <t xml:space="preserve">GEM
</t>
    </r>
    <r>
      <rPr>
        <b/>
        <i/>
        <sz val="20"/>
        <rFont val="Tahoma"/>
        <family val="2"/>
      </rPr>
      <t>Inverell</t>
    </r>
  </si>
  <si>
    <r>
      <t xml:space="preserve">Now FM
</t>
    </r>
    <r>
      <rPr>
        <b/>
        <i/>
        <sz val="20"/>
        <rFont val="Tahoma"/>
        <family val="2"/>
      </rPr>
      <t>Moree</t>
    </r>
  </si>
  <si>
    <r>
      <t xml:space="preserve">Roccy FM
</t>
    </r>
    <r>
      <rPr>
        <b/>
        <i/>
        <sz val="20"/>
        <rFont val="Tahoma"/>
        <family val="2"/>
      </rPr>
      <t>Young</t>
    </r>
  </si>
  <si>
    <r>
      <t xml:space="preserve">Rok FM
</t>
    </r>
    <r>
      <rPr>
        <b/>
        <i/>
        <sz val="20"/>
        <rFont val="Tahoma"/>
        <family val="2"/>
      </rPr>
      <t>Parkes</t>
    </r>
  </si>
  <si>
    <r>
      <t xml:space="preserve">ZOO FM 
</t>
    </r>
    <r>
      <rPr>
        <b/>
        <i/>
        <sz val="20"/>
        <rFont val="Tahoma"/>
        <family val="2"/>
      </rPr>
      <t>Dubbo</t>
    </r>
  </si>
  <si>
    <r>
      <t xml:space="preserve">Magic 93.1
</t>
    </r>
    <r>
      <rPr>
        <b/>
        <i/>
        <sz val="20"/>
        <rFont val="Tahoma"/>
        <family val="2"/>
      </rPr>
      <t>Berri</t>
    </r>
  </si>
  <si>
    <r>
      <t xml:space="preserve">Magic 105.9
</t>
    </r>
    <r>
      <rPr>
        <b/>
        <i/>
        <sz val="20"/>
        <rFont val="Tahoma"/>
        <family val="2"/>
      </rPr>
      <t>Port Pirie</t>
    </r>
  </si>
  <si>
    <r>
      <t xml:space="preserve">FM 92.9
</t>
    </r>
    <r>
      <rPr>
        <b/>
        <i/>
        <sz val="20"/>
        <rFont val="Tahoma"/>
        <family val="2"/>
      </rPr>
      <t>Tamworth</t>
    </r>
  </si>
  <si>
    <r>
      <t xml:space="preserve">GGG FM
</t>
    </r>
    <r>
      <rPr>
        <b/>
        <i/>
        <sz val="20"/>
        <rFont val="Tahoma"/>
        <family val="2"/>
      </rPr>
      <t>Gunnedah</t>
    </r>
  </si>
  <si>
    <t>9.05.25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</si>
</sst>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2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20"/>
      <name val="Tahoma"/>
      <family val="2"/>
    </font>
    <font>
      <b/>
      <sz val="20"/>
      <name val="Tahoma"/>
      <family val="2"/>
    </font>
    <font>
      <sz val="10"/>
      <name val="Helv"/>
    </font>
    <font>
      <b/>
      <sz val="18"/>
      <name val="Tahoma"/>
      <family val="2"/>
      <scheme val="minor"/>
    </font>
    <font>
      <sz val="20"/>
      <name val="Tahoma"/>
      <family val="2"/>
    </font>
    <font>
      <b/>
      <sz val="20"/>
      <color theme="1"/>
      <name val="Tahoma"/>
      <family val="2"/>
    </font>
    <font>
      <sz val="20"/>
      <color theme="1"/>
      <name val="Tahoma"/>
      <family val="2"/>
    </font>
    <font>
      <b/>
      <sz val="20"/>
      <color theme="0"/>
      <name val="Tahoma"/>
      <family val="2"/>
    </font>
    <font>
      <sz val="20"/>
      <color theme="1"/>
      <name val="Tahoma"/>
      <family val="2"/>
    </font>
    <font>
      <b/>
      <sz val="20"/>
      <name val="Tahoma"/>
      <family val="2"/>
    </font>
    <font>
      <b/>
      <sz val="18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8"/>
      <color rgb="FF444444"/>
      <name val="Tahoma"/>
      <family val="2"/>
    </font>
    <font>
      <b/>
      <sz val="16"/>
      <name val="Tahoma"/>
      <family val="2"/>
    </font>
    <font>
      <b/>
      <sz val="20"/>
      <color theme="0"/>
      <name val="Tahoma"/>
      <family val="2"/>
    </font>
    <font>
      <i/>
      <sz val="20"/>
      <name val="Tahoma"/>
      <family val="2"/>
    </font>
    <font>
      <b/>
      <i/>
      <sz val="20"/>
      <name val="Tahoma"/>
      <family val="2"/>
    </font>
    <font>
      <sz val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00CC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121">
    <xf numFmtId="0" fontId="0" fillId="0" borderId="0" xfId="0"/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6" fillId="5" borderId="14" xfId="4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164" fontId="4" fillId="4" borderId="19" xfId="0" applyNumberFormat="1" applyFont="1" applyFill="1" applyBorder="1" applyAlignment="1">
      <alignment horizontal="center" vertical="center"/>
    </xf>
    <xf numFmtId="164" fontId="9" fillId="3" borderId="20" xfId="0" applyNumberFormat="1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164" fontId="4" fillId="6" borderId="3" xfId="0" applyNumberFormat="1" applyFont="1" applyFill="1" applyBorder="1" applyAlignment="1">
      <alignment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/>
    </xf>
    <xf numFmtId="0" fontId="12" fillId="4" borderId="5" xfId="0" applyFont="1" applyFill="1" applyBorder="1" applyAlignment="1">
      <alignment horizontal="center" vertical="center"/>
    </xf>
    <xf numFmtId="164" fontId="12" fillId="4" borderId="5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3" borderId="13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10" xfId="0" applyFont="1" applyFill="1" applyBorder="1" applyAlignment="1">
      <alignment vertical="center"/>
    </xf>
    <xf numFmtId="0" fontId="16" fillId="0" borderId="0" xfId="0" applyFont="1"/>
    <xf numFmtId="0" fontId="17" fillId="4" borderId="0" xfId="0" applyFont="1" applyFill="1" applyAlignment="1">
      <alignment vertical="center"/>
    </xf>
    <xf numFmtId="0" fontId="12" fillId="3" borderId="7" xfId="0" applyFont="1" applyFill="1" applyBorder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4" borderId="1" xfId="0" applyFont="1" applyFill="1" applyBorder="1" applyAlignment="1">
      <alignment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164" fontId="6" fillId="5" borderId="14" xfId="3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right" vertical="center"/>
    </xf>
    <xf numFmtId="14" fontId="4" fillId="3" borderId="12" xfId="0" applyNumberFormat="1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right" vertical="center"/>
    </xf>
    <xf numFmtId="0" fontId="9" fillId="2" borderId="1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4" fillId="3" borderId="11" xfId="0" applyNumberFormat="1" applyFont="1" applyFill="1" applyBorder="1" applyAlignment="1">
      <alignment horizontal="right" vertical="center"/>
    </xf>
    <xf numFmtId="0" fontId="10" fillId="9" borderId="2" xfId="0" applyFont="1" applyFill="1" applyBorder="1" applyAlignment="1">
      <alignment vertical="center"/>
    </xf>
    <xf numFmtId="0" fontId="10" fillId="9" borderId="3" xfId="0" applyFont="1" applyFill="1" applyBorder="1" applyAlignment="1">
      <alignment vertical="center"/>
    </xf>
    <xf numFmtId="164" fontId="10" fillId="9" borderId="3" xfId="0" applyNumberFormat="1" applyFont="1" applyFill="1" applyBorder="1" applyAlignment="1">
      <alignment vertical="center"/>
    </xf>
    <xf numFmtId="0" fontId="10" fillId="9" borderId="4" xfId="0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0" fontId="7" fillId="4" borderId="25" xfId="0" applyFont="1" applyFill="1" applyBorder="1" applyAlignment="1">
      <alignment horizontal="center" vertical="center"/>
    </xf>
    <xf numFmtId="164" fontId="9" fillId="3" borderId="17" xfId="0" applyNumberFormat="1" applyFont="1" applyFill="1" applyBorder="1" applyAlignment="1">
      <alignment horizontal="center" vertical="center"/>
    </xf>
    <xf numFmtId="164" fontId="12" fillId="4" borderId="25" xfId="0" applyNumberFormat="1" applyFont="1" applyFill="1" applyBorder="1" applyAlignment="1">
      <alignment horizontal="center" vertical="center"/>
    </xf>
    <xf numFmtId="164" fontId="11" fillId="3" borderId="6" xfId="0" applyNumberFormat="1" applyFont="1" applyFill="1" applyBorder="1" applyAlignment="1">
      <alignment horizontal="center" vertical="center"/>
    </xf>
    <xf numFmtId="164" fontId="9" fillId="3" borderId="21" xfId="0" applyNumberFormat="1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left" vertical="center"/>
    </xf>
    <xf numFmtId="164" fontId="4" fillId="2" borderId="19" xfId="0" applyNumberFormat="1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164" fontId="10" fillId="7" borderId="3" xfId="0" applyNumberFormat="1" applyFont="1" applyFill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164" fontId="4" fillId="2" borderId="29" xfId="0" applyNumberFormat="1" applyFont="1" applyFill="1" applyBorder="1" applyAlignment="1">
      <alignment horizontal="center" vertical="center"/>
    </xf>
    <xf numFmtId="164" fontId="9" fillId="3" borderId="30" xfId="0" applyNumberFormat="1" applyFont="1" applyFill="1" applyBorder="1" applyAlignment="1">
      <alignment horizontal="center" vertical="center"/>
    </xf>
    <xf numFmtId="164" fontId="4" fillId="4" borderId="29" xfId="0" applyNumberFormat="1" applyFont="1" applyFill="1" applyBorder="1" applyAlignment="1">
      <alignment horizontal="center" vertical="center"/>
    </xf>
    <xf numFmtId="164" fontId="9" fillId="3" borderId="31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164" fontId="11" fillId="3" borderId="25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>
      <alignment vertical="center"/>
    </xf>
    <xf numFmtId="0" fontId="12" fillId="3" borderId="1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/>
    </xf>
    <xf numFmtId="49" fontId="13" fillId="6" borderId="3" xfId="0" applyNumberFormat="1" applyFont="1" applyFill="1" applyBorder="1" applyAlignment="1">
      <alignment horizontal="center" vertical="center"/>
    </xf>
    <xf numFmtId="49" fontId="13" fillId="6" borderId="4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30DE3490-F5A5-4B2D-B035-DCAA558AA75B}"/>
    <cellStyle name="Normal 2 2" xfId="4" xr:uid="{03158316-873A-42BF-B404-7770358A6C65}"/>
    <cellStyle name="Normal 4" xfId="1" xr:uid="{DD9700D3-3777-4D49-B46E-E149D535A8E3}"/>
    <cellStyle name="Per cent" xfId="3" builtinId="5"/>
  </cellStyles>
  <dxfs count="0"/>
  <tableStyles count="0" defaultTableStyle="TableStyleMedium2" defaultPivotStyle="PivotStyleLight16"/>
  <colors>
    <mruColors>
      <color rgb="FF9966FF"/>
      <color rgb="FFCCCCFF"/>
      <color rgb="FFFF99FF"/>
      <color rgb="FF6600CC"/>
      <color rgb="FF9019D9"/>
      <color rgb="FF9933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68E86FCF-520A-46B8-B63A-3CD6DC6A14ED}"/>
            </a:ext>
            <a:ext uri="{147F2762-F138-4A5C-976F-8EAC2B608ADB}">
              <a16:predDERef xmlns:a16="http://schemas.microsoft.com/office/drawing/2014/main" pred="{592828F4-0BC6-4B50-A965-A846F796A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C5DF3154-4A26-4E26-A77A-00FD8322E7EF}"/>
            </a:ext>
            <a:ext uri="{147F2762-F138-4A5C-976F-8EAC2B608ADB}">
              <a16:predDERef xmlns:a16="http://schemas.microsoft.com/office/drawing/2014/main" pred="{3C77B648-D92D-4062-B613-7204FE737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6FB192-B33B-4D52-BD39-9D09CC3E413F}"/>
            </a:ext>
            <a:ext uri="{147F2762-F138-4A5C-976F-8EAC2B608ADB}">
              <a16:predDERef xmlns:a16="http://schemas.microsoft.com/office/drawing/2014/main" pred="{C8E046F5-1941-42D0-B5C3-9061E9C9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5" name="Picture 28">
          <a:extLst>
            <a:ext uri="{FF2B5EF4-FFF2-40B4-BE49-F238E27FC236}">
              <a16:creationId xmlns:a16="http://schemas.microsoft.com/office/drawing/2014/main" id="{C7AE01F3-623C-4881-8288-990C4E96E9FD}"/>
            </a:ext>
            <a:ext uri="{147F2762-F138-4A5C-976F-8EAC2B608ADB}">
              <a16:predDERef xmlns:a16="http://schemas.microsoft.com/office/drawing/2014/main" pred="{A5C38A3D-BA61-46FD-8403-838E2485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435831-0B00-4D16-AD7D-389A44678F28}"/>
            </a:ext>
            <a:ext uri="{147F2762-F138-4A5C-976F-8EAC2B608ADB}">
              <a16:predDERef xmlns:a16="http://schemas.microsoft.com/office/drawing/2014/main" pred="{6AFB7CEE-06D9-4C18-9F78-51A6BB232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7" name="Picture 28">
          <a:extLst>
            <a:ext uri="{FF2B5EF4-FFF2-40B4-BE49-F238E27FC236}">
              <a16:creationId xmlns:a16="http://schemas.microsoft.com/office/drawing/2014/main" id="{851FAAE2-4F81-419E-8410-E0F3EA3D02B3}"/>
            </a:ext>
            <a:ext uri="{147F2762-F138-4A5C-976F-8EAC2B608ADB}">
              <a16:predDERef xmlns:a16="http://schemas.microsoft.com/office/drawing/2014/main" pred="{60AE0B37-3D90-4CA7-A82A-6D9C551B4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8" name="Picture 28">
          <a:extLst>
            <a:ext uri="{FF2B5EF4-FFF2-40B4-BE49-F238E27FC236}">
              <a16:creationId xmlns:a16="http://schemas.microsoft.com/office/drawing/2014/main" id="{0B118221-91A2-41CF-9048-3A15B5E4AAD0}"/>
            </a:ext>
            <a:ext uri="{147F2762-F138-4A5C-976F-8EAC2B608ADB}">
              <a16:predDERef xmlns:a16="http://schemas.microsoft.com/office/drawing/2014/main" pred="{BE151DE2-556D-48D8-8022-4D19B398B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9" name="Picture 28">
          <a:extLst>
            <a:ext uri="{FF2B5EF4-FFF2-40B4-BE49-F238E27FC236}">
              <a16:creationId xmlns:a16="http://schemas.microsoft.com/office/drawing/2014/main" id="{99DFF1E7-63E8-457B-97D8-A4BADEC0E09E}"/>
            </a:ext>
            <a:ext uri="{147F2762-F138-4A5C-976F-8EAC2B608ADB}">
              <a16:predDERef xmlns:a16="http://schemas.microsoft.com/office/drawing/2014/main" pred="{5E4447E7-4066-4C31-A903-6996BAA9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0" name="Picture 28">
          <a:extLst>
            <a:ext uri="{FF2B5EF4-FFF2-40B4-BE49-F238E27FC236}">
              <a16:creationId xmlns:a16="http://schemas.microsoft.com/office/drawing/2014/main" id="{E14270E9-8BC3-40D8-A7D0-B538F82C35AA}"/>
            </a:ext>
            <a:ext uri="{147F2762-F138-4A5C-976F-8EAC2B608ADB}">
              <a16:predDERef xmlns:a16="http://schemas.microsoft.com/office/drawing/2014/main" pred="{5FB1A1A9-1629-46D1-AD2F-BA65A69A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1" name="Picture 28">
          <a:extLst>
            <a:ext uri="{FF2B5EF4-FFF2-40B4-BE49-F238E27FC236}">
              <a16:creationId xmlns:a16="http://schemas.microsoft.com/office/drawing/2014/main" id="{4059BB6F-A7BF-4B3A-8860-FEA445CB0AD8}"/>
            </a:ext>
            <a:ext uri="{147F2762-F138-4A5C-976F-8EAC2B608ADB}">
              <a16:predDERef xmlns:a16="http://schemas.microsoft.com/office/drawing/2014/main" pred="{4DE38A1A-F2AF-4140-AA30-D9F525D64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2" name="Picture 28">
          <a:extLst>
            <a:ext uri="{FF2B5EF4-FFF2-40B4-BE49-F238E27FC236}">
              <a16:creationId xmlns:a16="http://schemas.microsoft.com/office/drawing/2014/main" id="{D0659EB3-3FCE-46E1-86CE-A18591E03A0E}"/>
            </a:ext>
            <a:ext uri="{147F2762-F138-4A5C-976F-8EAC2B608ADB}">
              <a16:predDERef xmlns:a16="http://schemas.microsoft.com/office/drawing/2014/main" pred="{C792CB83-C1F3-4E91-9D8F-AD253C4FF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3" name="Picture 28">
          <a:extLst>
            <a:ext uri="{FF2B5EF4-FFF2-40B4-BE49-F238E27FC236}">
              <a16:creationId xmlns:a16="http://schemas.microsoft.com/office/drawing/2014/main" id="{BC5AEA3E-F7F4-4A0D-96CB-59A8E3F35DDD}"/>
            </a:ext>
            <a:ext uri="{147F2762-F138-4A5C-976F-8EAC2B608ADB}">
              <a16:predDERef xmlns:a16="http://schemas.microsoft.com/office/drawing/2014/main" pred="{49B9E30F-4FE4-47CF-B017-56B747163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4" name="Picture 28">
          <a:extLst>
            <a:ext uri="{FF2B5EF4-FFF2-40B4-BE49-F238E27FC236}">
              <a16:creationId xmlns:a16="http://schemas.microsoft.com/office/drawing/2014/main" id="{DE46F2AE-61E3-4659-929C-5554A19ACF17}"/>
            </a:ext>
            <a:ext uri="{147F2762-F138-4A5C-976F-8EAC2B608ADB}">
              <a16:predDERef xmlns:a16="http://schemas.microsoft.com/office/drawing/2014/main" pred="{F8DE22CC-232A-4FB6-9B23-C340484D1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5" name="Picture 28">
          <a:extLst>
            <a:ext uri="{FF2B5EF4-FFF2-40B4-BE49-F238E27FC236}">
              <a16:creationId xmlns:a16="http://schemas.microsoft.com/office/drawing/2014/main" id="{9ED1B465-AA65-4F0F-9D74-498B8BB6BB3E}"/>
            </a:ext>
            <a:ext uri="{147F2762-F138-4A5C-976F-8EAC2B608ADB}">
              <a16:predDERef xmlns:a16="http://schemas.microsoft.com/office/drawing/2014/main" pred="{569A44E5-88BF-480C-83AD-FFDF415D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6" name="Picture 28">
          <a:extLst>
            <a:ext uri="{FF2B5EF4-FFF2-40B4-BE49-F238E27FC236}">
              <a16:creationId xmlns:a16="http://schemas.microsoft.com/office/drawing/2014/main" id="{B1805841-061E-4441-B179-6FEB2225B046}"/>
            </a:ext>
            <a:ext uri="{147F2762-F138-4A5C-976F-8EAC2B608ADB}">
              <a16:predDERef xmlns:a16="http://schemas.microsoft.com/office/drawing/2014/main" pred="{525BC966-A9A3-4283-90B8-8E1EB515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7" name="Picture 28">
          <a:extLst>
            <a:ext uri="{FF2B5EF4-FFF2-40B4-BE49-F238E27FC236}">
              <a16:creationId xmlns:a16="http://schemas.microsoft.com/office/drawing/2014/main" id="{C3DDC76D-F1EC-4E6B-9678-808B12BEDC03}"/>
            </a:ext>
            <a:ext uri="{147F2762-F138-4A5C-976F-8EAC2B608ADB}">
              <a16:predDERef xmlns:a16="http://schemas.microsoft.com/office/drawing/2014/main" pred="{1CDDCFF0-8B1C-4BB9-AFD0-2F6A85D86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8" name="Picture 28">
          <a:extLst>
            <a:ext uri="{FF2B5EF4-FFF2-40B4-BE49-F238E27FC236}">
              <a16:creationId xmlns:a16="http://schemas.microsoft.com/office/drawing/2014/main" id="{32619EF7-45FD-4DAF-B098-61B9D464E51F}"/>
            </a:ext>
            <a:ext uri="{147F2762-F138-4A5C-976F-8EAC2B608ADB}">
              <a16:predDERef xmlns:a16="http://schemas.microsoft.com/office/drawing/2014/main" pred="{58EA5400-1B7A-4D7C-9852-C8812F1F6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19" name="Picture 28">
          <a:extLst>
            <a:ext uri="{FF2B5EF4-FFF2-40B4-BE49-F238E27FC236}">
              <a16:creationId xmlns:a16="http://schemas.microsoft.com/office/drawing/2014/main" id="{6C1327EB-1EDB-4283-8758-B11DD14A0F8E}"/>
            </a:ext>
            <a:ext uri="{147F2762-F138-4A5C-976F-8EAC2B608ADB}">
              <a16:predDERef xmlns:a16="http://schemas.microsoft.com/office/drawing/2014/main" pred="{60677FAF-A4D8-4A0D-801B-8395AE7C8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20" name="Picture 28">
          <a:extLst>
            <a:ext uri="{FF2B5EF4-FFF2-40B4-BE49-F238E27FC236}">
              <a16:creationId xmlns:a16="http://schemas.microsoft.com/office/drawing/2014/main" id="{FFC1053C-1D2D-4AED-B4FF-0168AA14397C}"/>
            </a:ext>
            <a:ext uri="{147F2762-F138-4A5C-976F-8EAC2B608ADB}">
              <a16:predDERef xmlns:a16="http://schemas.microsoft.com/office/drawing/2014/main" pred="{5217E31F-6E4B-4F0A-882C-B8826BCC2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1432560</xdr:colOff>
      <xdr:row>67</xdr:row>
      <xdr:rowOff>0</xdr:rowOff>
    </xdr:from>
    <xdr:to>
      <xdr:col>1</xdr:col>
      <xdr:colOff>1569720</xdr:colOff>
      <xdr:row>67</xdr:row>
      <xdr:rowOff>0</xdr:rowOff>
    </xdr:to>
    <xdr:pic>
      <xdr:nvPicPr>
        <xdr:cNvPr id="21" name="Picture 28">
          <a:extLst>
            <a:ext uri="{FF2B5EF4-FFF2-40B4-BE49-F238E27FC236}">
              <a16:creationId xmlns:a16="http://schemas.microsoft.com/office/drawing/2014/main" id="{3954849A-93C7-47F1-9369-73BE5801EBB6}"/>
            </a:ext>
            <a:ext uri="{147F2762-F138-4A5C-976F-8EAC2B608ADB}">
              <a16:predDERef xmlns:a16="http://schemas.microsoft.com/office/drawing/2014/main" pred="{8F75B627-CC27-403F-A3E9-511BFE8FA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960" y="18281650"/>
          <a:ext cx="14033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1333501</xdr:colOff>
      <xdr:row>6</xdr:row>
      <xdr:rowOff>129919</xdr:rowOff>
    </xdr:from>
    <xdr:to>
      <xdr:col>8</xdr:col>
      <xdr:colOff>1411901</xdr:colOff>
      <xdr:row>7</xdr:row>
      <xdr:rowOff>345017</xdr:rowOff>
    </xdr:to>
    <xdr:pic>
      <xdr:nvPicPr>
        <xdr:cNvPr id="22" name="Picture 25" descr="A purple and black logo&#10;&#10;Description automatically generated">
          <a:extLst>
            <a:ext uri="{FF2B5EF4-FFF2-40B4-BE49-F238E27FC236}">
              <a16:creationId xmlns:a16="http://schemas.microsoft.com/office/drawing/2014/main" id="{A09C3F38-0B97-4A60-B9AF-2DC1D8089D01}"/>
            </a:ext>
            <a:ext uri="{147F2762-F138-4A5C-976F-8EAC2B608ADB}">
              <a16:predDERef xmlns:a16="http://schemas.microsoft.com/office/drawing/2014/main" pred="{50B24FC3-F56E-4B51-80AE-9333EF220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14551" y="2777869"/>
          <a:ext cx="1710350" cy="67229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333372</xdr:colOff>
      <xdr:row>5</xdr:row>
      <xdr:rowOff>309563</xdr:rowOff>
    </xdr:from>
    <xdr:to>
      <xdr:col>11</xdr:col>
      <xdr:colOff>187321</xdr:colOff>
      <xdr:row>8</xdr:row>
      <xdr:rowOff>166688</xdr:rowOff>
    </xdr:to>
    <xdr:pic>
      <xdr:nvPicPr>
        <xdr:cNvPr id="23" name="Picture 22" descr="Boss Engineering | LinkedIn">
          <a:extLst>
            <a:ext uri="{FF2B5EF4-FFF2-40B4-BE49-F238E27FC236}">
              <a16:creationId xmlns:a16="http://schemas.microsoft.com/office/drawing/2014/main" id="{DC0CFBBA-E61C-8331-E806-D8D1CE23E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12" b="19512"/>
        <a:stretch/>
      </xdr:blipFill>
      <xdr:spPr bwMode="auto">
        <a:xfrm>
          <a:off x="29789435" y="2476501"/>
          <a:ext cx="1943099" cy="1214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DEFININGAUDIO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N New Custom">
      <a:majorFont>
        <a:latin typeface="Tahoma Bold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>
          <a:noFill/>
        </a:ln>
        <a:effectLst/>
      </a:spPr>
      <a:bodyPr rtlCol="0" anchor="ctr"/>
      <a:lstStyle>
        <a:defPPr algn="ctr">
          <a:defRPr/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>
        <a:ln w="9525">
          <a:solidFill>
            <a:schemeClr val="bg2"/>
          </a:solidFill>
        </a:ln>
        <a:effectLst/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DefiningAudioTheme'" id="{214576EA-2227-4BA8-A401-1B58CE45B744}" vid="{FBEDE38A-662A-4D29-B607-1F47FA3D5145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33FE-864D-42F3-8F20-D6D50B87F7E5}">
  <dimension ref="A1:BJ75"/>
  <sheetViews>
    <sheetView showGridLines="0" tabSelected="1" zoomScale="35" zoomScaleNormal="35" zoomScaleSheetLayoutView="30" workbookViewId="0">
      <selection activeCell="G2" sqref="G2:G8"/>
    </sheetView>
  </sheetViews>
  <sheetFormatPr defaultColWidth="5.75" defaultRowHeight="25.5" x14ac:dyDescent="0.2"/>
  <cols>
    <col min="1" max="1" width="13.625" style="1" customWidth="1"/>
    <col min="2" max="2" width="61.875" style="3" customWidth="1"/>
    <col min="3" max="3" width="116.75" style="3" bestFit="1" customWidth="1"/>
    <col min="4" max="4" width="43" style="2" bestFit="1" customWidth="1"/>
    <col min="5" max="5" width="55.75" style="2" bestFit="1" customWidth="1"/>
    <col min="6" max="6" width="26.25" style="3" customWidth="1"/>
    <col min="7" max="7" width="26.25" style="4" customWidth="1"/>
    <col min="8" max="8" width="21.375" style="3" customWidth="1"/>
    <col min="9" max="10" width="21.625" style="2" customWidth="1"/>
    <col min="11" max="62" width="5.875" style="1" customWidth="1"/>
    <col min="63" max="63" width="5.75" style="1"/>
    <col min="64" max="64" width="14.625" style="1" bestFit="1" customWidth="1"/>
    <col min="65" max="16384" width="5.75" style="1"/>
  </cols>
  <sheetData>
    <row r="1" spans="1:62" ht="28.5" customHeight="1" thickBot="1" x14ac:dyDescent="0.25">
      <c r="B1" s="1"/>
      <c r="C1" s="1"/>
      <c r="D1" s="1"/>
      <c r="E1" s="1"/>
      <c r="F1" s="1"/>
      <c r="G1" s="33"/>
      <c r="H1" s="1"/>
      <c r="I1" s="1"/>
      <c r="J1" s="1"/>
    </row>
    <row r="2" spans="1:62" ht="36.6" customHeight="1" thickBot="1" x14ac:dyDescent="0.25">
      <c r="B2" s="32" t="s">
        <v>0</v>
      </c>
      <c r="C2" s="43" t="s">
        <v>31</v>
      </c>
      <c r="D2" s="53" t="s">
        <v>23</v>
      </c>
      <c r="E2" s="25"/>
      <c r="F2" s="34"/>
      <c r="G2" s="111"/>
      <c r="H2" s="112"/>
      <c r="J2" s="31"/>
    </row>
    <row r="3" spans="1:62" ht="36.6" customHeight="1" thickBot="1" x14ac:dyDescent="0.2">
      <c r="B3" s="29" t="s">
        <v>1</v>
      </c>
      <c r="C3" s="41" t="s">
        <v>32</v>
      </c>
      <c r="D3" s="52" t="s">
        <v>24</v>
      </c>
      <c r="E3" s="25"/>
      <c r="F3" s="25"/>
      <c r="G3" s="111"/>
      <c r="H3" s="112"/>
      <c r="I3" s="1"/>
      <c r="J3" s="30"/>
    </row>
    <row r="4" spans="1:62" ht="36.6" customHeight="1" thickBot="1" x14ac:dyDescent="0.25">
      <c r="B4" s="29" t="s">
        <v>21</v>
      </c>
      <c r="C4" s="46">
        <v>0.5</v>
      </c>
      <c r="D4" s="51" t="s">
        <v>25</v>
      </c>
      <c r="E4" s="25"/>
      <c r="F4" s="25"/>
      <c r="G4" s="111"/>
      <c r="H4" s="112"/>
      <c r="I4" s="1"/>
      <c r="J4" s="24"/>
    </row>
    <row r="5" spans="1:62" ht="36.6" customHeight="1" x14ac:dyDescent="0.2">
      <c r="B5" s="29" t="s">
        <v>20</v>
      </c>
      <c r="C5" s="41" t="s">
        <v>33</v>
      </c>
      <c r="D5" s="45"/>
      <c r="E5" s="26"/>
      <c r="F5" s="35"/>
      <c r="G5" s="111"/>
      <c r="H5" s="112"/>
      <c r="I5" s="1"/>
      <c r="J5" s="24"/>
      <c r="L5"/>
    </row>
    <row r="6" spans="1:62" ht="36.6" customHeight="1" x14ac:dyDescent="0.2">
      <c r="B6" s="29" t="s">
        <v>19</v>
      </c>
      <c r="C6" s="41" t="s">
        <v>34</v>
      </c>
      <c r="D6" s="28"/>
      <c r="E6" s="25"/>
      <c r="F6" s="25"/>
      <c r="G6" s="111"/>
      <c r="H6" s="112"/>
      <c r="I6" s="1"/>
      <c r="J6" s="24"/>
    </row>
    <row r="7" spans="1:62" ht="36.6" customHeight="1" x14ac:dyDescent="0.2">
      <c r="B7" s="29" t="s">
        <v>18</v>
      </c>
      <c r="C7" s="38" t="s">
        <v>4</v>
      </c>
      <c r="D7" s="28"/>
      <c r="E7" s="25"/>
      <c r="F7" s="25"/>
      <c r="G7" s="111"/>
      <c r="H7" s="112"/>
      <c r="I7" s="1"/>
      <c r="J7" s="36"/>
    </row>
    <row r="8" spans="1:62" ht="36.6" customHeight="1" thickBot="1" x14ac:dyDescent="0.25">
      <c r="B8" s="27" t="s">
        <v>2</v>
      </c>
      <c r="C8" s="42" t="s">
        <v>59</v>
      </c>
      <c r="D8" s="26"/>
      <c r="E8" s="25"/>
      <c r="F8" s="25"/>
      <c r="G8" s="111"/>
      <c r="H8" s="112"/>
      <c r="I8" s="1"/>
      <c r="J8" s="36"/>
    </row>
    <row r="9" spans="1:62" ht="28.5" customHeight="1" thickBot="1" x14ac:dyDescent="0.25">
      <c r="B9" s="22"/>
      <c r="C9" s="22"/>
      <c r="D9" s="22"/>
      <c r="E9" s="22"/>
      <c r="F9" s="22"/>
      <c r="G9" s="23"/>
      <c r="H9" s="22"/>
      <c r="I9" s="21"/>
      <c r="J9" s="20"/>
    </row>
    <row r="10" spans="1:62" ht="31.5" customHeight="1" thickBot="1" x14ac:dyDescent="0.25">
      <c r="B10" s="113" t="s">
        <v>17</v>
      </c>
      <c r="C10" s="114" t="s">
        <v>16</v>
      </c>
      <c r="D10" s="92" t="s">
        <v>15</v>
      </c>
      <c r="E10" s="92" t="s">
        <v>14</v>
      </c>
      <c r="F10" s="92" t="s">
        <v>13</v>
      </c>
      <c r="G10" s="92" t="s">
        <v>12</v>
      </c>
      <c r="H10" s="118" t="s">
        <v>11</v>
      </c>
      <c r="I10" s="105" t="s">
        <v>10</v>
      </c>
      <c r="J10" s="108" t="s">
        <v>9</v>
      </c>
      <c r="K10" s="96">
        <v>2025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8"/>
      <c r="AK10" s="96">
        <v>2026</v>
      </c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8"/>
    </row>
    <row r="11" spans="1:62" ht="31.5" customHeight="1" thickBot="1" x14ac:dyDescent="0.25">
      <c r="B11" s="94"/>
      <c r="C11" s="115"/>
      <c r="D11" s="94"/>
      <c r="E11" s="94"/>
      <c r="F11" s="94"/>
      <c r="G11" s="93"/>
      <c r="H11" s="119"/>
      <c r="I11" s="106"/>
      <c r="J11" s="109"/>
      <c r="K11" s="102" t="s">
        <v>39</v>
      </c>
      <c r="L11" s="103"/>
      <c r="M11" s="103"/>
      <c r="N11" s="104"/>
      <c r="O11" s="102" t="s">
        <v>40</v>
      </c>
      <c r="P11" s="103"/>
      <c r="Q11" s="103"/>
      <c r="R11" s="104"/>
      <c r="S11" s="102" t="s">
        <v>41</v>
      </c>
      <c r="T11" s="103"/>
      <c r="U11" s="103"/>
      <c r="V11" s="103"/>
      <c r="W11" s="104"/>
      <c r="X11" s="102" t="s">
        <v>42</v>
      </c>
      <c r="Y11" s="103"/>
      <c r="Z11" s="103"/>
      <c r="AA11" s="104"/>
      <c r="AB11" s="102" t="s">
        <v>43</v>
      </c>
      <c r="AC11" s="103"/>
      <c r="AD11" s="103"/>
      <c r="AE11" s="104"/>
      <c r="AF11" s="102" t="s">
        <v>44</v>
      </c>
      <c r="AG11" s="103"/>
      <c r="AH11" s="103"/>
      <c r="AI11" s="103"/>
      <c r="AJ11" s="104"/>
      <c r="AK11" s="102" t="s">
        <v>45</v>
      </c>
      <c r="AL11" s="103"/>
      <c r="AM11" s="103"/>
      <c r="AN11" s="104"/>
      <c r="AO11" s="102" t="s">
        <v>46</v>
      </c>
      <c r="AP11" s="103"/>
      <c r="AQ11" s="103"/>
      <c r="AR11" s="104"/>
      <c r="AS11" s="102" t="s">
        <v>47</v>
      </c>
      <c r="AT11" s="103"/>
      <c r="AU11" s="103"/>
      <c r="AV11" s="103"/>
      <c r="AW11" s="104"/>
      <c r="AX11" s="102" t="s">
        <v>48</v>
      </c>
      <c r="AY11" s="103"/>
      <c r="AZ11" s="103"/>
      <c r="BA11" s="104"/>
      <c r="BB11" s="102" t="s">
        <v>3</v>
      </c>
      <c r="BC11" s="103"/>
      <c r="BD11" s="103"/>
      <c r="BE11" s="104"/>
      <c r="BF11" s="102" t="s">
        <v>27</v>
      </c>
      <c r="BG11" s="103"/>
      <c r="BH11" s="103"/>
      <c r="BI11" s="103"/>
      <c r="BJ11" s="104"/>
    </row>
    <row r="12" spans="1:62" ht="65.25" customHeight="1" thickBot="1" x14ac:dyDescent="0.25">
      <c r="B12" s="94"/>
      <c r="C12" s="115"/>
      <c r="D12" s="94"/>
      <c r="E12" s="94"/>
      <c r="F12" s="94"/>
      <c r="G12" s="93"/>
      <c r="H12" s="119"/>
      <c r="I12" s="106"/>
      <c r="J12" s="109"/>
      <c r="K12" s="87">
        <v>7</v>
      </c>
      <c r="L12" s="87">
        <v>14</v>
      </c>
      <c r="M12" s="87">
        <v>21</v>
      </c>
      <c r="N12" s="87">
        <v>28</v>
      </c>
      <c r="O12" s="66">
        <v>4</v>
      </c>
      <c r="P12" s="66">
        <v>11</v>
      </c>
      <c r="Q12" s="66">
        <v>18</v>
      </c>
      <c r="R12" s="66">
        <v>25</v>
      </c>
      <c r="S12" s="66">
        <v>1</v>
      </c>
      <c r="T12" s="66">
        <v>8</v>
      </c>
      <c r="U12" s="66">
        <v>15</v>
      </c>
      <c r="V12" s="66">
        <v>22</v>
      </c>
      <c r="W12" s="66">
        <v>29</v>
      </c>
      <c r="X12" s="87">
        <v>6</v>
      </c>
      <c r="Y12" s="87">
        <v>13</v>
      </c>
      <c r="Z12" s="87">
        <v>20</v>
      </c>
      <c r="AA12" s="87">
        <v>27</v>
      </c>
      <c r="AB12" s="87">
        <v>3</v>
      </c>
      <c r="AC12" s="87">
        <v>10</v>
      </c>
      <c r="AD12" s="87">
        <v>17</v>
      </c>
      <c r="AE12" s="87">
        <v>24</v>
      </c>
      <c r="AF12" s="66">
        <v>1</v>
      </c>
      <c r="AG12" s="66">
        <v>8</v>
      </c>
      <c r="AH12" s="66">
        <v>15</v>
      </c>
      <c r="AI12" s="66">
        <v>22</v>
      </c>
      <c r="AJ12" s="66">
        <v>29</v>
      </c>
      <c r="AK12" s="66">
        <v>5</v>
      </c>
      <c r="AL12" s="66">
        <v>12</v>
      </c>
      <c r="AM12" s="66">
        <v>19</v>
      </c>
      <c r="AN12" s="66">
        <v>26</v>
      </c>
      <c r="AO12" s="87">
        <v>2</v>
      </c>
      <c r="AP12" s="87">
        <v>9</v>
      </c>
      <c r="AQ12" s="87">
        <v>16</v>
      </c>
      <c r="AR12" s="87">
        <v>23</v>
      </c>
      <c r="AS12" s="66">
        <v>2</v>
      </c>
      <c r="AT12" s="66">
        <v>9</v>
      </c>
      <c r="AU12" s="66">
        <v>16</v>
      </c>
      <c r="AV12" s="66">
        <v>23</v>
      </c>
      <c r="AW12" s="66">
        <v>30</v>
      </c>
      <c r="AX12" s="66">
        <v>6</v>
      </c>
      <c r="AY12" s="66">
        <v>13</v>
      </c>
      <c r="AZ12" s="66">
        <v>20</v>
      </c>
      <c r="BA12" s="66">
        <v>27</v>
      </c>
      <c r="BB12" s="87">
        <v>4</v>
      </c>
      <c r="BC12" s="87">
        <v>11</v>
      </c>
      <c r="BD12" s="87">
        <v>18</v>
      </c>
      <c r="BE12" s="87">
        <v>25</v>
      </c>
      <c r="BF12" s="87">
        <v>1</v>
      </c>
      <c r="BG12" s="87">
        <v>8</v>
      </c>
      <c r="BH12" s="87">
        <v>15</v>
      </c>
      <c r="BI12" s="87">
        <v>22</v>
      </c>
      <c r="BJ12" s="87">
        <v>29</v>
      </c>
    </row>
    <row r="13" spans="1:62" ht="31.5" customHeight="1" thickBot="1" x14ac:dyDescent="0.25">
      <c r="B13" s="95"/>
      <c r="C13" s="116"/>
      <c r="D13" s="95"/>
      <c r="E13" s="95"/>
      <c r="F13" s="95"/>
      <c r="G13" s="117"/>
      <c r="H13" s="120"/>
      <c r="I13" s="107"/>
      <c r="J13" s="110"/>
      <c r="K13" s="99"/>
      <c r="L13" s="100"/>
      <c r="M13" s="100"/>
      <c r="N13" s="101"/>
      <c r="O13" s="99"/>
      <c r="P13" s="100"/>
      <c r="Q13" s="100"/>
      <c r="R13" s="101"/>
      <c r="S13" s="99"/>
      <c r="T13" s="100"/>
      <c r="U13" s="100"/>
      <c r="V13" s="100"/>
      <c r="W13" s="101"/>
      <c r="X13" s="99"/>
      <c r="Y13" s="100"/>
      <c r="Z13" s="100"/>
      <c r="AA13" s="101"/>
      <c r="AB13" s="99"/>
      <c r="AC13" s="100"/>
      <c r="AD13" s="100"/>
      <c r="AE13" s="101"/>
      <c r="AF13" s="99"/>
      <c r="AG13" s="100"/>
      <c r="AH13" s="100"/>
      <c r="AI13" s="100"/>
      <c r="AJ13" s="101"/>
      <c r="AK13" s="99"/>
      <c r="AL13" s="100"/>
      <c r="AM13" s="100"/>
      <c r="AN13" s="101"/>
      <c r="AO13" s="99"/>
      <c r="AP13" s="100"/>
      <c r="AQ13" s="100"/>
      <c r="AR13" s="101"/>
      <c r="AS13" s="99"/>
      <c r="AT13" s="100"/>
      <c r="AU13" s="100"/>
      <c r="AV13" s="100"/>
      <c r="AW13" s="101"/>
      <c r="AX13" s="99"/>
      <c r="AY13" s="100"/>
      <c r="AZ13" s="100"/>
      <c r="BA13" s="101"/>
      <c r="BB13" s="99"/>
      <c r="BC13" s="100"/>
      <c r="BD13" s="100"/>
      <c r="BE13" s="101"/>
      <c r="BF13" s="99"/>
      <c r="BG13" s="100"/>
      <c r="BH13" s="100"/>
      <c r="BI13" s="100"/>
      <c r="BJ13" s="101"/>
    </row>
    <row r="14" spans="1:62" ht="31.5" customHeight="1" thickBot="1" x14ac:dyDescent="0.25">
      <c r="B14" s="47" t="s">
        <v>8</v>
      </c>
      <c r="C14" s="48"/>
      <c r="D14" s="48"/>
      <c r="E14" s="48"/>
      <c r="F14" s="48"/>
      <c r="G14" s="49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50"/>
    </row>
    <row r="15" spans="1:62" ht="31.5" customHeight="1" thickBot="1" x14ac:dyDescent="0.25">
      <c r="B15" s="39" t="s">
        <v>30</v>
      </c>
      <c r="C15" s="11"/>
      <c r="D15" s="11"/>
      <c r="E15" s="11"/>
      <c r="F15" s="11"/>
      <c r="G15" s="16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56"/>
    </row>
    <row r="16" spans="1:62" ht="31.5" customHeight="1" thickBot="1" x14ac:dyDescent="0.25">
      <c r="A16" s="25"/>
      <c r="B16" s="88" t="s">
        <v>58</v>
      </c>
      <c r="C16" s="67" t="s">
        <v>22</v>
      </c>
      <c r="D16" s="67"/>
      <c r="E16" s="67"/>
      <c r="F16" s="67"/>
      <c r="G16" s="68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9"/>
    </row>
    <row r="17" spans="1:62" ht="31.5" customHeight="1" x14ac:dyDescent="0.2">
      <c r="A17" s="25"/>
      <c r="B17" s="89"/>
      <c r="C17" s="63" t="s">
        <v>36</v>
      </c>
      <c r="D17" s="15" t="s">
        <v>38</v>
      </c>
      <c r="E17" s="55" t="s">
        <v>37</v>
      </c>
      <c r="F17" s="14">
        <f>SUM(K17:BJ17)</f>
        <v>108</v>
      </c>
      <c r="G17" s="64">
        <v>45</v>
      </c>
      <c r="H17" s="13">
        <v>53</v>
      </c>
      <c r="I17" s="12">
        <f>F17*G17</f>
        <v>4860</v>
      </c>
      <c r="J17" s="61">
        <f t="shared" ref="J17:J20" si="0">H17*F17</f>
        <v>5724</v>
      </c>
      <c r="K17" s="19">
        <v>8</v>
      </c>
      <c r="L17" s="18"/>
      <c r="M17" s="18">
        <v>10</v>
      </c>
      <c r="N17" s="17"/>
      <c r="O17" s="62"/>
      <c r="P17" s="18"/>
      <c r="Q17" s="18"/>
      <c r="R17" s="17"/>
      <c r="S17" s="62"/>
      <c r="T17" s="18"/>
      <c r="U17" s="18"/>
      <c r="V17" s="18"/>
      <c r="W17" s="17"/>
      <c r="X17" s="19">
        <v>8</v>
      </c>
      <c r="Y17" s="18"/>
      <c r="Z17" s="18">
        <v>10</v>
      </c>
      <c r="AA17" s="17"/>
      <c r="AB17" s="19">
        <v>8</v>
      </c>
      <c r="AC17" s="18"/>
      <c r="AD17" s="18">
        <v>10</v>
      </c>
      <c r="AE17" s="17"/>
      <c r="AF17" s="62"/>
      <c r="AG17" s="18"/>
      <c r="AH17" s="18"/>
      <c r="AI17" s="18"/>
      <c r="AJ17" s="17"/>
      <c r="AK17" s="62"/>
      <c r="AL17" s="18"/>
      <c r="AM17" s="18"/>
      <c r="AN17" s="17"/>
      <c r="AO17" s="19">
        <v>8</v>
      </c>
      <c r="AP17" s="18"/>
      <c r="AQ17" s="18">
        <v>10</v>
      </c>
      <c r="AR17" s="17"/>
      <c r="AS17" s="62"/>
      <c r="AT17" s="18"/>
      <c r="AU17" s="18"/>
      <c r="AV17" s="18"/>
      <c r="AW17" s="17"/>
      <c r="AX17" s="62"/>
      <c r="AY17" s="18"/>
      <c r="AZ17" s="18"/>
      <c r="BA17" s="17"/>
      <c r="BB17" s="19">
        <v>8</v>
      </c>
      <c r="BC17" s="18"/>
      <c r="BD17" s="18">
        <v>10</v>
      </c>
      <c r="BE17" s="17"/>
      <c r="BF17" s="19">
        <v>8</v>
      </c>
      <c r="BG17" s="18"/>
      <c r="BH17" s="18">
        <v>10</v>
      </c>
      <c r="BI17" s="18"/>
      <c r="BJ17" s="17"/>
    </row>
    <row r="18" spans="1:62" ht="31.5" customHeight="1" x14ac:dyDescent="0.2">
      <c r="A18" s="25"/>
      <c r="B18" s="89"/>
      <c r="C18" s="80" t="s">
        <v>29</v>
      </c>
      <c r="D18" s="81" t="s">
        <v>38</v>
      </c>
      <c r="E18" s="82" t="s">
        <v>28</v>
      </c>
      <c r="F18" s="57">
        <f t="shared" ref="F18:F19" si="1">SUM(K18:BJ18)</f>
        <v>11</v>
      </c>
      <c r="G18" s="65"/>
      <c r="H18" s="58">
        <v>51</v>
      </c>
      <c r="I18" s="59"/>
      <c r="J18" s="83">
        <f t="shared" si="0"/>
        <v>561</v>
      </c>
      <c r="K18" s="19">
        <v>2</v>
      </c>
      <c r="L18" s="18"/>
      <c r="M18" s="18">
        <v>1</v>
      </c>
      <c r="N18" s="17"/>
      <c r="O18" s="62"/>
      <c r="P18" s="18"/>
      <c r="Q18" s="18"/>
      <c r="R18" s="17"/>
      <c r="S18" s="62"/>
      <c r="T18" s="18"/>
      <c r="U18" s="18"/>
      <c r="V18" s="18"/>
      <c r="W18" s="17"/>
      <c r="X18" s="19">
        <v>1</v>
      </c>
      <c r="Y18" s="18"/>
      <c r="Z18" s="18"/>
      <c r="AA18" s="17"/>
      <c r="AB18" s="19">
        <v>1</v>
      </c>
      <c r="AC18" s="18"/>
      <c r="AD18" s="18"/>
      <c r="AE18" s="17"/>
      <c r="AF18" s="62"/>
      <c r="AG18" s="18"/>
      <c r="AH18" s="18"/>
      <c r="AI18" s="18"/>
      <c r="AJ18" s="17"/>
      <c r="AK18" s="62"/>
      <c r="AL18" s="18"/>
      <c r="AM18" s="18"/>
      <c r="AN18" s="17"/>
      <c r="AO18" s="19">
        <v>1</v>
      </c>
      <c r="AP18" s="18"/>
      <c r="AQ18" s="18">
        <v>1</v>
      </c>
      <c r="AR18" s="17"/>
      <c r="AS18" s="62"/>
      <c r="AT18" s="18"/>
      <c r="AU18" s="18"/>
      <c r="AV18" s="18"/>
      <c r="AW18" s="17"/>
      <c r="AX18" s="62"/>
      <c r="AY18" s="18"/>
      <c r="AZ18" s="18"/>
      <c r="BA18" s="17"/>
      <c r="BB18" s="19">
        <v>1</v>
      </c>
      <c r="BC18" s="18"/>
      <c r="BD18" s="18">
        <v>1</v>
      </c>
      <c r="BE18" s="17"/>
      <c r="BF18" s="19">
        <v>1</v>
      </c>
      <c r="BG18" s="18"/>
      <c r="BH18" s="18">
        <v>1</v>
      </c>
      <c r="BI18" s="18"/>
      <c r="BJ18" s="17"/>
    </row>
    <row r="19" spans="1:62" ht="31.5" customHeight="1" x14ac:dyDescent="0.2">
      <c r="A19" s="25"/>
      <c r="B19" s="90"/>
      <c r="C19" s="72" t="s">
        <v>36</v>
      </c>
      <c r="D19" s="73" t="s">
        <v>7</v>
      </c>
      <c r="E19" s="74" t="s">
        <v>37</v>
      </c>
      <c r="F19" s="57">
        <f t="shared" si="1"/>
        <v>18</v>
      </c>
      <c r="G19" s="76">
        <v>60</v>
      </c>
      <c r="H19" s="77">
        <v>71</v>
      </c>
      <c r="I19" s="78">
        <f>F19*G19</f>
        <v>1080</v>
      </c>
      <c r="J19" s="79">
        <f t="shared" si="0"/>
        <v>1278</v>
      </c>
      <c r="K19" s="19">
        <v>3</v>
      </c>
      <c r="L19" s="18"/>
      <c r="M19" s="18"/>
      <c r="N19" s="17"/>
      <c r="O19" s="62"/>
      <c r="P19" s="18"/>
      <c r="Q19" s="18"/>
      <c r="R19" s="17"/>
      <c r="S19" s="62"/>
      <c r="T19" s="18"/>
      <c r="U19" s="18"/>
      <c r="V19" s="18"/>
      <c r="W19" s="17"/>
      <c r="X19" s="19">
        <v>3</v>
      </c>
      <c r="Y19" s="18"/>
      <c r="Z19" s="18"/>
      <c r="AA19" s="17"/>
      <c r="AB19" s="19">
        <v>3</v>
      </c>
      <c r="AC19" s="18"/>
      <c r="AD19" s="18"/>
      <c r="AE19" s="17"/>
      <c r="AF19" s="62"/>
      <c r="AG19" s="18"/>
      <c r="AH19" s="18"/>
      <c r="AI19" s="18"/>
      <c r="AJ19" s="17"/>
      <c r="AK19" s="62"/>
      <c r="AL19" s="18"/>
      <c r="AM19" s="18"/>
      <c r="AN19" s="17"/>
      <c r="AO19" s="19">
        <v>3</v>
      </c>
      <c r="AP19" s="18"/>
      <c r="AQ19" s="18"/>
      <c r="AR19" s="17"/>
      <c r="AS19" s="62"/>
      <c r="AT19" s="18"/>
      <c r="AU19" s="18"/>
      <c r="AV19" s="18"/>
      <c r="AW19" s="17"/>
      <c r="AX19" s="62"/>
      <c r="AY19" s="18"/>
      <c r="AZ19" s="18"/>
      <c r="BA19" s="17"/>
      <c r="BB19" s="19">
        <v>3</v>
      </c>
      <c r="BC19" s="18"/>
      <c r="BD19" s="18"/>
      <c r="BE19" s="17"/>
      <c r="BF19" s="19">
        <v>3</v>
      </c>
      <c r="BG19" s="18"/>
      <c r="BH19" s="18"/>
      <c r="BI19" s="18"/>
      <c r="BJ19" s="17"/>
    </row>
    <row r="20" spans="1:62" ht="31.5" customHeight="1" thickBot="1" x14ac:dyDescent="0.25">
      <c r="A20" s="25"/>
      <c r="B20" s="91"/>
      <c r="C20" s="3" t="s">
        <v>29</v>
      </c>
      <c r="D20" s="44" t="s">
        <v>7</v>
      </c>
      <c r="E20" s="54" t="s">
        <v>28</v>
      </c>
      <c r="F20" s="75">
        <f>SUM(K20:BJ20)</f>
        <v>2</v>
      </c>
      <c r="G20" s="65"/>
      <c r="H20" s="58">
        <v>68</v>
      </c>
      <c r="I20" s="59"/>
      <c r="J20" s="60">
        <f t="shared" si="0"/>
        <v>136</v>
      </c>
      <c r="K20" s="19">
        <v>1</v>
      </c>
      <c r="L20" s="18"/>
      <c r="M20" s="18"/>
      <c r="N20" s="17"/>
      <c r="O20" s="62"/>
      <c r="P20" s="18"/>
      <c r="Q20" s="18"/>
      <c r="R20" s="17"/>
      <c r="S20" s="62"/>
      <c r="T20" s="18"/>
      <c r="U20" s="18"/>
      <c r="V20" s="18"/>
      <c r="W20" s="17"/>
      <c r="X20" s="19"/>
      <c r="Y20" s="18"/>
      <c r="Z20" s="18"/>
      <c r="AA20" s="17"/>
      <c r="AB20" s="19"/>
      <c r="AC20" s="18"/>
      <c r="AD20" s="18"/>
      <c r="AE20" s="17"/>
      <c r="AF20" s="62"/>
      <c r="AG20" s="18"/>
      <c r="AH20" s="18"/>
      <c r="AI20" s="18"/>
      <c r="AJ20" s="17"/>
      <c r="AK20" s="62"/>
      <c r="AL20" s="18"/>
      <c r="AM20" s="18"/>
      <c r="AN20" s="17"/>
      <c r="AO20" s="19">
        <v>1</v>
      </c>
      <c r="AP20" s="18"/>
      <c r="AQ20" s="18"/>
      <c r="AR20" s="17"/>
      <c r="AS20" s="62"/>
      <c r="AT20" s="18"/>
      <c r="AU20" s="18"/>
      <c r="AV20" s="18"/>
      <c r="AW20" s="17"/>
      <c r="AX20" s="62"/>
      <c r="AY20" s="18"/>
      <c r="AZ20" s="18"/>
      <c r="BA20" s="17"/>
      <c r="BB20" s="19"/>
      <c r="BC20" s="18"/>
      <c r="BD20" s="18"/>
      <c r="BE20" s="17"/>
      <c r="BF20" s="19"/>
      <c r="BG20" s="18"/>
      <c r="BH20" s="18"/>
      <c r="BI20" s="18"/>
      <c r="BJ20" s="17"/>
    </row>
    <row r="21" spans="1:62" ht="31.5" customHeight="1" thickBot="1" x14ac:dyDescent="0.25">
      <c r="A21" s="25"/>
      <c r="B21" s="92" t="s">
        <v>50</v>
      </c>
      <c r="C21" s="67" t="s">
        <v>22</v>
      </c>
      <c r="D21" s="67"/>
      <c r="E21" s="67"/>
      <c r="F21" s="67"/>
      <c r="G21" s="68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9"/>
    </row>
    <row r="22" spans="1:62" ht="31.5" customHeight="1" x14ac:dyDescent="0.2">
      <c r="A22" s="25"/>
      <c r="B22" s="93"/>
      <c r="C22" s="63" t="s">
        <v>36</v>
      </c>
      <c r="D22" s="15" t="s">
        <v>38</v>
      </c>
      <c r="E22" s="55" t="s">
        <v>37</v>
      </c>
      <c r="F22" s="14">
        <f>SUM(K22:BJ22)</f>
        <v>108</v>
      </c>
      <c r="G22" s="64">
        <v>42</v>
      </c>
      <c r="H22" s="13">
        <v>53</v>
      </c>
      <c r="I22" s="12">
        <f>F22*G22</f>
        <v>4536</v>
      </c>
      <c r="J22" s="61">
        <f t="shared" ref="J22:J25" si="2">H22*F22</f>
        <v>5724</v>
      </c>
      <c r="K22" s="19">
        <v>8</v>
      </c>
      <c r="L22" s="18"/>
      <c r="M22" s="18">
        <v>10</v>
      </c>
      <c r="N22" s="17"/>
      <c r="O22" s="62"/>
      <c r="P22" s="18"/>
      <c r="Q22" s="18"/>
      <c r="R22" s="17"/>
      <c r="S22" s="62"/>
      <c r="T22" s="18"/>
      <c r="U22" s="18"/>
      <c r="V22" s="18"/>
      <c r="W22" s="17"/>
      <c r="X22" s="19">
        <v>8</v>
      </c>
      <c r="Y22" s="18"/>
      <c r="Z22" s="18">
        <v>10</v>
      </c>
      <c r="AA22" s="17"/>
      <c r="AB22" s="19">
        <v>8</v>
      </c>
      <c r="AC22" s="18"/>
      <c r="AD22" s="18">
        <v>10</v>
      </c>
      <c r="AE22" s="17"/>
      <c r="AF22" s="62"/>
      <c r="AG22" s="18"/>
      <c r="AH22" s="18"/>
      <c r="AI22" s="18"/>
      <c r="AJ22" s="17"/>
      <c r="AK22" s="62"/>
      <c r="AL22" s="18"/>
      <c r="AM22" s="18"/>
      <c r="AN22" s="17"/>
      <c r="AO22" s="19">
        <v>8</v>
      </c>
      <c r="AP22" s="18"/>
      <c r="AQ22" s="18">
        <v>10</v>
      </c>
      <c r="AR22" s="17"/>
      <c r="AS22" s="62"/>
      <c r="AT22" s="18"/>
      <c r="AU22" s="18"/>
      <c r="AV22" s="18"/>
      <c r="AW22" s="17"/>
      <c r="AX22" s="62"/>
      <c r="AY22" s="18"/>
      <c r="AZ22" s="18"/>
      <c r="BA22" s="17"/>
      <c r="BB22" s="19">
        <v>8</v>
      </c>
      <c r="BC22" s="18"/>
      <c r="BD22" s="18">
        <v>10</v>
      </c>
      <c r="BE22" s="17"/>
      <c r="BF22" s="19">
        <v>8</v>
      </c>
      <c r="BG22" s="18"/>
      <c r="BH22" s="18">
        <v>10</v>
      </c>
      <c r="BI22" s="18"/>
      <c r="BJ22" s="17"/>
    </row>
    <row r="23" spans="1:62" ht="31.5" customHeight="1" x14ac:dyDescent="0.2">
      <c r="A23" s="25"/>
      <c r="B23" s="93"/>
      <c r="C23" s="80" t="s">
        <v>29</v>
      </c>
      <c r="D23" s="81" t="s">
        <v>38</v>
      </c>
      <c r="E23" s="82" t="s">
        <v>28</v>
      </c>
      <c r="F23" s="57">
        <f t="shared" ref="F23:F24" si="3">SUM(K23:BJ23)</f>
        <v>11</v>
      </c>
      <c r="G23" s="65"/>
      <c r="H23" s="58">
        <v>51</v>
      </c>
      <c r="I23" s="59"/>
      <c r="J23" s="83">
        <f t="shared" si="2"/>
        <v>561</v>
      </c>
      <c r="K23" s="19">
        <v>2</v>
      </c>
      <c r="L23" s="18"/>
      <c r="M23" s="18">
        <v>1</v>
      </c>
      <c r="N23" s="17"/>
      <c r="O23" s="62"/>
      <c r="P23" s="18"/>
      <c r="Q23" s="18"/>
      <c r="R23" s="17"/>
      <c r="S23" s="62"/>
      <c r="T23" s="18"/>
      <c r="U23" s="18"/>
      <c r="V23" s="18"/>
      <c r="W23" s="17"/>
      <c r="X23" s="19">
        <v>1</v>
      </c>
      <c r="Y23" s="18"/>
      <c r="Z23" s="18"/>
      <c r="AA23" s="17"/>
      <c r="AB23" s="19">
        <v>1</v>
      </c>
      <c r="AC23" s="18"/>
      <c r="AD23" s="18"/>
      <c r="AE23" s="17"/>
      <c r="AF23" s="62"/>
      <c r="AG23" s="18"/>
      <c r="AH23" s="18"/>
      <c r="AI23" s="18"/>
      <c r="AJ23" s="17"/>
      <c r="AK23" s="62"/>
      <c r="AL23" s="18"/>
      <c r="AM23" s="18"/>
      <c r="AN23" s="17"/>
      <c r="AO23" s="19">
        <v>1</v>
      </c>
      <c r="AP23" s="18"/>
      <c r="AQ23" s="18">
        <v>1</v>
      </c>
      <c r="AR23" s="17"/>
      <c r="AS23" s="62"/>
      <c r="AT23" s="18"/>
      <c r="AU23" s="18"/>
      <c r="AV23" s="18"/>
      <c r="AW23" s="17"/>
      <c r="AX23" s="62"/>
      <c r="AY23" s="18"/>
      <c r="AZ23" s="18"/>
      <c r="BA23" s="17"/>
      <c r="BB23" s="19">
        <v>1</v>
      </c>
      <c r="BC23" s="18"/>
      <c r="BD23" s="18">
        <v>1</v>
      </c>
      <c r="BE23" s="17"/>
      <c r="BF23" s="19">
        <v>1</v>
      </c>
      <c r="BG23" s="18"/>
      <c r="BH23" s="18">
        <v>1</v>
      </c>
      <c r="BI23" s="18"/>
      <c r="BJ23" s="17"/>
    </row>
    <row r="24" spans="1:62" ht="31.5" customHeight="1" x14ac:dyDescent="0.2">
      <c r="A24" s="25"/>
      <c r="B24" s="94"/>
      <c r="C24" s="72" t="s">
        <v>36</v>
      </c>
      <c r="D24" s="73" t="s">
        <v>7</v>
      </c>
      <c r="E24" s="74" t="s">
        <v>37</v>
      </c>
      <c r="F24" s="57">
        <f t="shared" si="3"/>
        <v>18</v>
      </c>
      <c r="G24" s="76">
        <v>57</v>
      </c>
      <c r="H24" s="77">
        <v>71</v>
      </c>
      <c r="I24" s="78">
        <f>F24*G24</f>
        <v>1026</v>
      </c>
      <c r="J24" s="79">
        <f t="shared" si="2"/>
        <v>1278</v>
      </c>
      <c r="K24" s="19">
        <v>3</v>
      </c>
      <c r="L24" s="18"/>
      <c r="M24" s="18"/>
      <c r="N24" s="17"/>
      <c r="O24" s="62"/>
      <c r="P24" s="18"/>
      <c r="Q24" s="18"/>
      <c r="R24" s="17"/>
      <c r="S24" s="62"/>
      <c r="T24" s="18"/>
      <c r="U24" s="18"/>
      <c r="V24" s="18"/>
      <c r="W24" s="17"/>
      <c r="X24" s="19">
        <v>3</v>
      </c>
      <c r="Y24" s="18"/>
      <c r="Z24" s="18"/>
      <c r="AA24" s="17"/>
      <c r="AB24" s="19">
        <v>3</v>
      </c>
      <c r="AC24" s="18"/>
      <c r="AD24" s="18"/>
      <c r="AE24" s="17"/>
      <c r="AF24" s="62"/>
      <c r="AG24" s="18"/>
      <c r="AH24" s="18"/>
      <c r="AI24" s="18"/>
      <c r="AJ24" s="17"/>
      <c r="AK24" s="62"/>
      <c r="AL24" s="18"/>
      <c r="AM24" s="18"/>
      <c r="AN24" s="17"/>
      <c r="AO24" s="19">
        <v>3</v>
      </c>
      <c r="AP24" s="18"/>
      <c r="AQ24" s="18"/>
      <c r="AR24" s="17"/>
      <c r="AS24" s="62"/>
      <c r="AT24" s="18"/>
      <c r="AU24" s="18"/>
      <c r="AV24" s="18"/>
      <c r="AW24" s="17"/>
      <c r="AX24" s="62"/>
      <c r="AY24" s="18"/>
      <c r="AZ24" s="18"/>
      <c r="BA24" s="17"/>
      <c r="BB24" s="19">
        <v>3</v>
      </c>
      <c r="BC24" s="18"/>
      <c r="BD24" s="18"/>
      <c r="BE24" s="17"/>
      <c r="BF24" s="19">
        <v>3</v>
      </c>
      <c r="BG24" s="18"/>
      <c r="BH24" s="18"/>
      <c r="BI24" s="18"/>
      <c r="BJ24" s="17"/>
    </row>
    <row r="25" spans="1:62" ht="31.5" customHeight="1" thickBot="1" x14ac:dyDescent="0.25">
      <c r="A25" s="25"/>
      <c r="B25" s="95"/>
      <c r="C25" s="3" t="s">
        <v>29</v>
      </c>
      <c r="D25" s="44" t="s">
        <v>7</v>
      </c>
      <c r="E25" s="54" t="s">
        <v>28</v>
      </c>
      <c r="F25" s="75">
        <f>SUM(K25:BJ25)</f>
        <v>2</v>
      </c>
      <c r="G25" s="65"/>
      <c r="H25" s="58">
        <v>68</v>
      </c>
      <c r="I25" s="59"/>
      <c r="J25" s="60">
        <f t="shared" si="2"/>
        <v>136</v>
      </c>
      <c r="K25" s="19">
        <v>1</v>
      </c>
      <c r="L25" s="18"/>
      <c r="M25" s="18"/>
      <c r="N25" s="17"/>
      <c r="O25" s="62"/>
      <c r="P25" s="18"/>
      <c r="Q25" s="18"/>
      <c r="R25" s="17"/>
      <c r="S25" s="62"/>
      <c r="T25" s="18"/>
      <c r="U25" s="18"/>
      <c r="V25" s="18"/>
      <c r="W25" s="17"/>
      <c r="X25" s="19"/>
      <c r="Y25" s="18"/>
      <c r="Z25" s="18"/>
      <c r="AA25" s="17"/>
      <c r="AB25" s="19"/>
      <c r="AC25" s="18"/>
      <c r="AD25" s="18"/>
      <c r="AE25" s="17"/>
      <c r="AF25" s="62"/>
      <c r="AG25" s="18"/>
      <c r="AH25" s="18"/>
      <c r="AI25" s="18"/>
      <c r="AJ25" s="17"/>
      <c r="AK25" s="62"/>
      <c r="AL25" s="18"/>
      <c r="AM25" s="18"/>
      <c r="AN25" s="17"/>
      <c r="AO25" s="19">
        <v>1</v>
      </c>
      <c r="AP25" s="18"/>
      <c r="AQ25" s="18"/>
      <c r="AR25" s="17"/>
      <c r="AS25" s="62"/>
      <c r="AT25" s="18"/>
      <c r="AU25" s="18"/>
      <c r="AV25" s="18"/>
      <c r="AW25" s="17"/>
      <c r="AX25" s="62"/>
      <c r="AY25" s="18"/>
      <c r="AZ25" s="18"/>
      <c r="BA25" s="17"/>
      <c r="BB25" s="19"/>
      <c r="BC25" s="18"/>
      <c r="BD25" s="18"/>
      <c r="BE25" s="17"/>
      <c r="BF25" s="19"/>
      <c r="BG25" s="18"/>
      <c r="BH25" s="18"/>
      <c r="BI25" s="18"/>
      <c r="BJ25" s="17"/>
    </row>
    <row r="26" spans="1:62" ht="31.5" customHeight="1" thickBot="1" x14ac:dyDescent="0.25">
      <c r="A26" s="25"/>
      <c r="B26" s="92" t="s">
        <v>51</v>
      </c>
      <c r="C26" s="67" t="s">
        <v>22</v>
      </c>
      <c r="D26" s="67"/>
      <c r="E26" s="67"/>
      <c r="F26" s="67"/>
      <c r="G26" s="68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9"/>
    </row>
    <row r="27" spans="1:62" ht="31.5" customHeight="1" x14ac:dyDescent="0.2">
      <c r="A27" s="25"/>
      <c r="B27" s="93"/>
      <c r="C27" s="63" t="s">
        <v>36</v>
      </c>
      <c r="D27" s="15" t="s">
        <v>38</v>
      </c>
      <c r="E27" s="55" t="s">
        <v>37</v>
      </c>
      <c r="F27" s="14">
        <f>SUM(K27:BJ27)</f>
        <v>108</v>
      </c>
      <c r="G27" s="64">
        <v>42</v>
      </c>
      <c r="H27" s="13">
        <v>53</v>
      </c>
      <c r="I27" s="12">
        <f>F27*G27</f>
        <v>4536</v>
      </c>
      <c r="J27" s="61">
        <f t="shared" ref="J27:J30" si="4">H27*F27</f>
        <v>5724</v>
      </c>
      <c r="K27" s="19">
        <v>8</v>
      </c>
      <c r="L27" s="18"/>
      <c r="M27" s="18">
        <v>10</v>
      </c>
      <c r="N27" s="17"/>
      <c r="O27" s="62"/>
      <c r="P27" s="18"/>
      <c r="Q27" s="18"/>
      <c r="R27" s="17"/>
      <c r="S27" s="62"/>
      <c r="T27" s="18"/>
      <c r="U27" s="18"/>
      <c r="V27" s="18"/>
      <c r="W27" s="17"/>
      <c r="X27" s="19">
        <v>8</v>
      </c>
      <c r="Y27" s="18"/>
      <c r="Z27" s="18">
        <v>10</v>
      </c>
      <c r="AA27" s="17"/>
      <c r="AB27" s="19">
        <v>8</v>
      </c>
      <c r="AC27" s="18"/>
      <c r="AD27" s="18">
        <v>10</v>
      </c>
      <c r="AE27" s="17"/>
      <c r="AF27" s="62"/>
      <c r="AG27" s="18"/>
      <c r="AH27" s="18"/>
      <c r="AI27" s="18"/>
      <c r="AJ27" s="17"/>
      <c r="AK27" s="62"/>
      <c r="AL27" s="18"/>
      <c r="AM27" s="18"/>
      <c r="AN27" s="17"/>
      <c r="AO27" s="19">
        <v>8</v>
      </c>
      <c r="AP27" s="18"/>
      <c r="AQ27" s="18">
        <v>10</v>
      </c>
      <c r="AR27" s="17"/>
      <c r="AS27" s="62"/>
      <c r="AT27" s="18"/>
      <c r="AU27" s="18"/>
      <c r="AV27" s="18"/>
      <c r="AW27" s="17"/>
      <c r="AX27" s="62"/>
      <c r="AY27" s="18"/>
      <c r="AZ27" s="18"/>
      <c r="BA27" s="17"/>
      <c r="BB27" s="19">
        <v>8</v>
      </c>
      <c r="BC27" s="18"/>
      <c r="BD27" s="18">
        <v>10</v>
      </c>
      <c r="BE27" s="17"/>
      <c r="BF27" s="19">
        <v>8</v>
      </c>
      <c r="BG27" s="18"/>
      <c r="BH27" s="18">
        <v>10</v>
      </c>
      <c r="BI27" s="18"/>
      <c r="BJ27" s="17"/>
    </row>
    <row r="28" spans="1:62" ht="31.5" customHeight="1" x14ac:dyDescent="0.2">
      <c r="A28" s="25"/>
      <c r="B28" s="93"/>
      <c r="C28" s="80" t="s">
        <v>29</v>
      </c>
      <c r="D28" s="81" t="s">
        <v>38</v>
      </c>
      <c r="E28" s="82" t="s">
        <v>28</v>
      </c>
      <c r="F28" s="57">
        <f t="shared" ref="F28:F29" si="5">SUM(K28:BJ28)</f>
        <v>11</v>
      </c>
      <c r="G28" s="65"/>
      <c r="H28" s="58">
        <v>51</v>
      </c>
      <c r="I28" s="59"/>
      <c r="J28" s="83">
        <f t="shared" si="4"/>
        <v>561</v>
      </c>
      <c r="K28" s="19">
        <v>2</v>
      </c>
      <c r="L28" s="18"/>
      <c r="M28" s="18">
        <v>1</v>
      </c>
      <c r="N28" s="17"/>
      <c r="O28" s="62"/>
      <c r="P28" s="18"/>
      <c r="Q28" s="18"/>
      <c r="R28" s="17"/>
      <c r="S28" s="62"/>
      <c r="T28" s="18"/>
      <c r="U28" s="18"/>
      <c r="V28" s="18"/>
      <c r="W28" s="17"/>
      <c r="X28" s="19">
        <v>1</v>
      </c>
      <c r="Y28" s="18"/>
      <c r="Z28" s="18"/>
      <c r="AA28" s="17"/>
      <c r="AB28" s="19">
        <v>1</v>
      </c>
      <c r="AC28" s="18"/>
      <c r="AD28" s="18"/>
      <c r="AE28" s="17"/>
      <c r="AF28" s="62"/>
      <c r="AG28" s="18"/>
      <c r="AH28" s="18"/>
      <c r="AI28" s="18"/>
      <c r="AJ28" s="17"/>
      <c r="AK28" s="62"/>
      <c r="AL28" s="18"/>
      <c r="AM28" s="18"/>
      <c r="AN28" s="17"/>
      <c r="AO28" s="19">
        <v>1</v>
      </c>
      <c r="AP28" s="18"/>
      <c r="AQ28" s="18">
        <v>1</v>
      </c>
      <c r="AR28" s="17"/>
      <c r="AS28" s="62"/>
      <c r="AT28" s="18"/>
      <c r="AU28" s="18"/>
      <c r="AV28" s="18"/>
      <c r="AW28" s="17"/>
      <c r="AX28" s="62"/>
      <c r="AY28" s="18"/>
      <c r="AZ28" s="18"/>
      <c r="BA28" s="17"/>
      <c r="BB28" s="19">
        <v>1</v>
      </c>
      <c r="BC28" s="18"/>
      <c r="BD28" s="18">
        <v>1</v>
      </c>
      <c r="BE28" s="17"/>
      <c r="BF28" s="19">
        <v>1</v>
      </c>
      <c r="BG28" s="18"/>
      <c r="BH28" s="18">
        <v>1</v>
      </c>
      <c r="BI28" s="18"/>
      <c r="BJ28" s="17"/>
    </row>
    <row r="29" spans="1:62" ht="31.5" customHeight="1" x14ac:dyDescent="0.2">
      <c r="A29" s="25"/>
      <c r="B29" s="94"/>
      <c r="C29" s="72" t="s">
        <v>36</v>
      </c>
      <c r="D29" s="73" t="s">
        <v>7</v>
      </c>
      <c r="E29" s="74" t="s">
        <v>37</v>
      </c>
      <c r="F29" s="57">
        <f t="shared" si="5"/>
        <v>18</v>
      </c>
      <c r="G29" s="76">
        <v>57</v>
      </c>
      <c r="H29" s="77">
        <v>71</v>
      </c>
      <c r="I29" s="78">
        <f>F29*G29</f>
        <v>1026</v>
      </c>
      <c r="J29" s="79">
        <f t="shared" si="4"/>
        <v>1278</v>
      </c>
      <c r="K29" s="19">
        <v>3</v>
      </c>
      <c r="L29" s="18"/>
      <c r="M29" s="18"/>
      <c r="N29" s="17"/>
      <c r="O29" s="62"/>
      <c r="P29" s="18"/>
      <c r="Q29" s="18"/>
      <c r="R29" s="17"/>
      <c r="S29" s="62"/>
      <c r="T29" s="18"/>
      <c r="U29" s="18"/>
      <c r="V29" s="18"/>
      <c r="W29" s="17"/>
      <c r="X29" s="19">
        <v>3</v>
      </c>
      <c r="Y29" s="18"/>
      <c r="Z29" s="18"/>
      <c r="AA29" s="17"/>
      <c r="AB29" s="19">
        <v>3</v>
      </c>
      <c r="AC29" s="18"/>
      <c r="AD29" s="18"/>
      <c r="AE29" s="17"/>
      <c r="AF29" s="62"/>
      <c r="AG29" s="18"/>
      <c r="AH29" s="18"/>
      <c r="AI29" s="18"/>
      <c r="AJ29" s="17"/>
      <c r="AK29" s="62"/>
      <c r="AL29" s="18"/>
      <c r="AM29" s="18"/>
      <c r="AN29" s="17"/>
      <c r="AO29" s="19">
        <v>3</v>
      </c>
      <c r="AP29" s="18"/>
      <c r="AQ29" s="18"/>
      <c r="AR29" s="17"/>
      <c r="AS29" s="62"/>
      <c r="AT29" s="18"/>
      <c r="AU29" s="18"/>
      <c r="AV29" s="18"/>
      <c r="AW29" s="17"/>
      <c r="AX29" s="62"/>
      <c r="AY29" s="18"/>
      <c r="AZ29" s="18"/>
      <c r="BA29" s="17"/>
      <c r="BB29" s="19">
        <v>3</v>
      </c>
      <c r="BC29" s="18"/>
      <c r="BD29" s="18"/>
      <c r="BE29" s="17"/>
      <c r="BF29" s="19">
        <v>3</v>
      </c>
      <c r="BG29" s="18"/>
      <c r="BH29" s="18"/>
      <c r="BI29" s="18"/>
      <c r="BJ29" s="17"/>
    </row>
    <row r="30" spans="1:62" ht="31.5" customHeight="1" thickBot="1" x14ac:dyDescent="0.25">
      <c r="A30" s="25"/>
      <c r="B30" s="95"/>
      <c r="C30" s="3" t="s">
        <v>29</v>
      </c>
      <c r="D30" s="44" t="s">
        <v>7</v>
      </c>
      <c r="E30" s="54" t="s">
        <v>28</v>
      </c>
      <c r="F30" s="75">
        <f>SUM(K30:BJ30)</f>
        <v>2</v>
      </c>
      <c r="G30" s="65"/>
      <c r="H30" s="58">
        <v>68</v>
      </c>
      <c r="I30" s="59"/>
      <c r="J30" s="60">
        <f t="shared" si="4"/>
        <v>136</v>
      </c>
      <c r="K30" s="19">
        <v>1</v>
      </c>
      <c r="L30" s="18"/>
      <c r="M30" s="18"/>
      <c r="N30" s="17"/>
      <c r="O30" s="62"/>
      <c r="P30" s="18"/>
      <c r="Q30" s="18"/>
      <c r="R30" s="17"/>
      <c r="S30" s="62"/>
      <c r="T30" s="18"/>
      <c r="U30" s="18"/>
      <c r="V30" s="18"/>
      <c r="W30" s="17"/>
      <c r="X30" s="19"/>
      <c r="Y30" s="18"/>
      <c r="Z30" s="18"/>
      <c r="AA30" s="17"/>
      <c r="AB30" s="19"/>
      <c r="AC30" s="18"/>
      <c r="AD30" s="18"/>
      <c r="AE30" s="17"/>
      <c r="AF30" s="62"/>
      <c r="AG30" s="18"/>
      <c r="AH30" s="18"/>
      <c r="AI30" s="18"/>
      <c r="AJ30" s="17"/>
      <c r="AK30" s="62"/>
      <c r="AL30" s="18"/>
      <c r="AM30" s="18"/>
      <c r="AN30" s="17"/>
      <c r="AO30" s="19">
        <v>1</v>
      </c>
      <c r="AP30" s="18"/>
      <c r="AQ30" s="18"/>
      <c r="AR30" s="17"/>
      <c r="AS30" s="62"/>
      <c r="AT30" s="18"/>
      <c r="AU30" s="18"/>
      <c r="AV30" s="18"/>
      <c r="AW30" s="17"/>
      <c r="AX30" s="62"/>
      <c r="AY30" s="18"/>
      <c r="AZ30" s="18"/>
      <c r="BA30" s="17"/>
      <c r="BB30" s="19"/>
      <c r="BC30" s="18"/>
      <c r="BD30" s="18"/>
      <c r="BE30" s="17"/>
      <c r="BF30" s="19"/>
      <c r="BG30" s="18"/>
      <c r="BH30" s="18"/>
      <c r="BI30" s="18"/>
      <c r="BJ30" s="17"/>
    </row>
    <row r="31" spans="1:62" ht="31.5" customHeight="1" thickBot="1" x14ac:dyDescent="0.25">
      <c r="A31" s="25"/>
      <c r="B31" s="88" t="s">
        <v>57</v>
      </c>
      <c r="C31" s="67" t="s">
        <v>22</v>
      </c>
      <c r="D31" s="67"/>
      <c r="E31" s="67"/>
      <c r="F31" s="67"/>
      <c r="G31" s="68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9"/>
    </row>
    <row r="32" spans="1:62" ht="31.5" customHeight="1" x14ac:dyDescent="0.2">
      <c r="A32" s="25"/>
      <c r="B32" s="89"/>
      <c r="C32" s="63" t="s">
        <v>36</v>
      </c>
      <c r="D32" s="15" t="s">
        <v>38</v>
      </c>
      <c r="E32" s="55" t="s">
        <v>37</v>
      </c>
      <c r="F32" s="14">
        <f>SUM(K32:BJ32)</f>
        <v>108</v>
      </c>
      <c r="G32" s="64">
        <v>59</v>
      </c>
      <c r="H32" s="13">
        <v>74</v>
      </c>
      <c r="I32" s="12">
        <f>F32*G32</f>
        <v>6372</v>
      </c>
      <c r="J32" s="61">
        <f t="shared" ref="J32:J35" si="6">H32*F32</f>
        <v>7992</v>
      </c>
      <c r="K32" s="19">
        <v>8</v>
      </c>
      <c r="L32" s="18"/>
      <c r="M32" s="18">
        <v>10</v>
      </c>
      <c r="N32" s="17"/>
      <c r="O32" s="62"/>
      <c r="P32" s="18"/>
      <c r="Q32" s="18"/>
      <c r="R32" s="17"/>
      <c r="S32" s="62"/>
      <c r="T32" s="18"/>
      <c r="U32" s="18"/>
      <c r="V32" s="18"/>
      <c r="W32" s="17"/>
      <c r="X32" s="19">
        <v>8</v>
      </c>
      <c r="Y32" s="18"/>
      <c r="Z32" s="18">
        <v>10</v>
      </c>
      <c r="AA32" s="17"/>
      <c r="AB32" s="19">
        <v>8</v>
      </c>
      <c r="AC32" s="18"/>
      <c r="AD32" s="18">
        <v>10</v>
      </c>
      <c r="AE32" s="17"/>
      <c r="AF32" s="62"/>
      <c r="AG32" s="18"/>
      <c r="AH32" s="18"/>
      <c r="AI32" s="18"/>
      <c r="AJ32" s="17"/>
      <c r="AK32" s="62"/>
      <c r="AL32" s="18"/>
      <c r="AM32" s="18"/>
      <c r="AN32" s="17"/>
      <c r="AO32" s="19">
        <v>8</v>
      </c>
      <c r="AP32" s="18"/>
      <c r="AQ32" s="18">
        <v>10</v>
      </c>
      <c r="AR32" s="17"/>
      <c r="AS32" s="62"/>
      <c r="AT32" s="18"/>
      <c r="AU32" s="18"/>
      <c r="AV32" s="18"/>
      <c r="AW32" s="17"/>
      <c r="AX32" s="62"/>
      <c r="AY32" s="18"/>
      <c r="AZ32" s="18"/>
      <c r="BA32" s="17"/>
      <c r="BB32" s="19">
        <v>8</v>
      </c>
      <c r="BC32" s="18"/>
      <c r="BD32" s="18">
        <v>10</v>
      </c>
      <c r="BE32" s="17"/>
      <c r="BF32" s="19">
        <v>8</v>
      </c>
      <c r="BG32" s="18"/>
      <c r="BH32" s="18">
        <v>10</v>
      </c>
      <c r="BI32" s="18"/>
      <c r="BJ32" s="17"/>
    </row>
    <row r="33" spans="1:62" ht="31.5" customHeight="1" x14ac:dyDescent="0.2">
      <c r="A33" s="25"/>
      <c r="B33" s="89"/>
      <c r="C33" s="80" t="s">
        <v>29</v>
      </c>
      <c r="D33" s="81" t="s">
        <v>38</v>
      </c>
      <c r="E33" s="82" t="s">
        <v>28</v>
      </c>
      <c r="F33" s="57">
        <f t="shared" ref="F33:F34" si="7">SUM(K33:BJ33)</f>
        <v>11</v>
      </c>
      <c r="G33" s="65"/>
      <c r="H33" s="58">
        <v>71</v>
      </c>
      <c r="I33" s="59"/>
      <c r="J33" s="83">
        <f t="shared" si="6"/>
        <v>781</v>
      </c>
      <c r="K33" s="19">
        <v>2</v>
      </c>
      <c r="L33" s="18"/>
      <c r="M33" s="18">
        <v>1</v>
      </c>
      <c r="N33" s="17"/>
      <c r="O33" s="62"/>
      <c r="P33" s="18"/>
      <c r="Q33" s="18"/>
      <c r="R33" s="17"/>
      <c r="S33" s="62"/>
      <c r="T33" s="18"/>
      <c r="U33" s="18"/>
      <c r="V33" s="18"/>
      <c r="W33" s="17"/>
      <c r="X33" s="19">
        <v>1</v>
      </c>
      <c r="Y33" s="18"/>
      <c r="Z33" s="18"/>
      <c r="AA33" s="17"/>
      <c r="AB33" s="19">
        <v>1</v>
      </c>
      <c r="AC33" s="18"/>
      <c r="AD33" s="18"/>
      <c r="AE33" s="17"/>
      <c r="AF33" s="62"/>
      <c r="AG33" s="18"/>
      <c r="AH33" s="18"/>
      <c r="AI33" s="18"/>
      <c r="AJ33" s="17"/>
      <c r="AK33" s="62"/>
      <c r="AL33" s="18"/>
      <c r="AM33" s="18"/>
      <c r="AN33" s="17"/>
      <c r="AO33" s="19">
        <v>1</v>
      </c>
      <c r="AP33" s="18"/>
      <c r="AQ33" s="18">
        <v>1</v>
      </c>
      <c r="AR33" s="17"/>
      <c r="AS33" s="62"/>
      <c r="AT33" s="18"/>
      <c r="AU33" s="18"/>
      <c r="AV33" s="18"/>
      <c r="AW33" s="17"/>
      <c r="AX33" s="62"/>
      <c r="AY33" s="18"/>
      <c r="AZ33" s="18"/>
      <c r="BA33" s="17"/>
      <c r="BB33" s="19">
        <v>1</v>
      </c>
      <c r="BC33" s="18"/>
      <c r="BD33" s="18">
        <v>1</v>
      </c>
      <c r="BE33" s="17"/>
      <c r="BF33" s="19">
        <v>1</v>
      </c>
      <c r="BG33" s="18"/>
      <c r="BH33" s="18">
        <v>1</v>
      </c>
      <c r="BI33" s="18"/>
      <c r="BJ33" s="17"/>
    </row>
    <row r="34" spans="1:62" ht="31.5" customHeight="1" x14ac:dyDescent="0.2">
      <c r="A34" s="25"/>
      <c r="B34" s="90"/>
      <c r="C34" s="72" t="s">
        <v>36</v>
      </c>
      <c r="D34" s="73" t="s">
        <v>7</v>
      </c>
      <c r="E34" s="74" t="s">
        <v>37</v>
      </c>
      <c r="F34" s="57">
        <f t="shared" si="7"/>
        <v>18</v>
      </c>
      <c r="G34" s="76">
        <v>79</v>
      </c>
      <c r="H34" s="77">
        <v>99</v>
      </c>
      <c r="I34" s="78">
        <f>F34*G34</f>
        <v>1422</v>
      </c>
      <c r="J34" s="79">
        <f t="shared" si="6"/>
        <v>1782</v>
      </c>
      <c r="K34" s="19">
        <v>3</v>
      </c>
      <c r="L34" s="18"/>
      <c r="M34" s="18"/>
      <c r="N34" s="17"/>
      <c r="O34" s="62"/>
      <c r="P34" s="18"/>
      <c r="Q34" s="18"/>
      <c r="R34" s="17"/>
      <c r="S34" s="62"/>
      <c r="T34" s="18"/>
      <c r="U34" s="18"/>
      <c r="V34" s="18"/>
      <c r="W34" s="17"/>
      <c r="X34" s="19">
        <v>3</v>
      </c>
      <c r="Y34" s="18"/>
      <c r="Z34" s="18"/>
      <c r="AA34" s="17"/>
      <c r="AB34" s="19">
        <v>3</v>
      </c>
      <c r="AC34" s="18"/>
      <c r="AD34" s="18"/>
      <c r="AE34" s="17"/>
      <c r="AF34" s="62"/>
      <c r="AG34" s="18"/>
      <c r="AH34" s="18"/>
      <c r="AI34" s="18"/>
      <c r="AJ34" s="17"/>
      <c r="AK34" s="62"/>
      <c r="AL34" s="18"/>
      <c r="AM34" s="18"/>
      <c r="AN34" s="17"/>
      <c r="AO34" s="19">
        <v>3</v>
      </c>
      <c r="AP34" s="18"/>
      <c r="AQ34" s="18"/>
      <c r="AR34" s="17"/>
      <c r="AS34" s="62"/>
      <c r="AT34" s="18"/>
      <c r="AU34" s="18"/>
      <c r="AV34" s="18"/>
      <c r="AW34" s="17"/>
      <c r="AX34" s="62"/>
      <c r="AY34" s="18"/>
      <c r="AZ34" s="18"/>
      <c r="BA34" s="17"/>
      <c r="BB34" s="19">
        <v>3</v>
      </c>
      <c r="BC34" s="18"/>
      <c r="BD34" s="18"/>
      <c r="BE34" s="17"/>
      <c r="BF34" s="19">
        <v>3</v>
      </c>
      <c r="BG34" s="18"/>
      <c r="BH34" s="18"/>
      <c r="BI34" s="18"/>
      <c r="BJ34" s="17"/>
    </row>
    <row r="35" spans="1:62" ht="31.5" customHeight="1" thickBot="1" x14ac:dyDescent="0.25">
      <c r="A35" s="25"/>
      <c r="B35" s="91"/>
      <c r="C35" s="3" t="s">
        <v>29</v>
      </c>
      <c r="D35" s="44" t="s">
        <v>7</v>
      </c>
      <c r="E35" s="54" t="s">
        <v>28</v>
      </c>
      <c r="F35" s="75">
        <f>SUM(K35:BJ35)</f>
        <v>2</v>
      </c>
      <c r="G35" s="65"/>
      <c r="H35" s="58">
        <v>95</v>
      </c>
      <c r="I35" s="59"/>
      <c r="J35" s="60">
        <f t="shared" si="6"/>
        <v>190</v>
      </c>
      <c r="K35" s="19">
        <v>1</v>
      </c>
      <c r="L35" s="18"/>
      <c r="M35" s="18"/>
      <c r="N35" s="17"/>
      <c r="O35" s="62"/>
      <c r="P35" s="18"/>
      <c r="Q35" s="18"/>
      <c r="R35" s="17"/>
      <c r="S35" s="62"/>
      <c r="T35" s="18"/>
      <c r="U35" s="18"/>
      <c r="V35" s="18"/>
      <c r="W35" s="17"/>
      <c r="X35" s="19"/>
      <c r="Y35" s="18"/>
      <c r="Z35" s="18"/>
      <c r="AA35" s="17"/>
      <c r="AB35" s="19"/>
      <c r="AC35" s="18"/>
      <c r="AD35" s="18"/>
      <c r="AE35" s="17"/>
      <c r="AF35" s="62"/>
      <c r="AG35" s="18"/>
      <c r="AH35" s="18"/>
      <c r="AI35" s="18"/>
      <c r="AJ35" s="17"/>
      <c r="AK35" s="62"/>
      <c r="AL35" s="18"/>
      <c r="AM35" s="18"/>
      <c r="AN35" s="17"/>
      <c r="AO35" s="19">
        <v>1</v>
      </c>
      <c r="AP35" s="18"/>
      <c r="AQ35" s="18"/>
      <c r="AR35" s="17"/>
      <c r="AS35" s="62"/>
      <c r="AT35" s="18"/>
      <c r="AU35" s="18"/>
      <c r="AV35" s="18"/>
      <c r="AW35" s="17"/>
      <c r="AX35" s="62"/>
      <c r="AY35" s="18"/>
      <c r="AZ35" s="18"/>
      <c r="BA35" s="17"/>
      <c r="BB35" s="19"/>
      <c r="BC35" s="18"/>
      <c r="BD35" s="18"/>
      <c r="BE35" s="17"/>
      <c r="BF35" s="19"/>
      <c r="BG35" s="18"/>
      <c r="BH35" s="18"/>
      <c r="BI35" s="18"/>
      <c r="BJ35" s="17"/>
    </row>
    <row r="36" spans="1:62" ht="31.5" customHeight="1" thickBot="1" x14ac:dyDescent="0.25">
      <c r="A36" s="25"/>
      <c r="B36" s="92" t="s">
        <v>52</v>
      </c>
      <c r="C36" s="67" t="s">
        <v>22</v>
      </c>
      <c r="D36" s="67"/>
      <c r="E36" s="67"/>
      <c r="F36" s="67"/>
      <c r="G36" s="68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9"/>
    </row>
    <row r="37" spans="1:62" ht="31.5" customHeight="1" x14ac:dyDescent="0.2">
      <c r="A37" s="25"/>
      <c r="B37" s="93"/>
      <c r="C37" s="63" t="s">
        <v>36</v>
      </c>
      <c r="D37" s="15" t="s">
        <v>38</v>
      </c>
      <c r="E37" s="55" t="s">
        <v>37</v>
      </c>
      <c r="F37" s="14">
        <f>SUM(K37:BJ37)</f>
        <v>108</v>
      </c>
      <c r="G37" s="64">
        <v>40</v>
      </c>
      <c r="H37" s="13">
        <v>50</v>
      </c>
      <c r="I37" s="12">
        <f>F37*G37</f>
        <v>4320</v>
      </c>
      <c r="J37" s="61">
        <f t="shared" ref="J37:J40" si="8">H37*F37</f>
        <v>5400</v>
      </c>
      <c r="K37" s="19">
        <v>8</v>
      </c>
      <c r="L37" s="18"/>
      <c r="M37" s="18">
        <v>10</v>
      </c>
      <c r="N37" s="17"/>
      <c r="O37" s="62"/>
      <c r="P37" s="18"/>
      <c r="Q37" s="18"/>
      <c r="R37" s="17"/>
      <c r="S37" s="62"/>
      <c r="T37" s="18"/>
      <c r="U37" s="18"/>
      <c r="V37" s="18"/>
      <c r="W37" s="17"/>
      <c r="X37" s="19">
        <v>8</v>
      </c>
      <c r="Y37" s="18"/>
      <c r="Z37" s="18">
        <v>10</v>
      </c>
      <c r="AA37" s="17"/>
      <c r="AB37" s="19">
        <v>8</v>
      </c>
      <c r="AC37" s="18"/>
      <c r="AD37" s="18">
        <v>10</v>
      </c>
      <c r="AE37" s="17"/>
      <c r="AF37" s="62"/>
      <c r="AG37" s="18"/>
      <c r="AH37" s="18"/>
      <c r="AI37" s="18"/>
      <c r="AJ37" s="17"/>
      <c r="AK37" s="62"/>
      <c r="AL37" s="18"/>
      <c r="AM37" s="18"/>
      <c r="AN37" s="17"/>
      <c r="AO37" s="19">
        <v>8</v>
      </c>
      <c r="AP37" s="18"/>
      <c r="AQ37" s="18">
        <v>10</v>
      </c>
      <c r="AR37" s="17"/>
      <c r="AS37" s="62"/>
      <c r="AT37" s="18"/>
      <c r="AU37" s="18"/>
      <c r="AV37" s="18"/>
      <c r="AW37" s="17"/>
      <c r="AX37" s="62"/>
      <c r="AY37" s="18"/>
      <c r="AZ37" s="18"/>
      <c r="BA37" s="17"/>
      <c r="BB37" s="19">
        <v>8</v>
      </c>
      <c r="BC37" s="18"/>
      <c r="BD37" s="18">
        <v>10</v>
      </c>
      <c r="BE37" s="17"/>
      <c r="BF37" s="19">
        <v>8</v>
      </c>
      <c r="BG37" s="18"/>
      <c r="BH37" s="18">
        <v>10</v>
      </c>
      <c r="BI37" s="18"/>
      <c r="BJ37" s="17"/>
    </row>
    <row r="38" spans="1:62" ht="31.5" customHeight="1" x14ac:dyDescent="0.2">
      <c r="A38" s="25"/>
      <c r="B38" s="93"/>
      <c r="C38" s="80" t="s">
        <v>29</v>
      </c>
      <c r="D38" s="81" t="s">
        <v>38</v>
      </c>
      <c r="E38" s="82" t="s">
        <v>28</v>
      </c>
      <c r="F38" s="57">
        <f t="shared" ref="F38:F39" si="9">SUM(K38:BJ38)</f>
        <v>11</v>
      </c>
      <c r="G38" s="65"/>
      <c r="H38" s="58">
        <v>47</v>
      </c>
      <c r="I38" s="59"/>
      <c r="J38" s="83">
        <f t="shared" si="8"/>
        <v>517</v>
      </c>
      <c r="K38" s="19">
        <v>2</v>
      </c>
      <c r="L38" s="18"/>
      <c r="M38" s="18">
        <v>1</v>
      </c>
      <c r="N38" s="17"/>
      <c r="O38" s="62"/>
      <c r="P38" s="18"/>
      <c r="Q38" s="18"/>
      <c r="R38" s="17"/>
      <c r="S38" s="62"/>
      <c r="T38" s="18"/>
      <c r="U38" s="18"/>
      <c r="V38" s="18"/>
      <c r="W38" s="17"/>
      <c r="X38" s="19">
        <v>1</v>
      </c>
      <c r="Y38" s="18"/>
      <c r="Z38" s="18"/>
      <c r="AA38" s="17"/>
      <c r="AB38" s="19">
        <v>1</v>
      </c>
      <c r="AC38" s="18"/>
      <c r="AD38" s="18"/>
      <c r="AE38" s="17"/>
      <c r="AF38" s="62"/>
      <c r="AG38" s="18"/>
      <c r="AH38" s="18"/>
      <c r="AI38" s="18"/>
      <c r="AJ38" s="17"/>
      <c r="AK38" s="62"/>
      <c r="AL38" s="18"/>
      <c r="AM38" s="18"/>
      <c r="AN38" s="17"/>
      <c r="AO38" s="19">
        <v>1</v>
      </c>
      <c r="AP38" s="18"/>
      <c r="AQ38" s="18">
        <v>1</v>
      </c>
      <c r="AR38" s="17"/>
      <c r="AS38" s="62"/>
      <c r="AT38" s="18"/>
      <c r="AU38" s="18"/>
      <c r="AV38" s="18"/>
      <c r="AW38" s="17"/>
      <c r="AX38" s="62"/>
      <c r="AY38" s="18"/>
      <c r="AZ38" s="18"/>
      <c r="BA38" s="17"/>
      <c r="BB38" s="19">
        <v>1</v>
      </c>
      <c r="BC38" s="18"/>
      <c r="BD38" s="18">
        <v>1</v>
      </c>
      <c r="BE38" s="17"/>
      <c r="BF38" s="19">
        <v>1</v>
      </c>
      <c r="BG38" s="18"/>
      <c r="BH38" s="18">
        <v>1</v>
      </c>
      <c r="BI38" s="18"/>
      <c r="BJ38" s="17"/>
    </row>
    <row r="39" spans="1:62" ht="31.5" customHeight="1" x14ac:dyDescent="0.2">
      <c r="A39" s="25"/>
      <c r="B39" s="94"/>
      <c r="C39" s="72" t="s">
        <v>36</v>
      </c>
      <c r="D39" s="73" t="s">
        <v>7</v>
      </c>
      <c r="E39" s="74" t="s">
        <v>37</v>
      </c>
      <c r="F39" s="57">
        <f t="shared" si="9"/>
        <v>18</v>
      </c>
      <c r="G39" s="76">
        <v>53</v>
      </c>
      <c r="H39" s="77">
        <v>66</v>
      </c>
      <c r="I39" s="78">
        <f>F39*G39</f>
        <v>954</v>
      </c>
      <c r="J39" s="79">
        <f t="shared" si="8"/>
        <v>1188</v>
      </c>
      <c r="K39" s="19">
        <v>3</v>
      </c>
      <c r="L39" s="18"/>
      <c r="M39" s="18"/>
      <c r="N39" s="17"/>
      <c r="O39" s="62"/>
      <c r="P39" s="18"/>
      <c r="Q39" s="18"/>
      <c r="R39" s="17"/>
      <c r="S39" s="62"/>
      <c r="T39" s="18"/>
      <c r="U39" s="18"/>
      <c r="V39" s="18"/>
      <c r="W39" s="17"/>
      <c r="X39" s="19">
        <v>3</v>
      </c>
      <c r="Y39" s="18"/>
      <c r="Z39" s="18"/>
      <c r="AA39" s="17"/>
      <c r="AB39" s="19">
        <v>3</v>
      </c>
      <c r="AC39" s="18"/>
      <c r="AD39" s="18"/>
      <c r="AE39" s="17"/>
      <c r="AF39" s="62"/>
      <c r="AG39" s="18"/>
      <c r="AH39" s="18"/>
      <c r="AI39" s="18"/>
      <c r="AJ39" s="17"/>
      <c r="AK39" s="62"/>
      <c r="AL39" s="18"/>
      <c r="AM39" s="18"/>
      <c r="AN39" s="17"/>
      <c r="AO39" s="19">
        <v>3</v>
      </c>
      <c r="AP39" s="18"/>
      <c r="AQ39" s="18"/>
      <c r="AR39" s="17"/>
      <c r="AS39" s="62"/>
      <c r="AT39" s="18"/>
      <c r="AU39" s="18"/>
      <c r="AV39" s="18"/>
      <c r="AW39" s="17"/>
      <c r="AX39" s="62"/>
      <c r="AY39" s="18"/>
      <c r="AZ39" s="18"/>
      <c r="BA39" s="17"/>
      <c r="BB39" s="19">
        <v>3</v>
      </c>
      <c r="BC39" s="18"/>
      <c r="BD39" s="18"/>
      <c r="BE39" s="17"/>
      <c r="BF39" s="19">
        <v>3</v>
      </c>
      <c r="BG39" s="18"/>
      <c r="BH39" s="18"/>
      <c r="BI39" s="18"/>
      <c r="BJ39" s="17"/>
    </row>
    <row r="40" spans="1:62" ht="31.5" customHeight="1" thickBot="1" x14ac:dyDescent="0.25">
      <c r="A40" s="25"/>
      <c r="B40" s="95"/>
      <c r="C40" s="3" t="s">
        <v>29</v>
      </c>
      <c r="D40" s="44" t="s">
        <v>7</v>
      </c>
      <c r="E40" s="54" t="s">
        <v>28</v>
      </c>
      <c r="F40" s="75">
        <f>SUM(K40:BJ40)</f>
        <v>2</v>
      </c>
      <c r="G40" s="65"/>
      <c r="H40" s="58">
        <v>63</v>
      </c>
      <c r="I40" s="59"/>
      <c r="J40" s="60">
        <f t="shared" si="8"/>
        <v>126</v>
      </c>
      <c r="K40" s="19">
        <v>1</v>
      </c>
      <c r="L40" s="18"/>
      <c r="M40" s="18"/>
      <c r="N40" s="17"/>
      <c r="O40" s="62"/>
      <c r="P40" s="18"/>
      <c r="Q40" s="18"/>
      <c r="R40" s="17"/>
      <c r="S40" s="62"/>
      <c r="T40" s="18"/>
      <c r="U40" s="18"/>
      <c r="V40" s="18"/>
      <c r="W40" s="17"/>
      <c r="X40" s="19"/>
      <c r="Y40" s="18"/>
      <c r="Z40" s="18"/>
      <c r="AA40" s="17"/>
      <c r="AB40" s="19"/>
      <c r="AC40" s="18"/>
      <c r="AD40" s="18"/>
      <c r="AE40" s="17"/>
      <c r="AF40" s="62"/>
      <c r="AG40" s="18"/>
      <c r="AH40" s="18"/>
      <c r="AI40" s="18"/>
      <c r="AJ40" s="17"/>
      <c r="AK40" s="62"/>
      <c r="AL40" s="18"/>
      <c r="AM40" s="18"/>
      <c r="AN40" s="17"/>
      <c r="AO40" s="19">
        <v>1</v>
      </c>
      <c r="AP40" s="18"/>
      <c r="AQ40" s="18"/>
      <c r="AR40" s="17"/>
      <c r="AS40" s="62"/>
      <c r="AT40" s="18"/>
      <c r="AU40" s="18"/>
      <c r="AV40" s="18"/>
      <c r="AW40" s="17"/>
      <c r="AX40" s="62"/>
      <c r="AY40" s="18"/>
      <c r="AZ40" s="18"/>
      <c r="BA40" s="17"/>
      <c r="BB40" s="19"/>
      <c r="BC40" s="18"/>
      <c r="BD40" s="18"/>
      <c r="BE40" s="17"/>
      <c r="BF40" s="19"/>
      <c r="BG40" s="18"/>
      <c r="BH40" s="18"/>
      <c r="BI40" s="18"/>
      <c r="BJ40" s="17"/>
    </row>
    <row r="41" spans="1:62" ht="31.5" customHeight="1" thickBot="1" x14ac:dyDescent="0.25">
      <c r="A41" s="25"/>
      <c r="B41" s="92" t="s">
        <v>53</v>
      </c>
      <c r="C41" s="67" t="s">
        <v>22</v>
      </c>
      <c r="D41" s="67"/>
      <c r="E41" s="67"/>
      <c r="F41" s="67"/>
      <c r="G41" s="68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9"/>
    </row>
    <row r="42" spans="1:62" ht="31.5" customHeight="1" x14ac:dyDescent="0.2">
      <c r="A42" s="25"/>
      <c r="B42" s="93"/>
      <c r="C42" s="63" t="s">
        <v>36</v>
      </c>
      <c r="D42" s="15" t="s">
        <v>38</v>
      </c>
      <c r="E42" s="55" t="s">
        <v>37</v>
      </c>
      <c r="F42" s="14">
        <f>SUM(K42:BJ42)</f>
        <v>108</v>
      </c>
      <c r="G42" s="64">
        <v>42</v>
      </c>
      <c r="H42" s="13">
        <v>53</v>
      </c>
      <c r="I42" s="12">
        <f>F42*G42</f>
        <v>4536</v>
      </c>
      <c r="J42" s="61">
        <f t="shared" ref="J42:J45" si="10">H42*F42</f>
        <v>5724</v>
      </c>
      <c r="K42" s="19">
        <v>8</v>
      </c>
      <c r="L42" s="18"/>
      <c r="M42" s="18">
        <v>10</v>
      </c>
      <c r="N42" s="17"/>
      <c r="O42" s="62"/>
      <c r="P42" s="18"/>
      <c r="Q42" s="18"/>
      <c r="R42" s="17"/>
      <c r="S42" s="62"/>
      <c r="T42" s="18"/>
      <c r="U42" s="18"/>
      <c r="V42" s="18"/>
      <c r="W42" s="17"/>
      <c r="X42" s="19">
        <v>8</v>
      </c>
      <c r="Y42" s="18"/>
      <c r="Z42" s="18">
        <v>10</v>
      </c>
      <c r="AA42" s="17"/>
      <c r="AB42" s="19">
        <v>8</v>
      </c>
      <c r="AC42" s="18"/>
      <c r="AD42" s="18">
        <v>10</v>
      </c>
      <c r="AE42" s="17"/>
      <c r="AF42" s="62"/>
      <c r="AG42" s="18"/>
      <c r="AH42" s="18"/>
      <c r="AI42" s="18"/>
      <c r="AJ42" s="17"/>
      <c r="AK42" s="62"/>
      <c r="AL42" s="18"/>
      <c r="AM42" s="18"/>
      <c r="AN42" s="17"/>
      <c r="AO42" s="19">
        <v>8</v>
      </c>
      <c r="AP42" s="18"/>
      <c r="AQ42" s="18">
        <v>10</v>
      </c>
      <c r="AR42" s="17"/>
      <c r="AS42" s="62"/>
      <c r="AT42" s="18"/>
      <c r="AU42" s="18"/>
      <c r="AV42" s="18"/>
      <c r="AW42" s="17"/>
      <c r="AX42" s="62"/>
      <c r="AY42" s="18"/>
      <c r="AZ42" s="18"/>
      <c r="BA42" s="17"/>
      <c r="BB42" s="19">
        <v>8</v>
      </c>
      <c r="BC42" s="18"/>
      <c r="BD42" s="18">
        <v>10</v>
      </c>
      <c r="BE42" s="17"/>
      <c r="BF42" s="19">
        <v>8</v>
      </c>
      <c r="BG42" s="18"/>
      <c r="BH42" s="18">
        <v>10</v>
      </c>
      <c r="BI42" s="18"/>
      <c r="BJ42" s="17"/>
    </row>
    <row r="43" spans="1:62" ht="31.5" customHeight="1" x14ac:dyDescent="0.2">
      <c r="A43" s="25"/>
      <c r="B43" s="93"/>
      <c r="C43" s="80" t="s">
        <v>29</v>
      </c>
      <c r="D43" s="81" t="s">
        <v>38</v>
      </c>
      <c r="E43" s="82" t="s">
        <v>28</v>
      </c>
      <c r="F43" s="57">
        <f t="shared" ref="F43:F44" si="11">SUM(K43:BJ43)</f>
        <v>11</v>
      </c>
      <c r="G43" s="65"/>
      <c r="H43" s="58">
        <v>51</v>
      </c>
      <c r="I43" s="59"/>
      <c r="J43" s="83">
        <f t="shared" si="10"/>
        <v>561</v>
      </c>
      <c r="K43" s="19">
        <v>2</v>
      </c>
      <c r="L43" s="18"/>
      <c r="M43" s="18">
        <v>1</v>
      </c>
      <c r="N43" s="17"/>
      <c r="O43" s="62"/>
      <c r="P43" s="18"/>
      <c r="Q43" s="18"/>
      <c r="R43" s="17"/>
      <c r="S43" s="62"/>
      <c r="T43" s="18"/>
      <c r="U43" s="18"/>
      <c r="V43" s="18"/>
      <c r="W43" s="17"/>
      <c r="X43" s="19">
        <v>1</v>
      </c>
      <c r="Y43" s="18"/>
      <c r="Z43" s="18"/>
      <c r="AA43" s="17"/>
      <c r="AB43" s="19">
        <v>1</v>
      </c>
      <c r="AC43" s="18"/>
      <c r="AD43" s="18"/>
      <c r="AE43" s="17"/>
      <c r="AF43" s="62"/>
      <c r="AG43" s="18"/>
      <c r="AH43" s="18"/>
      <c r="AI43" s="18"/>
      <c r="AJ43" s="17"/>
      <c r="AK43" s="62"/>
      <c r="AL43" s="18"/>
      <c r="AM43" s="18"/>
      <c r="AN43" s="17"/>
      <c r="AO43" s="19">
        <v>1</v>
      </c>
      <c r="AP43" s="18"/>
      <c r="AQ43" s="18">
        <v>1</v>
      </c>
      <c r="AR43" s="17"/>
      <c r="AS43" s="62"/>
      <c r="AT43" s="18"/>
      <c r="AU43" s="18"/>
      <c r="AV43" s="18"/>
      <c r="AW43" s="17"/>
      <c r="AX43" s="62"/>
      <c r="AY43" s="18"/>
      <c r="AZ43" s="18"/>
      <c r="BA43" s="17"/>
      <c r="BB43" s="19">
        <v>1</v>
      </c>
      <c r="BC43" s="18"/>
      <c r="BD43" s="18">
        <v>1</v>
      </c>
      <c r="BE43" s="17"/>
      <c r="BF43" s="19">
        <v>1</v>
      </c>
      <c r="BG43" s="18"/>
      <c r="BH43" s="18">
        <v>1</v>
      </c>
      <c r="BI43" s="18"/>
      <c r="BJ43" s="17"/>
    </row>
    <row r="44" spans="1:62" ht="31.5" customHeight="1" x14ac:dyDescent="0.2">
      <c r="A44" s="25"/>
      <c r="B44" s="94"/>
      <c r="C44" s="72" t="s">
        <v>36</v>
      </c>
      <c r="D44" s="73" t="s">
        <v>7</v>
      </c>
      <c r="E44" s="74" t="s">
        <v>37</v>
      </c>
      <c r="F44" s="57">
        <f t="shared" si="11"/>
        <v>18</v>
      </c>
      <c r="G44" s="76">
        <v>57</v>
      </c>
      <c r="H44" s="77">
        <v>71</v>
      </c>
      <c r="I44" s="78">
        <f>F44*G44</f>
        <v>1026</v>
      </c>
      <c r="J44" s="79">
        <f t="shared" si="10"/>
        <v>1278</v>
      </c>
      <c r="K44" s="19">
        <v>3</v>
      </c>
      <c r="L44" s="18"/>
      <c r="M44" s="18"/>
      <c r="N44" s="17"/>
      <c r="O44" s="62"/>
      <c r="P44" s="18"/>
      <c r="Q44" s="18"/>
      <c r="R44" s="17"/>
      <c r="S44" s="62"/>
      <c r="T44" s="18"/>
      <c r="U44" s="18"/>
      <c r="V44" s="18"/>
      <c r="W44" s="17"/>
      <c r="X44" s="19">
        <v>3</v>
      </c>
      <c r="Y44" s="18"/>
      <c r="Z44" s="18"/>
      <c r="AA44" s="17"/>
      <c r="AB44" s="19">
        <v>3</v>
      </c>
      <c r="AC44" s="18"/>
      <c r="AD44" s="18"/>
      <c r="AE44" s="17"/>
      <c r="AF44" s="62"/>
      <c r="AG44" s="18"/>
      <c r="AH44" s="18"/>
      <c r="AI44" s="18"/>
      <c r="AJ44" s="17"/>
      <c r="AK44" s="62"/>
      <c r="AL44" s="18"/>
      <c r="AM44" s="18"/>
      <c r="AN44" s="17"/>
      <c r="AO44" s="19">
        <v>3</v>
      </c>
      <c r="AP44" s="18"/>
      <c r="AQ44" s="18"/>
      <c r="AR44" s="17"/>
      <c r="AS44" s="62"/>
      <c r="AT44" s="18"/>
      <c r="AU44" s="18"/>
      <c r="AV44" s="18"/>
      <c r="AW44" s="17"/>
      <c r="AX44" s="62"/>
      <c r="AY44" s="18"/>
      <c r="AZ44" s="18"/>
      <c r="BA44" s="17"/>
      <c r="BB44" s="19">
        <v>3</v>
      </c>
      <c r="BC44" s="18"/>
      <c r="BD44" s="18"/>
      <c r="BE44" s="17"/>
      <c r="BF44" s="19">
        <v>3</v>
      </c>
      <c r="BG44" s="18"/>
      <c r="BH44" s="18"/>
      <c r="BI44" s="18"/>
      <c r="BJ44" s="17"/>
    </row>
    <row r="45" spans="1:62" ht="31.5" customHeight="1" thickBot="1" x14ac:dyDescent="0.25">
      <c r="A45" s="25"/>
      <c r="B45" s="95"/>
      <c r="C45" s="3" t="s">
        <v>29</v>
      </c>
      <c r="D45" s="44" t="s">
        <v>7</v>
      </c>
      <c r="E45" s="54" t="s">
        <v>28</v>
      </c>
      <c r="F45" s="75">
        <f>SUM(K45:BJ45)</f>
        <v>2</v>
      </c>
      <c r="G45" s="65"/>
      <c r="H45" s="58">
        <v>68</v>
      </c>
      <c r="I45" s="59"/>
      <c r="J45" s="60">
        <f t="shared" si="10"/>
        <v>136</v>
      </c>
      <c r="K45" s="19">
        <v>1</v>
      </c>
      <c r="L45" s="18"/>
      <c r="M45" s="18"/>
      <c r="N45" s="17"/>
      <c r="O45" s="62"/>
      <c r="P45" s="18"/>
      <c r="Q45" s="18"/>
      <c r="R45" s="17"/>
      <c r="S45" s="62"/>
      <c r="T45" s="18"/>
      <c r="U45" s="18"/>
      <c r="V45" s="18"/>
      <c r="W45" s="17"/>
      <c r="X45" s="19"/>
      <c r="Y45" s="18"/>
      <c r="Z45" s="18"/>
      <c r="AA45" s="17"/>
      <c r="AB45" s="19"/>
      <c r="AC45" s="18"/>
      <c r="AD45" s="18"/>
      <c r="AE45" s="17"/>
      <c r="AF45" s="62"/>
      <c r="AG45" s="18"/>
      <c r="AH45" s="18"/>
      <c r="AI45" s="18"/>
      <c r="AJ45" s="17"/>
      <c r="AK45" s="62"/>
      <c r="AL45" s="18"/>
      <c r="AM45" s="18"/>
      <c r="AN45" s="17"/>
      <c r="AO45" s="19">
        <v>1</v>
      </c>
      <c r="AP45" s="18"/>
      <c r="AQ45" s="18"/>
      <c r="AR45" s="17"/>
      <c r="AS45" s="62"/>
      <c r="AT45" s="18"/>
      <c r="AU45" s="18"/>
      <c r="AV45" s="18"/>
      <c r="AW45" s="17"/>
      <c r="AX45" s="62"/>
      <c r="AY45" s="18"/>
      <c r="AZ45" s="18"/>
      <c r="BA45" s="17"/>
      <c r="BB45" s="19"/>
      <c r="BC45" s="18"/>
      <c r="BD45" s="18"/>
      <c r="BE45" s="17"/>
      <c r="BF45" s="19"/>
      <c r="BG45" s="18"/>
      <c r="BH45" s="18"/>
      <c r="BI45" s="18"/>
      <c r="BJ45" s="17"/>
    </row>
    <row r="46" spans="1:62" ht="31.5" customHeight="1" thickBot="1" x14ac:dyDescent="0.25">
      <c r="A46" s="25"/>
      <c r="B46" s="92" t="s">
        <v>54</v>
      </c>
      <c r="C46" s="67" t="s">
        <v>22</v>
      </c>
      <c r="D46" s="67"/>
      <c r="E46" s="67"/>
      <c r="F46" s="67"/>
      <c r="G46" s="68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9"/>
    </row>
    <row r="47" spans="1:62" ht="31.5" customHeight="1" x14ac:dyDescent="0.2">
      <c r="A47" s="25"/>
      <c r="B47" s="93"/>
      <c r="C47" s="63" t="s">
        <v>36</v>
      </c>
      <c r="D47" s="15" t="s">
        <v>38</v>
      </c>
      <c r="E47" s="55" t="s">
        <v>37</v>
      </c>
      <c r="F47" s="14">
        <f>SUM(K47:BJ47)</f>
        <v>108</v>
      </c>
      <c r="G47" s="64">
        <v>51</v>
      </c>
      <c r="H47" s="13">
        <v>64</v>
      </c>
      <c r="I47" s="12">
        <f>F47*G47</f>
        <v>5508</v>
      </c>
      <c r="J47" s="61">
        <f t="shared" ref="J47:J50" si="12">H47*F47</f>
        <v>6912</v>
      </c>
      <c r="K47" s="19">
        <v>8</v>
      </c>
      <c r="L47" s="18"/>
      <c r="M47" s="18">
        <v>10</v>
      </c>
      <c r="N47" s="17"/>
      <c r="O47" s="62"/>
      <c r="P47" s="18"/>
      <c r="Q47" s="18"/>
      <c r="R47" s="17"/>
      <c r="S47" s="62"/>
      <c r="T47" s="18"/>
      <c r="U47" s="18"/>
      <c r="V47" s="18"/>
      <c r="W47" s="17"/>
      <c r="X47" s="19">
        <v>8</v>
      </c>
      <c r="Y47" s="18"/>
      <c r="Z47" s="18">
        <v>10</v>
      </c>
      <c r="AA47" s="17"/>
      <c r="AB47" s="19">
        <v>8</v>
      </c>
      <c r="AC47" s="18"/>
      <c r="AD47" s="18">
        <v>10</v>
      </c>
      <c r="AE47" s="17"/>
      <c r="AF47" s="62"/>
      <c r="AG47" s="18"/>
      <c r="AH47" s="18"/>
      <c r="AI47" s="18"/>
      <c r="AJ47" s="17"/>
      <c r="AK47" s="62"/>
      <c r="AL47" s="18"/>
      <c r="AM47" s="18"/>
      <c r="AN47" s="17"/>
      <c r="AO47" s="19">
        <v>8</v>
      </c>
      <c r="AP47" s="18"/>
      <c r="AQ47" s="18">
        <v>10</v>
      </c>
      <c r="AR47" s="17"/>
      <c r="AS47" s="62"/>
      <c r="AT47" s="18"/>
      <c r="AU47" s="18"/>
      <c r="AV47" s="18"/>
      <c r="AW47" s="17"/>
      <c r="AX47" s="62"/>
      <c r="AY47" s="18"/>
      <c r="AZ47" s="18"/>
      <c r="BA47" s="17"/>
      <c r="BB47" s="19">
        <v>8</v>
      </c>
      <c r="BC47" s="18"/>
      <c r="BD47" s="18">
        <v>10</v>
      </c>
      <c r="BE47" s="17"/>
      <c r="BF47" s="19">
        <v>8</v>
      </c>
      <c r="BG47" s="18"/>
      <c r="BH47" s="18">
        <v>10</v>
      </c>
      <c r="BI47" s="18"/>
      <c r="BJ47" s="17"/>
    </row>
    <row r="48" spans="1:62" ht="31.5" customHeight="1" x14ac:dyDescent="0.2">
      <c r="A48" s="25"/>
      <c r="B48" s="93"/>
      <c r="C48" s="80" t="s">
        <v>29</v>
      </c>
      <c r="D48" s="81" t="s">
        <v>38</v>
      </c>
      <c r="E48" s="82" t="s">
        <v>28</v>
      </c>
      <c r="F48" s="57">
        <f t="shared" ref="F48:F49" si="13">SUM(K48:BJ48)</f>
        <v>11</v>
      </c>
      <c r="G48" s="65"/>
      <c r="H48" s="58">
        <v>61</v>
      </c>
      <c r="I48" s="59"/>
      <c r="J48" s="83">
        <f t="shared" si="12"/>
        <v>671</v>
      </c>
      <c r="K48" s="19">
        <v>2</v>
      </c>
      <c r="L48" s="18"/>
      <c r="M48" s="18">
        <v>1</v>
      </c>
      <c r="N48" s="17"/>
      <c r="O48" s="62"/>
      <c r="P48" s="18"/>
      <c r="Q48" s="18"/>
      <c r="R48" s="17"/>
      <c r="S48" s="62"/>
      <c r="T48" s="18"/>
      <c r="U48" s="18"/>
      <c r="V48" s="18"/>
      <c r="W48" s="17"/>
      <c r="X48" s="19">
        <v>1</v>
      </c>
      <c r="Y48" s="18"/>
      <c r="Z48" s="18"/>
      <c r="AA48" s="17"/>
      <c r="AB48" s="19">
        <v>1</v>
      </c>
      <c r="AC48" s="18"/>
      <c r="AD48" s="18"/>
      <c r="AE48" s="17"/>
      <c r="AF48" s="62"/>
      <c r="AG48" s="18"/>
      <c r="AH48" s="18"/>
      <c r="AI48" s="18"/>
      <c r="AJ48" s="17"/>
      <c r="AK48" s="62"/>
      <c r="AL48" s="18"/>
      <c r="AM48" s="18"/>
      <c r="AN48" s="17"/>
      <c r="AO48" s="19">
        <v>1</v>
      </c>
      <c r="AP48" s="18"/>
      <c r="AQ48" s="18">
        <v>1</v>
      </c>
      <c r="AR48" s="17"/>
      <c r="AS48" s="62"/>
      <c r="AT48" s="18"/>
      <c r="AU48" s="18"/>
      <c r="AV48" s="18"/>
      <c r="AW48" s="17"/>
      <c r="AX48" s="62"/>
      <c r="AY48" s="18"/>
      <c r="AZ48" s="18"/>
      <c r="BA48" s="17"/>
      <c r="BB48" s="19">
        <v>1</v>
      </c>
      <c r="BC48" s="18"/>
      <c r="BD48" s="18">
        <v>1</v>
      </c>
      <c r="BE48" s="17"/>
      <c r="BF48" s="19">
        <v>1</v>
      </c>
      <c r="BG48" s="18"/>
      <c r="BH48" s="18">
        <v>1</v>
      </c>
      <c r="BI48" s="18"/>
      <c r="BJ48" s="17"/>
    </row>
    <row r="49" spans="1:62" ht="31.5" customHeight="1" x14ac:dyDescent="0.2">
      <c r="A49" s="25"/>
      <c r="B49" s="94"/>
      <c r="C49" s="72" t="s">
        <v>36</v>
      </c>
      <c r="D49" s="73" t="s">
        <v>7</v>
      </c>
      <c r="E49" s="74" t="s">
        <v>37</v>
      </c>
      <c r="F49" s="57">
        <f t="shared" si="13"/>
        <v>18</v>
      </c>
      <c r="G49" s="76">
        <v>69</v>
      </c>
      <c r="H49" s="77">
        <v>85</v>
      </c>
      <c r="I49" s="78">
        <f>F49*G49</f>
        <v>1242</v>
      </c>
      <c r="J49" s="79">
        <f t="shared" si="12"/>
        <v>1530</v>
      </c>
      <c r="K49" s="19">
        <v>3</v>
      </c>
      <c r="L49" s="18"/>
      <c r="M49" s="18"/>
      <c r="N49" s="17"/>
      <c r="O49" s="62"/>
      <c r="P49" s="18"/>
      <c r="Q49" s="18"/>
      <c r="R49" s="17"/>
      <c r="S49" s="62"/>
      <c r="T49" s="18"/>
      <c r="U49" s="18"/>
      <c r="V49" s="18"/>
      <c r="W49" s="17"/>
      <c r="X49" s="19">
        <v>3</v>
      </c>
      <c r="Y49" s="18"/>
      <c r="Z49" s="18"/>
      <c r="AA49" s="17"/>
      <c r="AB49" s="19">
        <v>3</v>
      </c>
      <c r="AC49" s="18"/>
      <c r="AD49" s="18"/>
      <c r="AE49" s="17"/>
      <c r="AF49" s="62"/>
      <c r="AG49" s="18"/>
      <c r="AH49" s="18"/>
      <c r="AI49" s="18"/>
      <c r="AJ49" s="17"/>
      <c r="AK49" s="62"/>
      <c r="AL49" s="18"/>
      <c r="AM49" s="18"/>
      <c r="AN49" s="17"/>
      <c r="AO49" s="19">
        <v>3</v>
      </c>
      <c r="AP49" s="18"/>
      <c r="AQ49" s="18"/>
      <c r="AR49" s="17"/>
      <c r="AS49" s="62"/>
      <c r="AT49" s="18"/>
      <c r="AU49" s="18"/>
      <c r="AV49" s="18"/>
      <c r="AW49" s="17"/>
      <c r="AX49" s="62"/>
      <c r="AY49" s="18"/>
      <c r="AZ49" s="18"/>
      <c r="BA49" s="17"/>
      <c r="BB49" s="19">
        <v>3</v>
      </c>
      <c r="BC49" s="18"/>
      <c r="BD49" s="18"/>
      <c r="BE49" s="17"/>
      <c r="BF49" s="19">
        <v>3</v>
      </c>
      <c r="BG49" s="18"/>
      <c r="BH49" s="18"/>
      <c r="BI49" s="18"/>
      <c r="BJ49" s="17"/>
    </row>
    <row r="50" spans="1:62" ht="31.5" customHeight="1" thickBot="1" x14ac:dyDescent="0.25">
      <c r="A50" s="25"/>
      <c r="B50" s="95"/>
      <c r="C50" s="3" t="s">
        <v>29</v>
      </c>
      <c r="D50" s="44" t="s">
        <v>7</v>
      </c>
      <c r="E50" s="54" t="s">
        <v>28</v>
      </c>
      <c r="F50" s="75">
        <f>SUM(K50:BJ50)</f>
        <v>2</v>
      </c>
      <c r="G50" s="65"/>
      <c r="H50" s="58">
        <v>81</v>
      </c>
      <c r="I50" s="59"/>
      <c r="J50" s="60">
        <f t="shared" si="12"/>
        <v>162</v>
      </c>
      <c r="K50" s="19">
        <v>1</v>
      </c>
      <c r="L50" s="18"/>
      <c r="M50" s="18"/>
      <c r="N50" s="17"/>
      <c r="O50" s="62"/>
      <c r="P50" s="18"/>
      <c r="Q50" s="18"/>
      <c r="R50" s="17"/>
      <c r="S50" s="62"/>
      <c r="T50" s="18"/>
      <c r="U50" s="18"/>
      <c r="V50" s="18"/>
      <c r="W50" s="17"/>
      <c r="X50" s="19"/>
      <c r="Y50" s="18"/>
      <c r="Z50" s="18"/>
      <c r="AA50" s="17"/>
      <c r="AB50" s="19"/>
      <c r="AC50" s="18"/>
      <c r="AD50" s="18"/>
      <c r="AE50" s="17"/>
      <c r="AF50" s="62"/>
      <c r="AG50" s="18"/>
      <c r="AH50" s="18"/>
      <c r="AI50" s="18"/>
      <c r="AJ50" s="17"/>
      <c r="AK50" s="62"/>
      <c r="AL50" s="18"/>
      <c r="AM50" s="18"/>
      <c r="AN50" s="17"/>
      <c r="AO50" s="19">
        <v>1</v>
      </c>
      <c r="AP50" s="18"/>
      <c r="AQ50" s="18"/>
      <c r="AR50" s="17"/>
      <c r="AS50" s="62"/>
      <c r="AT50" s="18"/>
      <c r="AU50" s="18"/>
      <c r="AV50" s="18"/>
      <c r="AW50" s="17"/>
      <c r="AX50" s="62"/>
      <c r="AY50" s="18"/>
      <c r="AZ50" s="18"/>
      <c r="BA50" s="17"/>
      <c r="BB50" s="19"/>
      <c r="BC50" s="18"/>
      <c r="BD50" s="18"/>
      <c r="BE50" s="17"/>
      <c r="BF50" s="19"/>
      <c r="BG50" s="18"/>
      <c r="BH50" s="18"/>
      <c r="BI50" s="18"/>
      <c r="BJ50" s="17"/>
    </row>
    <row r="51" spans="1:62" ht="31.5" customHeight="1" thickBot="1" x14ac:dyDescent="0.25">
      <c r="A51" s="25"/>
      <c r="B51" s="39" t="s">
        <v>35</v>
      </c>
      <c r="C51" s="11"/>
      <c r="D51" s="11"/>
      <c r="E51" s="11"/>
      <c r="F51" s="11"/>
      <c r="G51" s="16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56"/>
    </row>
    <row r="52" spans="1:62" ht="31.5" customHeight="1" thickBot="1" x14ac:dyDescent="0.25">
      <c r="A52" s="25"/>
      <c r="B52" s="92" t="s">
        <v>49</v>
      </c>
      <c r="C52" s="67" t="s">
        <v>22</v>
      </c>
      <c r="D52" s="67"/>
      <c r="E52" s="67"/>
      <c r="F52" s="67"/>
      <c r="G52" s="68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9"/>
    </row>
    <row r="53" spans="1:62" ht="31.5" customHeight="1" x14ac:dyDescent="0.2">
      <c r="A53" s="25"/>
      <c r="B53" s="93"/>
      <c r="C53" s="63" t="s">
        <v>36</v>
      </c>
      <c r="D53" s="15" t="s">
        <v>38</v>
      </c>
      <c r="E53" s="55" t="s">
        <v>37</v>
      </c>
      <c r="F53" s="14">
        <f>SUM(K53:BJ53)</f>
        <v>108</v>
      </c>
      <c r="G53" s="64">
        <v>34</v>
      </c>
      <c r="H53" s="13">
        <v>43</v>
      </c>
      <c r="I53" s="12">
        <f>F53*G53</f>
        <v>3672</v>
      </c>
      <c r="J53" s="61">
        <f t="shared" ref="J53:J56" si="14">H53*F53</f>
        <v>4644</v>
      </c>
      <c r="K53" s="19">
        <v>8</v>
      </c>
      <c r="L53" s="18"/>
      <c r="M53" s="18">
        <v>10</v>
      </c>
      <c r="N53" s="17"/>
      <c r="O53" s="62"/>
      <c r="P53" s="18"/>
      <c r="Q53" s="18"/>
      <c r="R53" s="17"/>
      <c r="S53" s="62"/>
      <c r="T53" s="18"/>
      <c r="U53" s="18"/>
      <c r="V53" s="18"/>
      <c r="W53" s="17"/>
      <c r="X53" s="19">
        <v>8</v>
      </c>
      <c r="Y53" s="18"/>
      <c r="Z53" s="18">
        <v>10</v>
      </c>
      <c r="AA53" s="17"/>
      <c r="AB53" s="19">
        <v>8</v>
      </c>
      <c r="AC53" s="18"/>
      <c r="AD53" s="18">
        <v>10</v>
      </c>
      <c r="AE53" s="17"/>
      <c r="AF53" s="62"/>
      <c r="AG53" s="18"/>
      <c r="AH53" s="18"/>
      <c r="AI53" s="18"/>
      <c r="AJ53" s="17"/>
      <c r="AK53" s="62"/>
      <c r="AL53" s="18"/>
      <c r="AM53" s="18"/>
      <c r="AN53" s="17"/>
      <c r="AO53" s="19">
        <v>8</v>
      </c>
      <c r="AP53" s="18"/>
      <c r="AQ53" s="18">
        <v>10</v>
      </c>
      <c r="AR53" s="17"/>
      <c r="AS53" s="62"/>
      <c r="AT53" s="18"/>
      <c r="AU53" s="18"/>
      <c r="AV53" s="18"/>
      <c r="AW53" s="17"/>
      <c r="AX53" s="62"/>
      <c r="AY53" s="18"/>
      <c r="AZ53" s="18"/>
      <c r="BA53" s="17"/>
      <c r="BB53" s="19">
        <v>8</v>
      </c>
      <c r="BC53" s="18"/>
      <c r="BD53" s="18">
        <v>10</v>
      </c>
      <c r="BE53" s="17"/>
      <c r="BF53" s="19">
        <v>8</v>
      </c>
      <c r="BG53" s="18"/>
      <c r="BH53" s="18">
        <v>10</v>
      </c>
      <c r="BI53" s="18"/>
      <c r="BJ53" s="17"/>
    </row>
    <row r="54" spans="1:62" ht="31.5" customHeight="1" x14ac:dyDescent="0.2">
      <c r="A54" s="25"/>
      <c r="B54" s="93"/>
      <c r="C54" s="80" t="s">
        <v>29</v>
      </c>
      <c r="D54" s="81" t="s">
        <v>38</v>
      </c>
      <c r="E54" s="82" t="s">
        <v>28</v>
      </c>
      <c r="F54" s="57">
        <f t="shared" ref="F54:F56" si="15">SUM(K54:BJ54)</f>
        <v>11</v>
      </c>
      <c r="G54" s="65"/>
      <c r="H54" s="58">
        <v>35</v>
      </c>
      <c r="I54" s="59"/>
      <c r="J54" s="83">
        <f t="shared" si="14"/>
        <v>385</v>
      </c>
      <c r="K54" s="19">
        <v>2</v>
      </c>
      <c r="L54" s="18"/>
      <c r="M54" s="18">
        <v>1</v>
      </c>
      <c r="N54" s="17"/>
      <c r="O54" s="62"/>
      <c r="P54" s="18"/>
      <c r="Q54" s="18"/>
      <c r="R54" s="17"/>
      <c r="S54" s="62"/>
      <c r="T54" s="18"/>
      <c r="U54" s="18"/>
      <c r="V54" s="18"/>
      <c r="W54" s="17"/>
      <c r="X54" s="19">
        <v>1</v>
      </c>
      <c r="Y54" s="18"/>
      <c r="Z54" s="18"/>
      <c r="AA54" s="17"/>
      <c r="AB54" s="19">
        <v>1</v>
      </c>
      <c r="AC54" s="18"/>
      <c r="AD54" s="18"/>
      <c r="AE54" s="17"/>
      <c r="AF54" s="62"/>
      <c r="AG54" s="18"/>
      <c r="AH54" s="18"/>
      <c r="AI54" s="18"/>
      <c r="AJ54" s="17"/>
      <c r="AK54" s="62"/>
      <c r="AL54" s="18"/>
      <c r="AM54" s="18"/>
      <c r="AN54" s="17"/>
      <c r="AO54" s="19">
        <v>1</v>
      </c>
      <c r="AP54" s="18"/>
      <c r="AQ54" s="18">
        <v>1</v>
      </c>
      <c r="AR54" s="17"/>
      <c r="AS54" s="62"/>
      <c r="AT54" s="18"/>
      <c r="AU54" s="18"/>
      <c r="AV54" s="18"/>
      <c r="AW54" s="17"/>
      <c r="AX54" s="62"/>
      <c r="AY54" s="18"/>
      <c r="AZ54" s="18"/>
      <c r="BA54" s="17"/>
      <c r="BB54" s="19">
        <v>1</v>
      </c>
      <c r="BC54" s="18"/>
      <c r="BD54" s="18">
        <v>1</v>
      </c>
      <c r="BE54" s="17"/>
      <c r="BF54" s="19">
        <v>1</v>
      </c>
      <c r="BG54" s="18"/>
      <c r="BH54" s="18">
        <v>1</v>
      </c>
      <c r="BI54" s="18"/>
      <c r="BJ54" s="17"/>
    </row>
    <row r="55" spans="1:62" ht="31.5" customHeight="1" x14ac:dyDescent="0.2">
      <c r="A55" s="25"/>
      <c r="B55" s="94"/>
      <c r="C55" s="72" t="s">
        <v>36</v>
      </c>
      <c r="D55" s="73" t="s">
        <v>7</v>
      </c>
      <c r="E55" s="74" t="s">
        <v>37</v>
      </c>
      <c r="F55" s="57">
        <f t="shared" si="15"/>
        <v>18</v>
      </c>
      <c r="G55" s="76">
        <v>45</v>
      </c>
      <c r="H55" s="77">
        <v>57</v>
      </c>
      <c r="I55" s="78">
        <f>F55*G55</f>
        <v>810</v>
      </c>
      <c r="J55" s="79">
        <f t="shared" si="14"/>
        <v>1026</v>
      </c>
      <c r="K55" s="19">
        <v>3</v>
      </c>
      <c r="L55" s="18"/>
      <c r="M55" s="18"/>
      <c r="N55" s="17"/>
      <c r="O55" s="62"/>
      <c r="P55" s="18"/>
      <c r="Q55" s="18"/>
      <c r="R55" s="17"/>
      <c r="S55" s="62"/>
      <c r="T55" s="18"/>
      <c r="U55" s="18"/>
      <c r="V55" s="18"/>
      <c r="W55" s="17"/>
      <c r="X55" s="19">
        <v>3</v>
      </c>
      <c r="Y55" s="18"/>
      <c r="Z55" s="18"/>
      <c r="AA55" s="17"/>
      <c r="AB55" s="19">
        <v>3</v>
      </c>
      <c r="AC55" s="18"/>
      <c r="AD55" s="18"/>
      <c r="AE55" s="17"/>
      <c r="AF55" s="62"/>
      <c r="AG55" s="18"/>
      <c r="AH55" s="18"/>
      <c r="AI55" s="18"/>
      <c r="AJ55" s="17"/>
      <c r="AK55" s="62"/>
      <c r="AL55" s="18"/>
      <c r="AM55" s="18"/>
      <c r="AN55" s="17"/>
      <c r="AO55" s="19">
        <v>3</v>
      </c>
      <c r="AP55" s="18"/>
      <c r="AQ55" s="18"/>
      <c r="AR55" s="17"/>
      <c r="AS55" s="62"/>
      <c r="AT55" s="18"/>
      <c r="AU55" s="18"/>
      <c r="AV55" s="18"/>
      <c r="AW55" s="17"/>
      <c r="AX55" s="62"/>
      <c r="AY55" s="18"/>
      <c r="AZ55" s="18"/>
      <c r="BA55" s="17"/>
      <c r="BB55" s="19">
        <v>3</v>
      </c>
      <c r="BC55" s="18"/>
      <c r="BD55" s="18"/>
      <c r="BE55" s="17"/>
      <c r="BF55" s="19">
        <v>3</v>
      </c>
      <c r="BG55" s="18"/>
      <c r="BH55" s="18"/>
      <c r="BI55" s="18"/>
      <c r="BJ55" s="17"/>
    </row>
    <row r="56" spans="1:62" ht="31.5" customHeight="1" thickBot="1" x14ac:dyDescent="0.25">
      <c r="A56" s="25"/>
      <c r="B56" s="95"/>
      <c r="C56" s="3" t="s">
        <v>29</v>
      </c>
      <c r="D56" s="44" t="s">
        <v>7</v>
      </c>
      <c r="E56" s="54" t="s">
        <v>28</v>
      </c>
      <c r="F56" s="75">
        <f t="shared" si="15"/>
        <v>2</v>
      </c>
      <c r="G56" s="65"/>
      <c r="H56" s="58">
        <v>46</v>
      </c>
      <c r="I56" s="59"/>
      <c r="J56" s="60">
        <f t="shared" si="14"/>
        <v>92</v>
      </c>
      <c r="K56" s="19">
        <v>1</v>
      </c>
      <c r="L56" s="18"/>
      <c r="M56" s="18"/>
      <c r="N56" s="17"/>
      <c r="O56" s="62"/>
      <c r="P56" s="18"/>
      <c r="Q56" s="18"/>
      <c r="R56" s="17"/>
      <c r="S56" s="62"/>
      <c r="T56" s="18"/>
      <c r="U56" s="18"/>
      <c r="V56" s="18"/>
      <c r="W56" s="17"/>
      <c r="X56" s="19"/>
      <c r="Y56" s="18"/>
      <c r="Z56" s="18"/>
      <c r="AA56" s="17"/>
      <c r="AB56" s="19"/>
      <c r="AC56" s="18"/>
      <c r="AD56" s="18"/>
      <c r="AE56" s="17"/>
      <c r="AF56" s="62"/>
      <c r="AG56" s="18"/>
      <c r="AH56" s="18"/>
      <c r="AI56" s="18"/>
      <c r="AJ56" s="17"/>
      <c r="AK56" s="62"/>
      <c r="AL56" s="18"/>
      <c r="AM56" s="18"/>
      <c r="AN56" s="17"/>
      <c r="AO56" s="19">
        <v>1</v>
      </c>
      <c r="AP56" s="18"/>
      <c r="AQ56" s="18"/>
      <c r="AR56" s="17"/>
      <c r="AS56" s="62"/>
      <c r="AT56" s="18"/>
      <c r="AU56" s="18"/>
      <c r="AV56" s="18"/>
      <c r="AW56" s="17"/>
      <c r="AX56" s="62"/>
      <c r="AY56" s="18"/>
      <c r="AZ56" s="18"/>
      <c r="BA56" s="17"/>
      <c r="BB56" s="19"/>
      <c r="BC56" s="18"/>
      <c r="BD56" s="18"/>
      <c r="BE56" s="17"/>
      <c r="BF56" s="19"/>
      <c r="BG56" s="18"/>
      <c r="BH56" s="18"/>
      <c r="BI56" s="18"/>
      <c r="BJ56" s="17"/>
    </row>
    <row r="57" spans="1:62" ht="31.5" customHeight="1" thickBot="1" x14ac:dyDescent="0.25">
      <c r="A57" s="25"/>
      <c r="B57" s="88" t="s">
        <v>56</v>
      </c>
      <c r="C57" s="67" t="s">
        <v>22</v>
      </c>
      <c r="D57" s="67"/>
      <c r="E57" s="67"/>
      <c r="F57" s="67"/>
      <c r="G57" s="68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9"/>
    </row>
    <row r="58" spans="1:62" ht="31.5" customHeight="1" x14ac:dyDescent="0.2">
      <c r="A58" s="25"/>
      <c r="B58" s="89"/>
      <c r="C58" s="63" t="s">
        <v>36</v>
      </c>
      <c r="D58" s="15" t="s">
        <v>38</v>
      </c>
      <c r="E58" s="55" t="s">
        <v>37</v>
      </c>
      <c r="F58" s="14">
        <f>SUM(K58:BJ58)</f>
        <v>108</v>
      </c>
      <c r="G58" s="64">
        <v>62</v>
      </c>
      <c r="H58" s="13">
        <v>46</v>
      </c>
      <c r="I58" s="12">
        <f>F58*G58</f>
        <v>6696</v>
      </c>
      <c r="J58" s="61">
        <f t="shared" ref="J58:J61" si="16">H58*F58</f>
        <v>4968</v>
      </c>
      <c r="K58" s="19">
        <v>8</v>
      </c>
      <c r="L58" s="18"/>
      <c r="M58" s="18">
        <v>10</v>
      </c>
      <c r="N58" s="17"/>
      <c r="O58" s="62"/>
      <c r="P58" s="18"/>
      <c r="Q58" s="18"/>
      <c r="R58" s="17"/>
      <c r="S58" s="62"/>
      <c r="T58" s="18"/>
      <c r="U58" s="18"/>
      <c r="V58" s="18"/>
      <c r="W58" s="17"/>
      <c r="X58" s="19">
        <v>8</v>
      </c>
      <c r="Y58" s="18"/>
      <c r="Z58" s="18">
        <v>10</v>
      </c>
      <c r="AA58" s="17"/>
      <c r="AB58" s="19">
        <v>8</v>
      </c>
      <c r="AC58" s="18"/>
      <c r="AD58" s="18">
        <v>10</v>
      </c>
      <c r="AE58" s="17"/>
      <c r="AF58" s="62"/>
      <c r="AG58" s="18"/>
      <c r="AH58" s="18"/>
      <c r="AI58" s="18"/>
      <c r="AJ58" s="17"/>
      <c r="AK58" s="62"/>
      <c r="AL58" s="18"/>
      <c r="AM58" s="18"/>
      <c r="AN58" s="17"/>
      <c r="AO58" s="19">
        <v>8</v>
      </c>
      <c r="AP58" s="18"/>
      <c r="AQ58" s="18">
        <v>10</v>
      </c>
      <c r="AR58" s="17"/>
      <c r="AS58" s="62"/>
      <c r="AT58" s="18"/>
      <c r="AU58" s="18"/>
      <c r="AV58" s="18"/>
      <c r="AW58" s="17"/>
      <c r="AX58" s="62"/>
      <c r="AY58" s="18"/>
      <c r="AZ58" s="18"/>
      <c r="BA58" s="17"/>
      <c r="BB58" s="19">
        <v>8</v>
      </c>
      <c r="BC58" s="18"/>
      <c r="BD58" s="18">
        <v>10</v>
      </c>
      <c r="BE58" s="17"/>
      <c r="BF58" s="19">
        <v>8</v>
      </c>
      <c r="BG58" s="18"/>
      <c r="BH58" s="18">
        <v>10</v>
      </c>
      <c r="BI58" s="18"/>
      <c r="BJ58" s="17"/>
    </row>
    <row r="59" spans="1:62" ht="31.5" customHeight="1" x14ac:dyDescent="0.2">
      <c r="A59" s="25"/>
      <c r="B59" s="89"/>
      <c r="C59" s="80" t="s">
        <v>29</v>
      </c>
      <c r="D59" s="81" t="s">
        <v>38</v>
      </c>
      <c r="E59" s="82" t="s">
        <v>28</v>
      </c>
      <c r="F59" s="57">
        <f t="shared" ref="F59:F61" si="17">SUM(K59:BJ59)</f>
        <v>11</v>
      </c>
      <c r="G59" s="65"/>
      <c r="H59" s="58">
        <v>38</v>
      </c>
      <c r="I59" s="59"/>
      <c r="J59" s="83">
        <f t="shared" si="16"/>
        <v>418</v>
      </c>
      <c r="K59" s="19">
        <v>2</v>
      </c>
      <c r="L59" s="18"/>
      <c r="M59" s="18">
        <v>1</v>
      </c>
      <c r="N59" s="17"/>
      <c r="O59" s="62"/>
      <c r="P59" s="18"/>
      <c r="Q59" s="18"/>
      <c r="R59" s="17"/>
      <c r="S59" s="62"/>
      <c r="T59" s="18"/>
      <c r="U59" s="18"/>
      <c r="V59" s="18"/>
      <c r="W59" s="17"/>
      <c r="X59" s="19">
        <v>1</v>
      </c>
      <c r="Y59" s="18"/>
      <c r="Z59" s="18"/>
      <c r="AA59" s="17"/>
      <c r="AB59" s="19">
        <v>1</v>
      </c>
      <c r="AC59" s="18"/>
      <c r="AD59" s="18"/>
      <c r="AE59" s="17"/>
      <c r="AF59" s="62"/>
      <c r="AG59" s="18"/>
      <c r="AH59" s="18"/>
      <c r="AI59" s="18"/>
      <c r="AJ59" s="17"/>
      <c r="AK59" s="62"/>
      <c r="AL59" s="18"/>
      <c r="AM59" s="18"/>
      <c r="AN59" s="17"/>
      <c r="AO59" s="19">
        <v>1</v>
      </c>
      <c r="AP59" s="18"/>
      <c r="AQ59" s="18">
        <v>1</v>
      </c>
      <c r="AR59" s="17"/>
      <c r="AS59" s="62"/>
      <c r="AT59" s="18"/>
      <c r="AU59" s="18"/>
      <c r="AV59" s="18"/>
      <c r="AW59" s="17"/>
      <c r="AX59" s="62"/>
      <c r="AY59" s="18"/>
      <c r="AZ59" s="18"/>
      <c r="BA59" s="17"/>
      <c r="BB59" s="19">
        <v>1</v>
      </c>
      <c r="BC59" s="18"/>
      <c r="BD59" s="18">
        <v>1</v>
      </c>
      <c r="BE59" s="17"/>
      <c r="BF59" s="19">
        <v>1</v>
      </c>
      <c r="BG59" s="18"/>
      <c r="BH59" s="18">
        <v>1</v>
      </c>
      <c r="BI59" s="18"/>
      <c r="BJ59" s="17"/>
    </row>
    <row r="60" spans="1:62" ht="31.5" customHeight="1" x14ac:dyDescent="0.2">
      <c r="A60" s="25"/>
      <c r="B60" s="90"/>
      <c r="C60" s="72" t="s">
        <v>36</v>
      </c>
      <c r="D60" s="73" t="s">
        <v>7</v>
      </c>
      <c r="E60" s="74" t="s">
        <v>37</v>
      </c>
      <c r="F60" s="57">
        <f t="shared" si="17"/>
        <v>18</v>
      </c>
      <c r="G60" s="76">
        <v>83</v>
      </c>
      <c r="H60" s="77">
        <v>61</v>
      </c>
      <c r="I60" s="78">
        <f>F60*G60</f>
        <v>1494</v>
      </c>
      <c r="J60" s="79">
        <f t="shared" si="16"/>
        <v>1098</v>
      </c>
      <c r="K60" s="19">
        <v>3</v>
      </c>
      <c r="L60" s="18"/>
      <c r="M60" s="18"/>
      <c r="N60" s="17"/>
      <c r="O60" s="62"/>
      <c r="P60" s="18"/>
      <c r="Q60" s="18"/>
      <c r="R60" s="17"/>
      <c r="S60" s="62"/>
      <c r="T60" s="18"/>
      <c r="U60" s="18"/>
      <c r="V60" s="18"/>
      <c r="W60" s="17"/>
      <c r="X60" s="19">
        <v>3</v>
      </c>
      <c r="Y60" s="18"/>
      <c r="Z60" s="18"/>
      <c r="AA60" s="17"/>
      <c r="AB60" s="19">
        <v>3</v>
      </c>
      <c r="AC60" s="18"/>
      <c r="AD60" s="18"/>
      <c r="AE60" s="17"/>
      <c r="AF60" s="62"/>
      <c r="AG60" s="18"/>
      <c r="AH60" s="18"/>
      <c r="AI60" s="18"/>
      <c r="AJ60" s="17"/>
      <c r="AK60" s="62"/>
      <c r="AL60" s="18"/>
      <c r="AM60" s="18"/>
      <c r="AN60" s="17"/>
      <c r="AO60" s="19">
        <v>3</v>
      </c>
      <c r="AP60" s="18"/>
      <c r="AQ60" s="18"/>
      <c r="AR60" s="17"/>
      <c r="AS60" s="62"/>
      <c r="AT60" s="18"/>
      <c r="AU60" s="18"/>
      <c r="AV60" s="18"/>
      <c r="AW60" s="17"/>
      <c r="AX60" s="62"/>
      <c r="AY60" s="18"/>
      <c r="AZ60" s="18"/>
      <c r="BA60" s="17"/>
      <c r="BB60" s="19">
        <v>3</v>
      </c>
      <c r="BC60" s="18"/>
      <c r="BD60" s="18"/>
      <c r="BE60" s="17"/>
      <c r="BF60" s="19">
        <v>3</v>
      </c>
      <c r="BG60" s="18"/>
      <c r="BH60" s="18"/>
      <c r="BI60" s="18"/>
      <c r="BJ60" s="17"/>
    </row>
    <row r="61" spans="1:62" ht="31.5" customHeight="1" thickBot="1" x14ac:dyDescent="0.25">
      <c r="A61" s="25"/>
      <c r="B61" s="91"/>
      <c r="C61" s="3" t="s">
        <v>29</v>
      </c>
      <c r="D61" s="44" t="s">
        <v>7</v>
      </c>
      <c r="E61" s="54" t="s">
        <v>28</v>
      </c>
      <c r="F61" s="75">
        <f t="shared" si="17"/>
        <v>2</v>
      </c>
      <c r="G61" s="65"/>
      <c r="H61" s="58">
        <v>50</v>
      </c>
      <c r="I61" s="59"/>
      <c r="J61" s="60">
        <f t="shared" si="16"/>
        <v>100</v>
      </c>
      <c r="K61" s="19">
        <v>1</v>
      </c>
      <c r="L61" s="18"/>
      <c r="M61" s="18"/>
      <c r="N61" s="17"/>
      <c r="O61" s="62"/>
      <c r="P61" s="18"/>
      <c r="Q61" s="18"/>
      <c r="R61" s="17"/>
      <c r="S61" s="62"/>
      <c r="T61" s="18"/>
      <c r="U61" s="18"/>
      <c r="V61" s="18"/>
      <c r="W61" s="17"/>
      <c r="X61" s="19"/>
      <c r="Y61" s="18"/>
      <c r="Z61" s="18"/>
      <c r="AA61" s="17"/>
      <c r="AB61" s="19"/>
      <c r="AC61" s="18"/>
      <c r="AD61" s="18"/>
      <c r="AE61" s="17"/>
      <c r="AF61" s="62"/>
      <c r="AG61" s="18"/>
      <c r="AH61" s="18"/>
      <c r="AI61" s="18"/>
      <c r="AJ61" s="17"/>
      <c r="AK61" s="62"/>
      <c r="AL61" s="18"/>
      <c r="AM61" s="18"/>
      <c r="AN61" s="17"/>
      <c r="AO61" s="19">
        <v>1</v>
      </c>
      <c r="AP61" s="18"/>
      <c r="AQ61" s="18"/>
      <c r="AR61" s="17"/>
      <c r="AS61" s="62"/>
      <c r="AT61" s="18"/>
      <c r="AU61" s="18"/>
      <c r="AV61" s="18"/>
      <c r="AW61" s="17"/>
      <c r="AX61" s="62"/>
      <c r="AY61" s="18"/>
      <c r="AZ61" s="18"/>
      <c r="BA61" s="17"/>
      <c r="BB61" s="19"/>
      <c r="BC61" s="18"/>
      <c r="BD61" s="18"/>
      <c r="BE61" s="17"/>
      <c r="BF61" s="19"/>
      <c r="BG61" s="18"/>
      <c r="BH61" s="18"/>
      <c r="BI61" s="18"/>
      <c r="BJ61" s="17"/>
    </row>
    <row r="62" spans="1:62" ht="31.5" customHeight="1" thickBot="1" x14ac:dyDescent="0.25">
      <c r="A62" s="25"/>
      <c r="B62" s="92" t="s">
        <v>55</v>
      </c>
      <c r="C62" s="67" t="s">
        <v>22</v>
      </c>
      <c r="D62" s="67"/>
      <c r="E62" s="67"/>
      <c r="F62" s="67"/>
      <c r="G62" s="68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9"/>
    </row>
    <row r="63" spans="1:62" ht="31.5" customHeight="1" x14ac:dyDescent="0.2">
      <c r="A63" s="25"/>
      <c r="B63" s="93"/>
      <c r="C63" s="63" t="s">
        <v>36</v>
      </c>
      <c r="D63" s="15" t="s">
        <v>38</v>
      </c>
      <c r="E63" s="55" t="s">
        <v>37</v>
      </c>
      <c r="F63" s="14">
        <f>SUM(K63:BJ63)</f>
        <v>108</v>
      </c>
      <c r="G63" s="64">
        <v>37</v>
      </c>
      <c r="H63" s="13">
        <v>46</v>
      </c>
      <c r="I63" s="12">
        <f>F63*G63</f>
        <v>3996</v>
      </c>
      <c r="J63" s="61">
        <f t="shared" ref="J63:J66" si="18">H63*F63</f>
        <v>4968</v>
      </c>
      <c r="K63" s="19">
        <v>8</v>
      </c>
      <c r="L63" s="18"/>
      <c r="M63" s="18">
        <v>10</v>
      </c>
      <c r="N63" s="17"/>
      <c r="O63" s="62"/>
      <c r="P63" s="18"/>
      <c r="Q63" s="18"/>
      <c r="R63" s="17"/>
      <c r="S63" s="62"/>
      <c r="T63" s="18"/>
      <c r="U63" s="18"/>
      <c r="V63" s="18"/>
      <c r="W63" s="17"/>
      <c r="X63" s="19">
        <v>8</v>
      </c>
      <c r="Y63" s="18"/>
      <c r="Z63" s="18">
        <v>10</v>
      </c>
      <c r="AA63" s="17"/>
      <c r="AB63" s="19">
        <v>8</v>
      </c>
      <c r="AC63" s="18"/>
      <c r="AD63" s="18">
        <v>10</v>
      </c>
      <c r="AE63" s="17"/>
      <c r="AF63" s="62"/>
      <c r="AG63" s="18"/>
      <c r="AH63" s="18"/>
      <c r="AI63" s="18"/>
      <c r="AJ63" s="17"/>
      <c r="AK63" s="62"/>
      <c r="AL63" s="18"/>
      <c r="AM63" s="18"/>
      <c r="AN63" s="17"/>
      <c r="AO63" s="19">
        <v>8</v>
      </c>
      <c r="AP63" s="18"/>
      <c r="AQ63" s="18">
        <v>10</v>
      </c>
      <c r="AR63" s="17"/>
      <c r="AS63" s="62"/>
      <c r="AT63" s="18"/>
      <c r="AU63" s="18"/>
      <c r="AV63" s="18"/>
      <c r="AW63" s="17"/>
      <c r="AX63" s="62"/>
      <c r="AY63" s="18"/>
      <c r="AZ63" s="18"/>
      <c r="BA63" s="17"/>
      <c r="BB63" s="19">
        <v>8</v>
      </c>
      <c r="BC63" s="18"/>
      <c r="BD63" s="18">
        <v>10</v>
      </c>
      <c r="BE63" s="17"/>
      <c r="BF63" s="19">
        <v>8</v>
      </c>
      <c r="BG63" s="18"/>
      <c r="BH63" s="18">
        <v>10</v>
      </c>
      <c r="BI63" s="18"/>
      <c r="BJ63" s="17"/>
    </row>
    <row r="64" spans="1:62" ht="31.5" customHeight="1" x14ac:dyDescent="0.2">
      <c r="A64" s="25"/>
      <c r="B64" s="93"/>
      <c r="C64" s="80" t="s">
        <v>29</v>
      </c>
      <c r="D64" s="81" t="s">
        <v>38</v>
      </c>
      <c r="E64" s="82" t="s">
        <v>28</v>
      </c>
      <c r="F64" s="57">
        <f t="shared" ref="F64:F66" si="19">SUM(K64:BJ64)</f>
        <v>11</v>
      </c>
      <c r="G64" s="65"/>
      <c r="H64" s="58">
        <v>38</v>
      </c>
      <c r="I64" s="59"/>
      <c r="J64" s="83">
        <f t="shared" si="18"/>
        <v>418</v>
      </c>
      <c r="K64" s="19">
        <v>2</v>
      </c>
      <c r="L64" s="18"/>
      <c r="M64" s="18">
        <v>1</v>
      </c>
      <c r="N64" s="17"/>
      <c r="O64" s="62"/>
      <c r="P64" s="18"/>
      <c r="Q64" s="18"/>
      <c r="R64" s="17"/>
      <c r="S64" s="62"/>
      <c r="T64" s="18"/>
      <c r="U64" s="18"/>
      <c r="V64" s="18"/>
      <c r="W64" s="17"/>
      <c r="X64" s="19">
        <v>1</v>
      </c>
      <c r="Y64" s="18"/>
      <c r="Z64" s="18"/>
      <c r="AA64" s="17"/>
      <c r="AB64" s="19">
        <v>1</v>
      </c>
      <c r="AC64" s="18"/>
      <c r="AD64" s="18"/>
      <c r="AE64" s="17"/>
      <c r="AF64" s="62"/>
      <c r="AG64" s="18"/>
      <c r="AH64" s="18"/>
      <c r="AI64" s="18"/>
      <c r="AJ64" s="17"/>
      <c r="AK64" s="62"/>
      <c r="AL64" s="18"/>
      <c r="AM64" s="18"/>
      <c r="AN64" s="17"/>
      <c r="AO64" s="19">
        <v>1</v>
      </c>
      <c r="AP64" s="18"/>
      <c r="AQ64" s="18">
        <v>1</v>
      </c>
      <c r="AR64" s="17"/>
      <c r="AS64" s="62"/>
      <c r="AT64" s="18"/>
      <c r="AU64" s="18"/>
      <c r="AV64" s="18"/>
      <c r="AW64" s="17"/>
      <c r="AX64" s="62"/>
      <c r="AY64" s="18"/>
      <c r="AZ64" s="18"/>
      <c r="BA64" s="17"/>
      <c r="BB64" s="19">
        <v>1</v>
      </c>
      <c r="BC64" s="18"/>
      <c r="BD64" s="18">
        <v>1</v>
      </c>
      <c r="BE64" s="17"/>
      <c r="BF64" s="19">
        <v>1</v>
      </c>
      <c r="BG64" s="18"/>
      <c r="BH64" s="18">
        <v>1</v>
      </c>
      <c r="BI64" s="18"/>
      <c r="BJ64" s="17"/>
    </row>
    <row r="65" spans="1:62" ht="31.5" customHeight="1" x14ac:dyDescent="0.2">
      <c r="A65" s="25"/>
      <c r="B65" s="94"/>
      <c r="C65" s="72" t="s">
        <v>36</v>
      </c>
      <c r="D65" s="73" t="s">
        <v>7</v>
      </c>
      <c r="E65" s="74" t="s">
        <v>37</v>
      </c>
      <c r="F65" s="57">
        <f t="shared" si="19"/>
        <v>18</v>
      </c>
      <c r="G65" s="76">
        <v>49</v>
      </c>
      <c r="H65" s="77">
        <v>61</v>
      </c>
      <c r="I65" s="78">
        <f>F65*G65</f>
        <v>882</v>
      </c>
      <c r="J65" s="79">
        <f t="shared" si="18"/>
        <v>1098</v>
      </c>
      <c r="K65" s="19">
        <v>3</v>
      </c>
      <c r="L65" s="18"/>
      <c r="M65" s="18"/>
      <c r="N65" s="17"/>
      <c r="O65" s="62"/>
      <c r="P65" s="18"/>
      <c r="Q65" s="18"/>
      <c r="R65" s="17"/>
      <c r="S65" s="62"/>
      <c r="T65" s="18"/>
      <c r="U65" s="18"/>
      <c r="V65" s="18"/>
      <c r="W65" s="17"/>
      <c r="X65" s="19">
        <v>3</v>
      </c>
      <c r="Y65" s="18"/>
      <c r="Z65" s="18"/>
      <c r="AA65" s="17"/>
      <c r="AB65" s="19">
        <v>3</v>
      </c>
      <c r="AC65" s="18"/>
      <c r="AD65" s="18"/>
      <c r="AE65" s="17"/>
      <c r="AF65" s="62"/>
      <c r="AG65" s="18"/>
      <c r="AH65" s="18"/>
      <c r="AI65" s="18"/>
      <c r="AJ65" s="17"/>
      <c r="AK65" s="62"/>
      <c r="AL65" s="18"/>
      <c r="AM65" s="18"/>
      <c r="AN65" s="17"/>
      <c r="AO65" s="19">
        <v>3</v>
      </c>
      <c r="AP65" s="18"/>
      <c r="AQ65" s="18"/>
      <c r="AR65" s="17"/>
      <c r="AS65" s="62"/>
      <c r="AT65" s="18"/>
      <c r="AU65" s="18"/>
      <c r="AV65" s="18"/>
      <c r="AW65" s="17"/>
      <c r="AX65" s="62"/>
      <c r="AY65" s="18"/>
      <c r="AZ65" s="18"/>
      <c r="BA65" s="17"/>
      <c r="BB65" s="19">
        <v>3</v>
      </c>
      <c r="BC65" s="18"/>
      <c r="BD65" s="18"/>
      <c r="BE65" s="17"/>
      <c r="BF65" s="19">
        <v>3</v>
      </c>
      <c r="BG65" s="18"/>
      <c r="BH65" s="18"/>
      <c r="BI65" s="18"/>
      <c r="BJ65" s="17"/>
    </row>
    <row r="66" spans="1:62" ht="31.5" customHeight="1" thickBot="1" x14ac:dyDescent="0.25">
      <c r="A66" s="25"/>
      <c r="B66" s="95"/>
      <c r="C66" s="3" t="s">
        <v>29</v>
      </c>
      <c r="D66" s="44" t="s">
        <v>7</v>
      </c>
      <c r="E66" s="54" t="s">
        <v>28</v>
      </c>
      <c r="F66" s="75">
        <f t="shared" si="19"/>
        <v>2</v>
      </c>
      <c r="G66" s="65"/>
      <c r="H66" s="58">
        <v>50</v>
      </c>
      <c r="I66" s="59"/>
      <c r="J66" s="60">
        <f t="shared" si="18"/>
        <v>100</v>
      </c>
      <c r="K66" s="19">
        <v>1</v>
      </c>
      <c r="L66" s="18"/>
      <c r="M66" s="18"/>
      <c r="N66" s="17"/>
      <c r="O66" s="62"/>
      <c r="P66" s="18"/>
      <c r="Q66" s="18"/>
      <c r="R66" s="17"/>
      <c r="S66" s="62"/>
      <c r="T66" s="18"/>
      <c r="U66" s="18"/>
      <c r="V66" s="18"/>
      <c r="W66" s="17"/>
      <c r="X66" s="19"/>
      <c r="Y66" s="18"/>
      <c r="Z66" s="18"/>
      <c r="AA66" s="17"/>
      <c r="AB66" s="19"/>
      <c r="AC66" s="18"/>
      <c r="AD66" s="18"/>
      <c r="AE66" s="17"/>
      <c r="AF66" s="62"/>
      <c r="AG66" s="18"/>
      <c r="AH66" s="18"/>
      <c r="AI66" s="18"/>
      <c r="AJ66" s="17"/>
      <c r="AK66" s="62"/>
      <c r="AL66" s="18"/>
      <c r="AM66" s="18"/>
      <c r="AN66" s="17"/>
      <c r="AO66" s="19">
        <v>1</v>
      </c>
      <c r="AP66" s="18"/>
      <c r="AQ66" s="18"/>
      <c r="AR66" s="17"/>
      <c r="AS66" s="62"/>
      <c r="AT66" s="18"/>
      <c r="AU66" s="18"/>
      <c r="AV66" s="18"/>
      <c r="AW66" s="17"/>
      <c r="AX66" s="62"/>
      <c r="AY66" s="18"/>
      <c r="AZ66" s="18"/>
      <c r="BA66" s="17"/>
      <c r="BB66" s="19"/>
      <c r="BC66" s="18"/>
      <c r="BD66" s="18"/>
      <c r="BE66" s="17"/>
      <c r="BF66" s="19"/>
      <c r="BG66" s="18"/>
      <c r="BH66" s="18"/>
      <c r="BI66" s="18"/>
      <c r="BJ66" s="17"/>
    </row>
    <row r="67" spans="1:62" ht="26.25" thickBot="1" x14ac:dyDescent="0.25">
      <c r="A67" s="25"/>
      <c r="B67" s="10" t="s">
        <v>6</v>
      </c>
      <c r="C67" s="9"/>
      <c r="D67" s="9"/>
      <c r="E67" s="9"/>
      <c r="F67" s="9"/>
      <c r="G67" s="9"/>
      <c r="H67" s="9"/>
      <c r="I67" s="8">
        <f>SUM(I17:I66)</f>
        <v>59994</v>
      </c>
      <c r="J67" s="37">
        <f>SUM(J15:J15)</f>
        <v>0</v>
      </c>
      <c r="K67" s="84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6"/>
    </row>
    <row r="68" spans="1:62" ht="26.25" thickBot="1" x14ac:dyDescent="0.25">
      <c r="E68" s="7" t="s">
        <v>5</v>
      </c>
      <c r="F68" s="6">
        <f>SUM(F17:F66)</f>
        <v>1390</v>
      </c>
      <c r="I68" s="40">
        <f>SUM(I67)</f>
        <v>59994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</row>
    <row r="69" spans="1:62" ht="26.25" thickBot="1" x14ac:dyDescent="0.25">
      <c r="E69" s="70" t="s">
        <v>26</v>
      </c>
      <c r="F69" s="71">
        <f>SUM(F68)</f>
        <v>1390</v>
      </c>
    </row>
    <row r="75" spans="1:62" x14ac:dyDescent="0.2">
      <c r="C75"/>
    </row>
  </sheetData>
  <mergeCells count="47">
    <mergeCell ref="G2:G8"/>
    <mergeCell ref="H2:H8"/>
    <mergeCell ref="B10:B13"/>
    <mergeCell ref="C10:C13"/>
    <mergeCell ref="D10:D13"/>
    <mergeCell ref="E10:E13"/>
    <mergeCell ref="F10:F13"/>
    <mergeCell ref="G10:G13"/>
    <mergeCell ref="H10:H13"/>
    <mergeCell ref="I10:I13"/>
    <mergeCell ref="J10:J13"/>
    <mergeCell ref="K11:N11"/>
    <mergeCell ref="O11:R11"/>
    <mergeCell ref="K13:N13"/>
    <mergeCell ref="O13:R13"/>
    <mergeCell ref="AK13:AN13"/>
    <mergeCell ref="S11:W11"/>
    <mergeCell ref="S13:W13"/>
    <mergeCell ref="X11:AA11"/>
    <mergeCell ref="X13:AA13"/>
    <mergeCell ref="AB11:AE11"/>
    <mergeCell ref="AK10:BJ10"/>
    <mergeCell ref="K10:AJ10"/>
    <mergeCell ref="AO13:AR13"/>
    <mergeCell ref="AS13:AW13"/>
    <mergeCell ref="AX13:BA13"/>
    <mergeCell ref="BB13:BE13"/>
    <mergeCell ref="BF13:BJ13"/>
    <mergeCell ref="AO11:AR11"/>
    <mergeCell ref="AS11:AW11"/>
    <mergeCell ref="AX11:BA11"/>
    <mergeCell ref="BB11:BE11"/>
    <mergeCell ref="BF11:BJ11"/>
    <mergeCell ref="AF11:AJ11"/>
    <mergeCell ref="AK11:AN11"/>
    <mergeCell ref="AB13:AE13"/>
    <mergeCell ref="AF13:AJ13"/>
    <mergeCell ref="B16:B20"/>
    <mergeCell ref="B31:B35"/>
    <mergeCell ref="B62:B66"/>
    <mergeCell ref="B21:B25"/>
    <mergeCell ref="B26:B30"/>
    <mergeCell ref="B36:B40"/>
    <mergeCell ref="B41:B45"/>
    <mergeCell ref="B46:B50"/>
    <mergeCell ref="B52:B56"/>
    <mergeCell ref="B57:B61"/>
  </mergeCells>
  <phoneticPr fontId="21" type="noConversion"/>
  <pageMargins left="0.7" right="0.7" top="0.75" bottom="0.75" header="0.3" footer="0.3"/>
  <pageSetup paperSize="9" scale="1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E57B4C0A37045AA7279147D74DE42" ma:contentTypeVersion="18" ma:contentTypeDescription="Create a new document." ma:contentTypeScope="" ma:versionID="1ce14c719376113c3d8c3b62fc145328">
  <xsd:schema xmlns:xsd="http://www.w3.org/2001/XMLSchema" xmlns:xs="http://www.w3.org/2001/XMLSchema" xmlns:p="http://schemas.microsoft.com/office/2006/metadata/properties" xmlns:ns2="27889b5f-402a-4dae-9336-df3b0a718de4" xmlns:ns3="0ee3aef9-f0c5-43ef-915c-d7a33c765d81" targetNamespace="http://schemas.microsoft.com/office/2006/metadata/properties" ma:root="true" ma:fieldsID="7d19823cbfdd5f7ea64bb1e969c524a2" ns2:_="" ns3:_="">
    <xsd:import namespace="27889b5f-402a-4dae-9336-df3b0a718de4"/>
    <xsd:import namespace="0ee3aef9-f0c5-43ef-915c-d7a33c765d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89b5f-402a-4dae-9336-df3b0a718d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daa3c6b-32f0-4299-bb13-fba4fb2baa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3aef9-f0c5-43ef-915c-d7a33c765d8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558a4eb-07bc-4357-bc70-0ed04bb29576}" ma:internalName="TaxCatchAll" ma:showField="CatchAllData" ma:web="0ee3aef9-f0c5-43ef-915c-d7a33c765d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889b5f-402a-4dae-9336-df3b0a718de4">
      <Terms xmlns="http://schemas.microsoft.com/office/infopath/2007/PartnerControls"/>
    </lcf76f155ced4ddcb4097134ff3c332f>
    <TaxCatchAll xmlns="0ee3aef9-f0c5-43ef-915c-d7a33c765d81" xsi:nil="true"/>
  </documentManagement>
</p:properties>
</file>

<file path=customXml/itemProps1.xml><?xml version="1.0" encoding="utf-8"?>
<ds:datastoreItem xmlns:ds="http://schemas.openxmlformats.org/officeDocument/2006/customXml" ds:itemID="{570917AB-DF85-49E5-84EC-3736B777C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889b5f-402a-4dae-9336-df3b0a718de4"/>
    <ds:schemaRef ds:uri="0ee3aef9-f0c5-43ef-915c-d7a33c765d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6EBA1B-D3B7-47C4-9597-CC56615991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A86065-C65C-4C9D-AC39-169D982B8D33}">
  <ds:schemaRefs>
    <ds:schemaRef ds:uri="http://purl.org/dc/terms/"/>
    <ds:schemaRef ds:uri="http://schemas.microsoft.com/office/2006/documentManagement/types"/>
    <ds:schemaRef ds:uri="0ee3aef9-f0c5-43ef-915c-d7a33c765d81"/>
    <ds:schemaRef ds:uri="http://purl.org/dc/elements/1.1/"/>
    <ds:schemaRef ds:uri="http://purl.org/dc/dcmitype/"/>
    <ds:schemaRef ds:uri="27889b5f-402a-4dae-9336-df3b0a718de4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ARN Schedule</vt:lpstr>
      <vt:lpstr>'ARN Schedule'!Print_Area</vt:lpstr>
    </vt:vector>
  </TitlesOfParts>
  <Manager/>
  <Company>Australian Radio Network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Sian Sell</dc:creator>
  <cp:keywords/>
  <dc:description/>
  <cp:lastModifiedBy>Jordy Bartlett</cp:lastModifiedBy>
  <cp:revision/>
  <dcterms:created xsi:type="dcterms:W3CDTF">2020-12-23T04:06:23Z</dcterms:created>
  <dcterms:modified xsi:type="dcterms:W3CDTF">2025-05-09T03:03:34Z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0x010100976E57B4C0A37045AA7279147D74DE42</vt:lpwstr>
  </property>
</Properties>
</file>