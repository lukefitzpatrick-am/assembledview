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cificstar-my.sharepoint.com/personal/tessa_moritz_sen_com_au/Documents/Desktop/"/>
    </mc:Choice>
  </mc:AlternateContent>
  <xr:revisionPtr revIDLastSave="5" documentId="8_{687D5D8B-A29D-4677-B3E1-4D0AC409B92C}" xr6:coauthVersionLast="47" xr6:coauthVersionMax="47" xr10:uidLastSave="{70AA6CA1-C8A2-4B23-A5FE-C83D32037733}"/>
  <bookViews>
    <workbookView xWindow="28680" yWindow="-120" windowWidth="29040" windowHeight="15720" xr2:uid="{88098984-1A16-48B4-8660-26BB4130BE5F}"/>
  </bookViews>
  <sheets>
    <sheet name="OPTION 2" sheetId="2" r:id="rId1"/>
  </sheets>
  <externalReferences>
    <externalReference r:id="rId2"/>
  </externalReferences>
  <definedNames>
    <definedName name="_xlnm._FilterDatabase" localSheetId="0" hidden="1">'OPTION 2'!$A$14:$DP$70</definedName>
    <definedName name="AFLBrandImpactsTotal">#REF!</definedName>
    <definedName name="AFLCommercialsTotal">#REF!</definedName>
    <definedName name="AFLEntitlements">#REF!</definedName>
    <definedName name="AFLParochialCalls">#REF!</definedName>
    <definedName name="AFLProductCreditsTotal">#REF!</definedName>
    <definedName name="AFLRounds">#REF!</definedName>
    <definedName name="CCTCommercials">#REF!</definedName>
    <definedName name="CricketGrid">#REF!</definedName>
    <definedName name="FootballFixture">#REF!</definedName>
    <definedName name="FootballGrid">#REF!</definedName>
    <definedName name="Locator">#REF!</definedName>
    <definedName name="Month1" localSheetId="0">'OPTION 2'!$CS:$CS</definedName>
    <definedName name="Month10" localSheetId="0">'OPTION 2'!$DB:$DB</definedName>
    <definedName name="Month11" localSheetId="0">'OPTION 2'!$DC:$DC</definedName>
    <definedName name="Month12" localSheetId="0">'OPTION 2'!$DD:$DD</definedName>
    <definedName name="Month13" localSheetId="0">'OPTION 2'!$DE:$DE</definedName>
    <definedName name="Month14" localSheetId="0">'OPTION 2'!$DF:$DF</definedName>
    <definedName name="Month15" localSheetId="0">'OPTION 2'!$DG:$DG</definedName>
    <definedName name="Month16" localSheetId="0">'OPTION 2'!$DH:$DH</definedName>
    <definedName name="Month17" localSheetId="0">'OPTION 2'!$DI:$DI</definedName>
    <definedName name="Month18" localSheetId="0">'OPTION 2'!$DJ:$DJ</definedName>
    <definedName name="Month19" localSheetId="0">'OPTION 2'!$DK:$DK</definedName>
    <definedName name="Month2" localSheetId="0">'OPTION 2'!$CT:$CT</definedName>
    <definedName name="Month20" localSheetId="0">'OPTION 2'!$DL:$DL</definedName>
    <definedName name="Month21" localSheetId="0">'OPTION 2'!$DM:$DM</definedName>
    <definedName name="Month22" localSheetId="0">'OPTION 2'!$DN:$DN</definedName>
    <definedName name="Month23" localSheetId="0">'OPTION 2'!$DO:$DO</definedName>
    <definedName name="Month24" localSheetId="0">'OPTION 2'!$DP:$DP</definedName>
    <definedName name="Month3" localSheetId="0">'OPTION 2'!$CU:$CU</definedName>
    <definedName name="Month4" localSheetId="0">'OPTION 2'!$CV:$CV</definedName>
    <definedName name="Month5" localSheetId="0">'OPTION 2'!$CW:$CW</definedName>
    <definedName name="Month6" localSheetId="0">'OPTION 2'!$CX:$CX</definedName>
    <definedName name="Month7" localSheetId="0">'OPTION 2'!$CY:$CY</definedName>
    <definedName name="Month8" localSheetId="0">'OPTION 2'!$CZ:$CZ</definedName>
    <definedName name="Month9" localSheetId="0">'OPTION 2'!$DA:$DA</definedName>
    <definedName name="NRLBrandImpactsFinals">#REF!</definedName>
    <definedName name="NRLBrandImpactsTotal">#REF!</definedName>
    <definedName name="NRLCommercialsFinals">#REF!</definedName>
    <definedName name="NRLCommercialsTotal">#REF!</definedName>
    <definedName name="NRLEntitlements">#REF!</definedName>
    <definedName name="NRLProductCreditsFinals">#REF!</definedName>
    <definedName name="NRLProductCreditsTotal">#REF!</definedName>
    <definedName name="NRLRounds">#REF!</definedName>
    <definedName name="_xlnm.Print_Area" localSheetId="0">'OPTION 2'!$A$1:$CI$84</definedName>
    <definedName name="_xlnm.Print_Titles" localSheetId="0">'OPTION 2'!$15:$17</definedName>
    <definedName name="ProductCodeGrid">#REF!</definedName>
    <definedName name="ProductCodes" localSheetId="0">'OPTION 2'!$A:$A</definedName>
    <definedName name="ProductCodes">'[1]MEDIA SCHEDULE'!$A:$A</definedName>
    <definedName name="TotalCasualValue" localSheetId="0">'OPTION 2'!#REF!</definedName>
    <definedName name="TotalCasualValue">'[1]MEDIA SCHEDULE'!#REF!</definedName>
    <definedName name="TotalInvestment" localSheetId="0">'OPTION 2'!#REF!</definedName>
    <definedName name="TotalInvestment">'[1]MEDIA SCHEDULE'!#REF!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41" i="2" l="1"/>
  <c r="CE40" i="2"/>
  <c r="CE39" i="2"/>
  <c r="CE38" i="2"/>
  <c r="CE37" i="2"/>
  <c r="CE36" i="2"/>
  <c r="CE35" i="2"/>
  <c r="CE34" i="2"/>
  <c r="CE33" i="2"/>
  <c r="CE32" i="2"/>
  <c r="CH32" i="2" s="1"/>
  <c r="CE31" i="2"/>
  <c r="CE30" i="2"/>
  <c r="CE29" i="2"/>
  <c r="CE28" i="2"/>
  <c r="CE27" i="2"/>
  <c r="CE26" i="2"/>
  <c r="CE25" i="2"/>
  <c r="CE24" i="2"/>
  <c r="CE23" i="2"/>
  <c r="CE22" i="2"/>
  <c r="CE21" i="2"/>
  <c r="CE20" i="2"/>
  <c r="CN40" i="2" l="1"/>
  <c r="CH40" i="2"/>
  <c r="CF40" i="2"/>
  <c r="CH37" i="2"/>
  <c r="CN37" i="2"/>
  <c r="CF37" i="2"/>
  <c r="CN32" i="2"/>
  <c r="CF32" i="2"/>
  <c r="CN33" i="2" l="1"/>
  <c r="CF24" i="2"/>
  <c r="CF33" i="2" l="1"/>
  <c r="CH33" i="2"/>
  <c r="CH23" i="2"/>
  <c r="CF23" i="2"/>
  <c r="CH24" i="2"/>
  <c r="CI86" i="2" l="1"/>
  <c r="CH86" i="2"/>
  <c r="CI85" i="2"/>
  <c r="CH85" i="2"/>
  <c r="CI84" i="2"/>
  <c r="CH84" i="2"/>
  <c r="CI83" i="2"/>
  <c r="CH83" i="2"/>
  <c r="CI82" i="2"/>
  <c r="CH82" i="2"/>
  <c r="CI81" i="2"/>
  <c r="CH81" i="2"/>
  <c r="CI80" i="2"/>
  <c r="CH80" i="2"/>
  <c r="CI79" i="2"/>
  <c r="CH79" i="2"/>
  <c r="CI78" i="2"/>
  <c r="CH78" i="2"/>
  <c r="CI77" i="2"/>
  <c r="CH77" i="2"/>
  <c r="CI76" i="2"/>
  <c r="CH76" i="2"/>
  <c r="CI75" i="2"/>
  <c r="CH75" i="2"/>
  <c r="CI74" i="2"/>
  <c r="CH74" i="2"/>
  <c r="CI73" i="2"/>
  <c r="CH73" i="2"/>
  <c r="CI72" i="2"/>
  <c r="CH72" i="2"/>
  <c r="CI70" i="2"/>
  <c r="CH70" i="2"/>
  <c r="CI69" i="2"/>
  <c r="CH69" i="2"/>
  <c r="CI68" i="2"/>
  <c r="CH68" i="2"/>
  <c r="CI67" i="2"/>
  <c r="CH67" i="2"/>
  <c r="CI66" i="2"/>
  <c r="CH66" i="2"/>
  <c r="CI65" i="2"/>
  <c r="CH65" i="2"/>
  <c r="CI64" i="2"/>
  <c r="CH64" i="2"/>
  <c r="CI63" i="2"/>
  <c r="CH63" i="2"/>
  <c r="CI62" i="2"/>
  <c r="CH62" i="2"/>
  <c r="CI61" i="2"/>
  <c r="CH61" i="2"/>
  <c r="CI60" i="2"/>
  <c r="CH60" i="2"/>
  <c r="CI46" i="2"/>
  <c r="CL42" i="2"/>
  <c r="CK42" i="2"/>
  <c r="CJ42" i="2"/>
  <c r="CN41" i="2"/>
  <c r="CF39" i="2"/>
  <c r="DN36" i="2"/>
  <c r="DG36" i="2"/>
  <c r="CN35" i="2"/>
  <c r="CF34" i="2"/>
  <c r="CF30" i="2"/>
  <c r="CZ28" i="2"/>
  <c r="CF28" i="2"/>
  <c r="CF25" i="2"/>
  <c r="CN20" i="2"/>
  <c r="DC19" i="2"/>
  <c r="CE19" i="2"/>
  <c r="CF19" i="2" s="1"/>
  <c r="CS17" i="2"/>
  <c r="CS40" i="2" s="1"/>
  <c r="F17" i="2"/>
  <c r="G17" i="2" s="1"/>
  <c r="G15" i="2" s="1"/>
  <c r="CT16" i="2"/>
  <c r="CT17" i="2" s="1"/>
  <c r="CT40" i="2" s="1"/>
  <c r="E15" i="2"/>
  <c r="B14" i="2"/>
  <c r="CT32" i="2" l="1"/>
  <c r="CT37" i="2"/>
  <c r="CS32" i="2"/>
  <c r="CS37" i="2"/>
  <c r="CS33" i="2"/>
  <c r="CT41" i="2"/>
  <c r="CT33" i="2"/>
  <c r="CH30" i="2"/>
  <c r="DK19" i="2"/>
  <c r="F15" i="2"/>
  <c r="DI28" i="2"/>
  <c r="CN34" i="2"/>
  <c r="CN30" i="2"/>
  <c r="DP28" i="2"/>
  <c r="CT19" i="2"/>
  <c r="DJ19" i="2"/>
  <c r="DF36" i="2"/>
  <c r="CS28" i="2"/>
  <c r="CU19" i="2"/>
  <c r="DA28" i="2"/>
  <c r="CX36" i="2"/>
  <c r="DB19" i="2"/>
  <c r="DH28" i="2"/>
  <c r="CY36" i="2"/>
  <c r="DO36" i="2"/>
  <c r="CH26" i="2"/>
  <c r="CH31" i="2"/>
  <c r="CF36" i="2"/>
  <c r="CH36" i="2"/>
  <c r="CH19" i="2"/>
  <c r="CN39" i="2"/>
  <c r="CH25" i="2"/>
  <c r="CN25" i="2"/>
  <c r="CN21" i="2"/>
  <c r="CF21" i="2"/>
  <c r="CH21" i="2"/>
  <c r="CF20" i="2"/>
  <c r="CH20" i="2"/>
  <c r="CU16" i="2"/>
  <c r="CS29" i="2"/>
  <c r="CS38" i="2"/>
  <c r="CS30" i="2"/>
  <c r="CS39" i="2"/>
  <c r="CS34" i="2"/>
  <c r="CS41" i="2"/>
  <c r="CS35" i="2"/>
  <c r="CS31" i="2"/>
  <c r="CT38" i="2"/>
  <c r="CT30" i="2"/>
  <c r="CT39" i="2"/>
  <c r="CT34" i="2"/>
  <c r="CT29" i="2"/>
  <c r="CT31" i="2"/>
  <c r="CT35" i="2"/>
  <c r="H17" i="2"/>
  <c r="CN27" i="2"/>
  <c r="CH27" i="2"/>
  <c r="CN29" i="2"/>
  <c r="CH29" i="2"/>
  <c r="CF29" i="2"/>
  <c r="CN22" i="2"/>
  <c r="CH22" i="2"/>
  <c r="CF22" i="2"/>
  <c r="CF27" i="2"/>
  <c r="CN38" i="2"/>
  <c r="CH38" i="2"/>
  <c r="DL36" i="2"/>
  <c r="DD36" i="2"/>
  <c r="CV36" i="2"/>
  <c r="DN28" i="2"/>
  <c r="DF28" i="2"/>
  <c r="CX28" i="2"/>
  <c r="DP19" i="2"/>
  <c r="DH19" i="2"/>
  <c r="CZ19" i="2"/>
  <c r="DK36" i="2"/>
  <c r="DC36" i="2"/>
  <c r="CU36" i="2"/>
  <c r="DM28" i="2"/>
  <c r="DE28" i="2"/>
  <c r="CW28" i="2"/>
  <c r="DO19" i="2"/>
  <c r="DG19" i="2"/>
  <c r="CY19" i="2"/>
  <c r="DJ36" i="2"/>
  <c r="DB36" i="2"/>
  <c r="CT36" i="2"/>
  <c r="DL28" i="2"/>
  <c r="DD28" i="2"/>
  <c r="CV28" i="2"/>
  <c r="DN19" i="2"/>
  <c r="DF19" i="2"/>
  <c r="CX19" i="2"/>
  <c r="DI36" i="2"/>
  <c r="DA36" i="2"/>
  <c r="CS36" i="2"/>
  <c r="DK28" i="2"/>
  <c r="DC28" i="2"/>
  <c r="CU28" i="2"/>
  <c r="DM19" i="2"/>
  <c r="DE19" i="2"/>
  <c r="CW19" i="2"/>
  <c r="DP36" i="2"/>
  <c r="DH36" i="2"/>
  <c r="CZ36" i="2"/>
  <c r="DJ28" i="2"/>
  <c r="DB28" i="2"/>
  <c r="CT28" i="2"/>
  <c r="DL19" i="2"/>
  <c r="DD19" i="2"/>
  <c r="CV19" i="2"/>
  <c r="CI45" i="2"/>
  <c r="DM36" i="2"/>
  <c r="DE36" i="2"/>
  <c r="CW36" i="2"/>
  <c r="DO28" i="2"/>
  <c r="DG28" i="2"/>
  <c r="CY28" i="2"/>
  <c r="DI19" i="2"/>
  <c r="DA19" i="2"/>
  <c r="CS19" i="2"/>
  <c r="CF38" i="2"/>
  <c r="CN26" i="2"/>
  <c r="CH28" i="2"/>
  <c r="CN31" i="2"/>
  <c r="CH34" i="2"/>
  <c r="CH39" i="2"/>
  <c r="CF35" i="2"/>
  <c r="CF41" i="2"/>
  <c r="CF26" i="2"/>
  <c r="CF31" i="2"/>
  <c r="CH35" i="2"/>
  <c r="CH41" i="2"/>
  <c r="CH42" i="2" l="1"/>
  <c r="CN42" i="2"/>
  <c r="CT26" i="2"/>
  <c r="CT20" i="2"/>
  <c r="CI47" i="2"/>
  <c r="CI48" i="2" s="1"/>
  <c r="CT21" i="2"/>
  <c r="CS27" i="2"/>
  <c r="I17" i="2"/>
  <c r="H15" i="2"/>
  <c r="CS21" i="2"/>
  <c r="CS25" i="2"/>
  <c r="CS26" i="2"/>
  <c r="CV16" i="2"/>
  <c r="CU17" i="2"/>
  <c r="CU40" i="2" s="1"/>
  <c r="CS22" i="2"/>
  <c r="CT27" i="2"/>
  <c r="CS20" i="2"/>
  <c r="CT22" i="2"/>
  <c r="CT25" i="2"/>
  <c r="CU32" i="2" l="1"/>
  <c r="CU37" i="2"/>
  <c r="CU33" i="2"/>
  <c r="J17" i="2"/>
  <c r="I15" i="2"/>
  <c r="CU30" i="2"/>
  <c r="CU39" i="2"/>
  <c r="CU34" i="2"/>
  <c r="CU31" i="2"/>
  <c r="CU38" i="2"/>
  <c r="CU35" i="2"/>
  <c r="CU41" i="2"/>
  <c r="CU29" i="2"/>
  <c r="CU22" i="2"/>
  <c r="CU27" i="2"/>
  <c r="CU20" i="2"/>
  <c r="CU26" i="2"/>
  <c r="CU21" i="2"/>
  <c r="CU25" i="2"/>
  <c r="CV17" i="2"/>
  <c r="CV40" i="2" s="1"/>
  <c r="CW16" i="2"/>
  <c r="CV32" i="2" l="1"/>
  <c r="CV37" i="2"/>
  <c r="CV33" i="2"/>
  <c r="CV30" i="2"/>
  <c r="CV39" i="2"/>
  <c r="CV34" i="2"/>
  <c r="CV31" i="2"/>
  <c r="CV41" i="2"/>
  <c r="CV35" i="2"/>
  <c r="CV29" i="2"/>
  <c r="CV27" i="2"/>
  <c r="CV22" i="2"/>
  <c r="CV38" i="2"/>
  <c r="CV25" i="2"/>
  <c r="CV26" i="2"/>
  <c r="CV21" i="2"/>
  <c r="CV20" i="2"/>
  <c r="CW17" i="2"/>
  <c r="CW40" i="2" s="1"/>
  <c r="CX16" i="2"/>
  <c r="J15" i="2"/>
  <c r="K17" i="2"/>
  <c r="CW32" i="2" l="1"/>
  <c r="CW37" i="2"/>
  <c r="CW33" i="2"/>
  <c r="L17" i="2"/>
  <c r="K15" i="2"/>
  <c r="CX17" i="2"/>
  <c r="CX40" i="2" s="1"/>
  <c r="CY16" i="2"/>
  <c r="CW39" i="2"/>
  <c r="CW34" i="2"/>
  <c r="CW31" i="2"/>
  <c r="CW41" i="2"/>
  <c r="CW35" i="2"/>
  <c r="CW29" i="2"/>
  <c r="CW30" i="2"/>
  <c r="CW38" i="2"/>
  <c r="CW27" i="2"/>
  <c r="CW20" i="2"/>
  <c r="CW21" i="2"/>
  <c r="CW26" i="2"/>
  <c r="CW22" i="2"/>
  <c r="CW25" i="2"/>
  <c r="CX32" i="2" l="1"/>
  <c r="CX37" i="2"/>
  <c r="CX33" i="2"/>
  <c r="CY17" i="2"/>
  <c r="CY40" i="2" s="1"/>
  <c r="CZ16" i="2"/>
  <c r="CX31" i="2"/>
  <c r="CX41" i="2"/>
  <c r="CX35" i="2"/>
  <c r="CX29" i="2"/>
  <c r="CX38" i="2"/>
  <c r="CX39" i="2"/>
  <c r="CX34" i="2"/>
  <c r="CX30" i="2"/>
  <c r="CX25" i="2"/>
  <c r="CX20" i="2"/>
  <c r="CX22" i="2"/>
  <c r="CX26" i="2"/>
  <c r="CX27" i="2"/>
  <c r="CX21" i="2"/>
  <c r="M17" i="2"/>
  <c r="L15" i="2"/>
  <c r="CY32" i="2" l="1"/>
  <c r="CY37" i="2"/>
  <c r="CY33" i="2"/>
  <c r="DA16" i="2"/>
  <c r="CZ17" i="2"/>
  <c r="CZ40" i="2" s="1"/>
  <c r="N17" i="2"/>
  <c r="M15" i="2"/>
  <c r="CY31" i="2"/>
  <c r="CY41" i="2"/>
  <c r="CY35" i="2"/>
  <c r="CY29" i="2"/>
  <c r="CY38" i="2"/>
  <c r="CY34" i="2"/>
  <c r="CY30" i="2"/>
  <c r="CY25" i="2"/>
  <c r="CY39" i="2"/>
  <c r="CY20" i="2"/>
  <c r="CY22" i="2"/>
  <c r="CY21" i="2"/>
  <c r="CY26" i="2"/>
  <c r="CY27" i="2"/>
  <c r="CZ32" i="2" l="1"/>
  <c r="CZ37" i="2"/>
  <c r="CZ33" i="2"/>
  <c r="N15" i="2"/>
  <c r="O17" i="2"/>
  <c r="CZ41" i="2"/>
  <c r="CZ35" i="2"/>
  <c r="CZ29" i="2"/>
  <c r="CZ38" i="2"/>
  <c r="CZ30" i="2"/>
  <c r="CZ31" i="2"/>
  <c r="CZ21" i="2"/>
  <c r="CZ39" i="2"/>
  <c r="CZ34" i="2"/>
  <c r="CZ22" i="2"/>
  <c r="CZ25" i="2"/>
  <c r="CZ20" i="2"/>
  <c r="CZ27" i="2"/>
  <c r="CZ26" i="2"/>
  <c r="DB16" i="2"/>
  <c r="DA17" i="2"/>
  <c r="DA40" i="2" s="1"/>
  <c r="DA32" i="2" l="1"/>
  <c r="DA37" i="2"/>
  <c r="DA33" i="2"/>
  <c r="DA29" i="2"/>
  <c r="DA38" i="2"/>
  <c r="DA30" i="2"/>
  <c r="DA39" i="2"/>
  <c r="DA34" i="2"/>
  <c r="DA41" i="2"/>
  <c r="DA35" i="2"/>
  <c r="DA26" i="2"/>
  <c r="DA21" i="2"/>
  <c r="DA31" i="2"/>
  <c r="DA20" i="2"/>
  <c r="DA22" i="2"/>
  <c r="DA27" i="2"/>
  <c r="DA25" i="2"/>
  <c r="O15" i="2"/>
  <c r="P17" i="2"/>
  <c r="DB17" i="2"/>
  <c r="DB40" i="2" s="1"/>
  <c r="DC16" i="2"/>
  <c r="DB32" i="2" l="1"/>
  <c r="DB37" i="2"/>
  <c r="DB33" i="2"/>
  <c r="DC17" i="2"/>
  <c r="DC40" i="2" s="1"/>
  <c r="DD16" i="2"/>
  <c r="DB38" i="2"/>
  <c r="DB30" i="2"/>
  <c r="DB39" i="2"/>
  <c r="DB34" i="2"/>
  <c r="DB29" i="2"/>
  <c r="DB31" i="2"/>
  <c r="DB41" i="2"/>
  <c r="DB35" i="2"/>
  <c r="DB26" i="2"/>
  <c r="DB25" i="2"/>
  <c r="DB22" i="2"/>
  <c r="DB27" i="2"/>
  <c r="DB21" i="2"/>
  <c r="DB20" i="2"/>
  <c r="Q17" i="2"/>
  <c r="P15" i="2"/>
  <c r="DC32" i="2" l="1"/>
  <c r="DC37" i="2"/>
  <c r="DC33" i="2"/>
  <c r="DD17" i="2"/>
  <c r="DD40" i="2" s="1"/>
  <c r="DE16" i="2"/>
  <c r="R17" i="2"/>
  <c r="Q15" i="2"/>
  <c r="DC30" i="2"/>
  <c r="DC39" i="2"/>
  <c r="DC34" i="2"/>
  <c r="DC31" i="2"/>
  <c r="DC38" i="2"/>
  <c r="DC29" i="2"/>
  <c r="DC22" i="2"/>
  <c r="DC35" i="2"/>
  <c r="DC41" i="2"/>
  <c r="DC20" i="2"/>
  <c r="DC21" i="2"/>
  <c r="DC26" i="2"/>
  <c r="DC25" i="2"/>
  <c r="DC27" i="2"/>
  <c r="DD32" i="2" l="1"/>
  <c r="DD37" i="2"/>
  <c r="DD33" i="2"/>
  <c r="S17" i="2"/>
  <c r="R15" i="2"/>
  <c r="DE17" i="2"/>
  <c r="DE40" i="2" s="1"/>
  <c r="DF16" i="2"/>
  <c r="DD30" i="2"/>
  <c r="DD39" i="2"/>
  <c r="DD34" i="2"/>
  <c r="DD31" i="2"/>
  <c r="DD41" i="2"/>
  <c r="DD35" i="2"/>
  <c r="DD29" i="2"/>
  <c r="DD27" i="2"/>
  <c r="DD22" i="2"/>
  <c r="DD38" i="2"/>
  <c r="DD25" i="2"/>
  <c r="DD26" i="2"/>
  <c r="DD20" i="2"/>
  <c r="DD21" i="2"/>
  <c r="DE32" i="2" l="1"/>
  <c r="DE37" i="2"/>
  <c r="DE33" i="2"/>
  <c r="DF17" i="2"/>
  <c r="DF40" i="2" s="1"/>
  <c r="DG16" i="2"/>
  <c r="DE39" i="2"/>
  <c r="DE34" i="2"/>
  <c r="DE31" i="2"/>
  <c r="DE41" i="2"/>
  <c r="DE35" i="2"/>
  <c r="DE29" i="2"/>
  <c r="DE30" i="2"/>
  <c r="DE20" i="2"/>
  <c r="DE38" i="2"/>
  <c r="DE27" i="2"/>
  <c r="DE21" i="2"/>
  <c r="DE22" i="2"/>
  <c r="DE26" i="2"/>
  <c r="DE25" i="2"/>
  <c r="T17" i="2"/>
  <c r="S15" i="2"/>
  <c r="DF32" i="2" l="1"/>
  <c r="DF37" i="2"/>
  <c r="DF33" i="2"/>
  <c r="U17" i="2"/>
  <c r="T15" i="2"/>
  <c r="DG17" i="2"/>
  <c r="DG40" i="2" s="1"/>
  <c r="DH16" i="2"/>
  <c r="DF31" i="2"/>
  <c r="DF41" i="2"/>
  <c r="DF35" i="2"/>
  <c r="DF29" i="2"/>
  <c r="DF38" i="2"/>
  <c r="DF39" i="2"/>
  <c r="DF34" i="2"/>
  <c r="DF25" i="2"/>
  <c r="DF20" i="2"/>
  <c r="DF30" i="2"/>
  <c r="DF26" i="2"/>
  <c r="DF27" i="2"/>
  <c r="DF21" i="2"/>
  <c r="DF22" i="2"/>
  <c r="DG32" i="2" l="1"/>
  <c r="DG37" i="2"/>
  <c r="DG33" i="2"/>
  <c r="DI16" i="2"/>
  <c r="DH17" i="2"/>
  <c r="DH40" i="2" s="1"/>
  <c r="DG31" i="2"/>
  <c r="DG41" i="2"/>
  <c r="DG35" i="2"/>
  <c r="DG29" i="2"/>
  <c r="DG38" i="2"/>
  <c r="DG39" i="2"/>
  <c r="DG30" i="2"/>
  <c r="DG34" i="2"/>
  <c r="DG25" i="2"/>
  <c r="DG20" i="2"/>
  <c r="DG22" i="2"/>
  <c r="DG21" i="2"/>
  <c r="DG27" i="2"/>
  <c r="DG26" i="2"/>
  <c r="V17" i="2"/>
  <c r="U15" i="2"/>
  <c r="DH32" i="2" l="1"/>
  <c r="DH37" i="2"/>
  <c r="DH33" i="2"/>
  <c r="V15" i="2"/>
  <c r="W17" i="2"/>
  <c r="DH41" i="2"/>
  <c r="DH35" i="2"/>
  <c r="DH29" i="2"/>
  <c r="DH38" i="2"/>
  <c r="DH30" i="2"/>
  <c r="DH31" i="2"/>
  <c r="DH21" i="2"/>
  <c r="DH39" i="2"/>
  <c r="DH34" i="2"/>
  <c r="DH25" i="2"/>
  <c r="DH27" i="2"/>
  <c r="DH20" i="2"/>
  <c r="DH22" i="2"/>
  <c r="DH26" i="2"/>
  <c r="DI17" i="2"/>
  <c r="DI40" i="2" s="1"/>
  <c r="DJ16" i="2"/>
  <c r="DI32" i="2" l="1"/>
  <c r="DI37" i="2"/>
  <c r="DI33" i="2"/>
  <c r="DJ17" i="2"/>
  <c r="DJ40" i="2" s="1"/>
  <c r="DK16" i="2"/>
  <c r="DI29" i="2"/>
  <c r="DI38" i="2"/>
  <c r="DI30" i="2"/>
  <c r="DI39" i="2"/>
  <c r="DI34" i="2"/>
  <c r="DI41" i="2"/>
  <c r="DI35" i="2"/>
  <c r="DI31" i="2"/>
  <c r="DI26" i="2"/>
  <c r="DI21" i="2"/>
  <c r="DI20" i="2"/>
  <c r="DI22" i="2"/>
  <c r="DI25" i="2"/>
  <c r="DI27" i="2"/>
  <c r="W15" i="2"/>
  <c r="X17" i="2"/>
  <c r="DJ32" i="2" l="1"/>
  <c r="DJ37" i="2"/>
  <c r="DJ33" i="2"/>
  <c r="Y17" i="2"/>
  <c r="X15" i="2"/>
  <c r="DL16" i="2"/>
  <c r="DK17" i="2"/>
  <c r="DK40" i="2" s="1"/>
  <c r="DJ38" i="2"/>
  <c r="DJ30" i="2"/>
  <c r="DJ39" i="2"/>
  <c r="DJ34" i="2"/>
  <c r="DJ29" i="2"/>
  <c r="DJ41" i="2"/>
  <c r="DJ26" i="2"/>
  <c r="DJ31" i="2"/>
  <c r="DJ35" i="2"/>
  <c r="DJ27" i="2"/>
  <c r="DJ20" i="2"/>
  <c r="DJ21" i="2"/>
  <c r="DJ25" i="2"/>
  <c r="DJ22" i="2"/>
  <c r="DK32" i="2" l="1"/>
  <c r="DK37" i="2"/>
  <c r="DK33" i="2"/>
  <c r="DK30" i="2"/>
  <c r="DK39" i="2"/>
  <c r="DK34" i="2"/>
  <c r="DK31" i="2"/>
  <c r="DK38" i="2"/>
  <c r="DK22" i="2"/>
  <c r="DK41" i="2"/>
  <c r="DK35" i="2"/>
  <c r="DK29" i="2"/>
  <c r="DK20" i="2"/>
  <c r="DK21" i="2"/>
  <c r="DK27" i="2"/>
  <c r="DK25" i="2"/>
  <c r="DK26" i="2"/>
  <c r="DL17" i="2"/>
  <c r="DL40" i="2" s="1"/>
  <c r="DM16" i="2"/>
  <c r="Z17" i="2"/>
  <c r="Y15" i="2"/>
  <c r="DL32" i="2" l="1"/>
  <c r="DL37" i="2"/>
  <c r="DL33" i="2"/>
  <c r="DM17" i="2"/>
  <c r="DM40" i="2" s="1"/>
  <c r="DN16" i="2"/>
  <c r="Z15" i="2"/>
  <c r="AA17" i="2"/>
  <c r="DL30" i="2"/>
  <c r="DL39" i="2"/>
  <c r="DL34" i="2"/>
  <c r="DL31" i="2"/>
  <c r="DL41" i="2"/>
  <c r="DL35" i="2"/>
  <c r="DL38" i="2"/>
  <c r="DL29" i="2"/>
  <c r="DL22" i="2"/>
  <c r="DL27" i="2"/>
  <c r="DL26" i="2"/>
  <c r="DL20" i="2"/>
  <c r="DL21" i="2"/>
  <c r="DL25" i="2"/>
  <c r="DM32" i="2" l="1"/>
  <c r="DM37" i="2"/>
  <c r="DM33" i="2"/>
  <c r="AB17" i="2"/>
  <c r="AA15" i="2"/>
  <c r="DN17" i="2"/>
  <c r="DN40" i="2" s="1"/>
  <c r="DO16" i="2"/>
  <c r="DM39" i="2"/>
  <c r="DM34" i="2"/>
  <c r="DM31" i="2"/>
  <c r="DM41" i="2"/>
  <c r="DM35" i="2"/>
  <c r="DM29" i="2"/>
  <c r="DM30" i="2"/>
  <c r="DM20" i="2"/>
  <c r="DM38" i="2"/>
  <c r="DM27" i="2"/>
  <c r="DM21" i="2"/>
  <c r="DM26" i="2"/>
  <c r="DM25" i="2"/>
  <c r="DM22" i="2"/>
  <c r="DN32" i="2" l="1"/>
  <c r="DN37" i="2"/>
  <c r="DN33" i="2"/>
  <c r="DO17" i="2"/>
  <c r="DO40" i="2" s="1"/>
  <c r="DP16" i="2"/>
  <c r="DP17" i="2" s="1"/>
  <c r="DP40" i="2" s="1"/>
  <c r="DN31" i="2"/>
  <c r="DN41" i="2"/>
  <c r="DN35" i="2"/>
  <c r="DN29" i="2"/>
  <c r="DN38" i="2"/>
  <c r="DN39" i="2"/>
  <c r="DN34" i="2"/>
  <c r="DN20" i="2"/>
  <c r="DN30" i="2"/>
  <c r="DN25" i="2"/>
  <c r="DN26" i="2"/>
  <c r="DN27" i="2"/>
  <c r="DN21" i="2"/>
  <c r="DN22" i="2"/>
  <c r="AC17" i="2"/>
  <c r="AB15" i="2"/>
  <c r="DP32" i="2" l="1"/>
  <c r="DP37" i="2"/>
  <c r="DO32" i="2"/>
  <c r="DO37" i="2"/>
  <c r="DP33" i="2"/>
  <c r="DO33" i="2"/>
  <c r="AD17" i="2"/>
  <c r="AC15" i="2"/>
  <c r="DP41" i="2"/>
  <c r="DP35" i="2"/>
  <c r="DP29" i="2"/>
  <c r="DP38" i="2"/>
  <c r="DP30" i="2"/>
  <c r="DP31" i="2"/>
  <c r="DP39" i="2"/>
  <c r="DP34" i="2"/>
  <c r="DP21" i="2"/>
  <c r="DP27" i="2"/>
  <c r="DP26" i="2"/>
  <c r="DP20" i="2"/>
  <c r="DP25" i="2"/>
  <c r="DP22" i="2"/>
  <c r="DO31" i="2"/>
  <c r="DO41" i="2"/>
  <c r="DO35" i="2"/>
  <c r="DO29" i="2"/>
  <c r="DO38" i="2"/>
  <c r="DO39" i="2"/>
  <c r="DO34" i="2"/>
  <c r="DO30" i="2"/>
  <c r="DO25" i="2"/>
  <c r="DO20" i="2"/>
  <c r="DO21" i="2"/>
  <c r="DO22" i="2"/>
  <c r="DO26" i="2"/>
  <c r="DO27" i="2"/>
  <c r="AD15" i="2" l="1"/>
  <c r="AE17" i="2"/>
  <c r="AE15" i="2" l="1"/>
  <c r="AF17" i="2"/>
  <c r="AG17" i="2" l="1"/>
  <c r="AF15" i="2"/>
  <c r="AH17" i="2" l="1"/>
  <c r="AG15" i="2"/>
  <c r="AH15" i="2" l="1"/>
  <c r="AI17" i="2"/>
  <c r="AJ17" i="2" l="1"/>
  <c r="AI15" i="2"/>
  <c r="AK17" i="2" l="1"/>
  <c r="AJ15" i="2"/>
  <c r="AL17" i="2" l="1"/>
  <c r="AK15" i="2"/>
  <c r="AL15" i="2" l="1"/>
  <c r="AM17" i="2"/>
  <c r="AM15" i="2" l="1"/>
  <c r="AN17" i="2"/>
  <c r="AO17" i="2" l="1"/>
  <c r="AN15" i="2"/>
  <c r="AP17" i="2" l="1"/>
  <c r="AO15" i="2"/>
  <c r="AQ17" i="2" l="1"/>
  <c r="AP15" i="2"/>
  <c r="AR17" i="2" l="1"/>
  <c r="AQ15" i="2"/>
  <c r="AS17" i="2" l="1"/>
  <c r="AR15" i="2"/>
  <c r="AT17" i="2" l="1"/>
  <c r="AS15" i="2"/>
  <c r="AT15" i="2" l="1"/>
  <c r="AU17" i="2"/>
  <c r="AU15" i="2" l="1"/>
  <c r="AV17" i="2"/>
  <c r="AW17" i="2" l="1"/>
  <c r="AV15" i="2"/>
  <c r="AX17" i="2" l="1"/>
  <c r="AW15" i="2"/>
  <c r="AX15" i="2" l="1"/>
  <c r="AY17" i="2"/>
  <c r="AZ17" i="2" l="1"/>
  <c r="AY15" i="2"/>
  <c r="BA17" i="2" l="1"/>
  <c r="AZ15" i="2"/>
  <c r="BB17" i="2" l="1"/>
  <c r="BA15" i="2"/>
  <c r="BB15" i="2" l="1"/>
  <c r="BC17" i="2"/>
  <c r="BC15" i="2" l="1"/>
  <c r="BD17" i="2"/>
  <c r="BE17" i="2" l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BD15" i="2"/>
  <c r="BE15" i="2" l="1"/>
  <c r="BF15" i="2" l="1"/>
  <c r="BG15" i="2" l="1"/>
  <c r="BH15" i="2" l="1"/>
  <c r="BI15" i="2" l="1"/>
  <c r="BJ15" i="2" l="1"/>
  <c r="BK15" i="2" l="1"/>
  <c r="BL15" i="2" l="1"/>
  <c r="BM15" i="2" l="1"/>
  <c r="BN15" i="2" l="1"/>
  <c r="BO15" i="2" l="1"/>
  <c r="BP15" i="2" l="1"/>
  <c r="BQ15" i="2" l="1"/>
  <c r="BR15" i="2" l="1"/>
  <c r="BS15" i="2" l="1"/>
  <c r="BT15" i="2" l="1"/>
  <c r="BU15" i="2" l="1"/>
  <c r="BV15" i="2" l="1"/>
  <c r="BW15" i="2" l="1"/>
  <c r="BX15" i="2" l="1"/>
  <c r="BY15" i="2" l="1"/>
  <c r="BZ15" i="2" l="1"/>
  <c r="CA15" i="2" l="1"/>
  <c r="CC15" i="2"/>
</calcChain>
</file>

<file path=xl/sharedStrings.xml><?xml version="1.0" encoding="utf-8"?>
<sst xmlns="http://schemas.openxmlformats.org/spreadsheetml/2006/main" count="161" uniqueCount="96">
  <si>
    <t>COMPANY INFORMATION</t>
  </si>
  <si>
    <t>Client:</t>
  </si>
  <si>
    <t>Contact:</t>
  </si>
  <si>
    <t>Job Title:</t>
  </si>
  <si>
    <t>Booking Agency</t>
  </si>
  <si>
    <t>Billing Agency</t>
  </si>
  <si>
    <t>Address:</t>
  </si>
  <si>
    <t>Email:</t>
  </si>
  <si>
    <t xml:space="preserve">Level 5, 111 Coventry Street, Southbank VIC 3006        </t>
  </si>
  <si>
    <t>ABN</t>
  </si>
  <si>
    <t>ABN: 63 129 637 378</t>
  </si>
  <si>
    <t>Billing Contact Email:</t>
  </si>
  <si>
    <t>Billing Contact Phone:</t>
  </si>
  <si>
    <t>SEN Representative:</t>
  </si>
  <si>
    <t>CPM</t>
  </si>
  <si>
    <t>INTERNAL USE ONLY - PLEASE REMOVE FROM CLIENT COPY</t>
  </si>
  <si>
    <r>
      <t xml:space="preserve">MEDIA SCHEDULE
</t>
    </r>
    <r>
      <rPr>
        <sz val="12"/>
        <color theme="0"/>
        <rFont val="Arial"/>
        <family val="2"/>
      </rPr>
      <t>(Week commencing Monday)</t>
    </r>
  </si>
  <si>
    <t>ENTITLEMENT</t>
  </si>
  <si>
    <t>LENGTH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</si>
  <si>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</si>
  <si>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</si>
  <si>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</si>
  <si>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</si>
  <si>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</si>
  <si>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</si>
  <si>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</si>
  <si>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</si>
  <si>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</si>
  <si>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</si>
  <si>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</si>
  <si>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</si>
  <si>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No. of  
Markets</t>
  </si>
  <si>
    <r>
      <t xml:space="preserve">Average Entitlements </t>
    </r>
    <r>
      <rPr>
        <sz val="12"/>
        <color theme="0"/>
        <rFont val="Arial"/>
        <family val="2"/>
      </rPr>
      <t>(Per Market)</t>
    </r>
  </si>
  <si>
    <r>
      <t xml:space="preserve">Total Entitlements
</t>
    </r>
    <r>
      <rPr>
        <sz val="12"/>
        <color theme="0"/>
        <rFont val="Arial"/>
        <family val="2"/>
      </rPr>
      <t>(All Markets)</t>
    </r>
  </si>
  <si>
    <r>
      <t xml:space="preserve">Casual Value
</t>
    </r>
    <r>
      <rPr>
        <sz val="12"/>
        <color theme="0"/>
        <rFont val="Arial"/>
        <family val="2"/>
      </rPr>
      <t>(All Markets)</t>
    </r>
  </si>
  <si>
    <t>Total Casual Value</t>
  </si>
  <si>
    <t>Total  Investment</t>
  </si>
  <si>
    <t>Average Audience</t>
  </si>
  <si>
    <t>Gross Impacts</t>
  </si>
  <si>
    <t>Historica/
Preferred Rate</t>
  </si>
  <si>
    <t>Preferred Investment</t>
  </si>
  <si>
    <t>Notes/Justification of rates disparity</t>
  </si>
  <si>
    <t>WEEK COMMENCING MONDAY</t>
  </si>
  <si>
    <t>S</t>
  </si>
  <si>
    <t>BMAD Commercials</t>
  </si>
  <si>
    <t>30 seconds</t>
  </si>
  <si>
    <t>NEW SOUTH WALES</t>
  </si>
  <si>
    <t>SOUTH AUSTRALIA</t>
  </si>
  <si>
    <t>WESTERN AUSTRALIA</t>
  </si>
  <si>
    <t>TOTAL</t>
  </si>
  <si>
    <t>Less Agency Commission (10%)</t>
  </si>
  <si>
    <r>
      <t xml:space="preserve">Plus </t>
    </r>
    <r>
      <rPr>
        <sz val="12"/>
        <rFont val="Arial"/>
        <family val="2"/>
      </rPr>
      <t>GST</t>
    </r>
  </si>
  <si>
    <t>TOTAL INCLUSIVE OF GST</t>
  </si>
  <si>
    <t>THE CLIENT (AGENCY)</t>
  </si>
  <si>
    <t>SPORTS ENTERTAINMENT NETWORK</t>
  </si>
  <si>
    <t>Signature:</t>
  </si>
  <si>
    <t>Name:</t>
  </si>
  <si>
    <t>Date:</t>
  </si>
  <si>
    <t xml:space="preserve">This Booking Confirmation provided by Sports Entertainment Network to The Client or Agency is for the provision of services outlined above.  	 </t>
  </si>
  <si>
    <t>INVOICE DATE</t>
  </si>
  <si>
    <t>DUE DATE</t>
  </si>
  <si>
    <t>AMOUNT (pre GST &amp; agency commission)</t>
  </si>
  <si>
    <t xml:space="preserve">The Client or Agency confirms they have read, understood and agreed to Sports Entertainment Network's </t>
  </si>
  <si>
    <t>Terms and Conditions as previously provided and agree to the Payment Schedule</t>
  </si>
  <si>
    <t>outlined within this Booking Confirmation.</t>
  </si>
  <si>
    <t xml:space="preserve">Should you require a copy of Sports Entertainment Network's Terms and Conditions please email </t>
  </si>
  <si>
    <t>receivables@sen.com.au</t>
  </si>
  <si>
    <t>For full advertising booking terms and conditions, go to:
AU: https://www.sportsentertainmentnetwork.com.au/booking-terms-conditions
NZ: https://www.sportsentertainmentnetwork.com.au/booking-terms-conditions-nz</t>
  </si>
  <si>
    <t xml:space="preserve">The Client has the exclusive right to renew this partnership until the </t>
  </si>
  <si>
    <t>subject to the continuation of the media asset(s)</t>
  </si>
  <si>
    <r>
      <rPr>
        <b/>
        <sz val="12"/>
        <color rgb="FFC00000"/>
        <rFont val="Arial"/>
        <family val="2"/>
      </rPr>
      <t>ALBURY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2AY 1494AM</t>
    </r>
  </si>
  <si>
    <r>
      <rPr>
        <b/>
        <sz val="12"/>
        <color rgb="FFC00000"/>
        <rFont val="Arial"/>
        <family val="2"/>
      </rPr>
      <t>DENILIQUIN/ECHUCA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2QN 1521AM</t>
    </r>
  </si>
  <si>
    <r>
      <rPr>
        <b/>
        <sz val="12"/>
        <color rgb="FFC00000"/>
        <rFont val="Arial"/>
        <family val="2"/>
      </rPr>
      <t>PARKES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2PK 1404AM</t>
    </r>
  </si>
  <si>
    <r>
      <rPr>
        <b/>
        <sz val="12"/>
        <color rgb="FFC00000"/>
        <rFont val="Arial"/>
        <family val="2"/>
      </rPr>
      <t>YOUNG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2LF 1350AM
(including 105.3FM Cootamundra, 100.7FM Cowra/Grenfell &amp; 104.9FM Temora)</t>
    </r>
  </si>
  <si>
    <r>
      <rPr>
        <b/>
        <sz val="12"/>
        <color rgb="FFC00000"/>
        <rFont val="Arial"/>
        <family val="2"/>
      </rPr>
      <t>WAGGA WAGGA (Riverina)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Triple M 1152AM</t>
    </r>
  </si>
  <si>
    <r>
      <rPr>
        <b/>
        <sz val="12"/>
        <color rgb="FFC00000"/>
        <rFont val="Arial"/>
        <family val="2"/>
      </rPr>
      <t xml:space="preserve">MT GAMBIER
</t>
    </r>
    <r>
      <rPr>
        <sz val="12"/>
        <rFont val="Arial"/>
        <family val="2"/>
      </rPr>
      <t xml:space="preserve"> SEN1629am</t>
    </r>
  </si>
  <si>
    <r>
      <rPr>
        <b/>
        <sz val="12"/>
        <color rgb="FFC00000"/>
        <rFont val="Arial"/>
        <family val="2"/>
      </rPr>
      <t xml:space="preserve">RIVERLAND &amp; MALLEE
</t>
    </r>
    <r>
      <rPr>
        <sz val="12"/>
        <rFont val="Arial"/>
        <family val="2"/>
      </rPr>
      <t>5RM 801AM / 91.5FM / 89.9FM</t>
    </r>
  </si>
  <si>
    <r>
      <rPr>
        <b/>
        <sz val="12"/>
        <color rgb="FFC00000"/>
        <rFont val="Arial"/>
        <family val="2"/>
      </rPr>
      <t xml:space="preserve">MURRAY BRIDGE
</t>
    </r>
    <r>
      <rPr>
        <sz val="12"/>
        <rFont val="Arial"/>
        <family val="2"/>
      </rPr>
      <t>5MU 96.3FM / 94.3FM &amp; 97.1FM</t>
    </r>
  </si>
  <si>
    <r>
      <rPr>
        <b/>
        <sz val="12"/>
        <color rgb="FFC00000"/>
        <rFont val="Arial"/>
        <family val="2"/>
      </rPr>
      <t xml:space="preserve">REMOTE SA
</t>
    </r>
    <r>
      <rPr>
        <sz val="12"/>
        <rFont val="Arial"/>
        <family val="2"/>
      </rPr>
      <t>FLOW FM</t>
    </r>
  </si>
  <si>
    <r>
      <rPr>
        <b/>
        <sz val="12"/>
        <color rgb="FFC00000"/>
        <rFont val="Arial"/>
        <family val="2"/>
      </rPr>
      <t xml:space="preserve">PORT LINCOLN &amp; EYRE PININSULA
</t>
    </r>
    <r>
      <rPr>
        <sz val="12"/>
        <rFont val="Arial"/>
        <family val="2"/>
      </rPr>
      <t>5CC 765AM / 93.9FM / 99.5FM</t>
    </r>
  </si>
  <si>
    <r>
      <rPr>
        <b/>
        <sz val="12"/>
        <color rgb="FFC00000"/>
        <rFont val="Arial"/>
        <family val="2"/>
      </rPr>
      <t xml:space="preserve">PORT AUGUSTA &amp; PORT PIRIE
</t>
    </r>
    <r>
      <rPr>
        <sz val="12"/>
        <rFont val="Arial"/>
        <family val="2"/>
      </rPr>
      <t>5AU 97.9FM / 99.1FM</t>
    </r>
  </si>
  <si>
    <r>
      <rPr>
        <b/>
        <sz val="12"/>
        <color rgb="FFC00000"/>
        <rFont val="Arial"/>
        <family val="2"/>
      </rPr>
      <t>NORTHAM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Triple M 864am</t>
    </r>
  </si>
  <si>
    <r>
      <rPr>
        <b/>
        <sz val="12"/>
        <color rgb="FFC00000"/>
        <rFont val="Arial"/>
        <family val="2"/>
      </rPr>
      <t>KATANNING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Triple M 1071am</t>
    </r>
  </si>
  <si>
    <r>
      <rPr>
        <b/>
        <sz val="12"/>
        <color rgb="FFC00000"/>
        <rFont val="Arial"/>
        <family val="2"/>
      </rPr>
      <t>NARROGIN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Triple M 918am</t>
    </r>
  </si>
  <si>
    <r>
      <rPr>
        <b/>
        <sz val="12"/>
        <color rgb="FFC00000"/>
        <rFont val="Arial"/>
        <family val="2"/>
      </rPr>
      <t>MERREDIN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Triple M 1089</t>
    </r>
  </si>
  <si>
    <t>2026</t>
  </si>
  <si>
    <t>2025</t>
  </si>
  <si>
    <r>
      <rPr>
        <b/>
        <sz val="12"/>
        <color rgb="FFC00000"/>
        <rFont val="Arial"/>
        <family val="2"/>
      </rPr>
      <t>DUBBO</t>
    </r>
    <r>
      <rPr>
        <sz val="12"/>
        <rFont val="Arial"/>
        <family val="2"/>
      </rPr>
      <t xml:space="preserve">
2DU 1251AM (&amp; 972AM Cobar)</t>
    </r>
  </si>
  <si>
    <r>
      <rPr>
        <b/>
        <sz val="12"/>
        <color rgb="FFC00000"/>
        <rFont val="Arial"/>
        <family val="2"/>
      </rPr>
      <t>MOREE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2VM 1530AM 
(including 89.5FM Goondiwindi, 92.9FM Lightening Ridge, 106.7FM Walgett, 105.5FM Mungindi &amp;103.5FM Collareebri)</t>
    </r>
  </si>
  <si>
    <r>
      <rPr>
        <b/>
        <sz val="12"/>
        <color rgb="FFC00000"/>
        <rFont val="Arial"/>
        <family val="2"/>
      </rPr>
      <t xml:space="preserve">SPENCER GULF NORTH
</t>
    </r>
    <r>
      <rPr>
        <sz val="12"/>
        <rFont val="Arial"/>
        <family val="2"/>
      </rPr>
      <t>5CS 1044AM</t>
    </r>
  </si>
  <si>
    <r>
      <t xml:space="preserve">GREAT SOUTHERN (Albany)
</t>
    </r>
    <r>
      <rPr>
        <sz val="12"/>
        <rFont val="Arial"/>
        <family val="2"/>
      </rPr>
      <t>SEN Digital Channel</t>
    </r>
  </si>
  <si>
    <r>
      <rPr>
        <b/>
        <sz val="12"/>
        <color rgb="FFC00000"/>
        <rFont val="Arial"/>
        <family val="2"/>
      </rPr>
      <t xml:space="preserve">GRIFFITH 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SENTrack 90.3FM </t>
    </r>
  </si>
  <si>
    <t xml:space="preserve">Boss Engineering </t>
  </si>
  <si>
    <t>Brad and Chelsea</t>
  </si>
  <si>
    <t xml:space="preserve">Assembled Media </t>
  </si>
  <si>
    <t>Tessa Moritz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</si>
</sst>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* #,##0_-;\-* #,##0_-;_-* &quot;-&quot;??_-;_-@_-"/>
    <numFmt numFmtId="166" formatCode="dd:mmm"/>
    <numFmt numFmtId="167" formatCode="d"/>
    <numFmt numFmtId="168" formatCode="d\ mmm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color theme="0"/>
      <name val="Arial"/>
      <family val="2"/>
    </font>
    <font>
      <b/>
      <u/>
      <sz val="12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rgb="FFC00000"/>
      <name val="Arial"/>
      <family val="2"/>
    </font>
    <font>
      <b/>
      <sz val="28"/>
      <name val="Arial"/>
      <family val="2"/>
    </font>
    <font>
      <sz val="22"/>
      <name val="Arial"/>
      <family val="2"/>
    </font>
    <font>
      <i/>
      <sz val="12"/>
      <name val="Arial"/>
      <family val="2"/>
    </font>
    <font>
      <u/>
      <sz val="24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AA7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5">
    <xf numFmtId="0" fontId="0" fillId="0" borderId="0" xfId="0"/>
    <xf numFmtId="0" fontId="4" fillId="2" borderId="0" xfId="5" applyFont="1" applyFill="1" applyAlignment="1">
      <alignment vertical="center"/>
    </xf>
    <xf numFmtId="0" fontId="4" fillId="2" borderId="0" xfId="5" applyFont="1" applyFill="1" applyAlignment="1">
      <alignment horizontal="center" vertical="center"/>
    </xf>
    <xf numFmtId="3" fontId="4" fillId="2" borderId="0" xfId="5" applyNumberFormat="1" applyFont="1" applyFill="1" applyAlignment="1">
      <alignment vertical="center"/>
    </xf>
    <xf numFmtId="0" fontId="6" fillId="2" borderId="0" xfId="5" applyFont="1" applyFill="1" applyAlignment="1">
      <alignment horizontal="left" vertical="center"/>
    </xf>
    <xf numFmtId="164" fontId="4" fillId="2" borderId="0" xfId="2" applyNumberFormat="1" applyFont="1" applyFill="1" applyAlignment="1">
      <alignment vertical="center"/>
    </xf>
    <xf numFmtId="164" fontId="4" fillId="2" borderId="0" xfId="2" applyNumberFormat="1" applyFont="1" applyFill="1" applyBorder="1" applyAlignment="1">
      <alignment vertical="center"/>
    </xf>
    <xf numFmtId="0" fontId="7" fillId="0" borderId="0" xfId="0" applyFont="1"/>
    <xf numFmtId="0" fontId="4" fillId="2" borderId="0" xfId="5" applyFont="1" applyFill="1"/>
    <xf numFmtId="164" fontId="7" fillId="0" borderId="0" xfId="2" applyNumberFormat="1" applyFont="1"/>
    <xf numFmtId="0" fontId="8" fillId="2" borderId="1" xfId="5" applyFont="1" applyFill="1" applyBorder="1" applyAlignment="1">
      <alignment horizontal="left"/>
    </xf>
    <xf numFmtId="164" fontId="8" fillId="2" borderId="1" xfId="2" applyNumberFormat="1" applyFont="1" applyFill="1" applyBorder="1" applyAlignment="1">
      <alignment horizontal="centerContinuous"/>
    </xf>
    <xf numFmtId="0" fontId="8" fillId="2" borderId="0" xfId="5" applyFont="1" applyFill="1" applyAlignment="1">
      <alignment horizontal="left"/>
    </xf>
    <xf numFmtId="164" fontId="8" fillId="2" borderId="0" xfId="2" applyNumberFormat="1" applyFont="1" applyFill="1" applyBorder="1" applyAlignment="1">
      <alignment horizontal="centerContinuous"/>
    </xf>
    <xf numFmtId="165" fontId="7" fillId="0" borderId="0" xfId="1" applyNumberFormat="1" applyFont="1"/>
    <xf numFmtId="10" fontId="4" fillId="2" borderId="0" xfId="3" applyNumberFormat="1" applyFont="1" applyFill="1" applyAlignment="1">
      <alignment vertical="center"/>
    </xf>
    <xf numFmtId="0" fontId="4" fillId="2" borderId="0" xfId="5" applyFont="1" applyFill="1" applyAlignment="1">
      <alignment horizontal="left" vertical="center"/>
    </xf>
    <xf numFmtId="49" fontId="4" fillId="2" borderId="0" xfId="5" applyNumberFormat="1" applyFont="1" applyFill="1" applyAlignment="1">
      <alignment vertical="center"/>
    </xf>
    <xf numFmtId="0" fontId="3" fillId="3" borderId="0" xfId="5" applyFill="1"/>
    <xf numFmtId="17" fontId="3" fillId="3" borderId="0" xfId="5" applyNumberFormat="1" applyFill="1"/>
    <xf numFmtId="166" fontId="4" fillId="0" borderId="0" xfId="5" applyNumberFormat="1" applyFont="1" applyAlignment="1">
      <alignment horizontal="center" vertical="center"/>
    </xf>
    <xf numFmtId="0" fontId="4" fillId="0" borderId="0" xfId="5" applyFont="1" applyAlignment="1">
      <alignment horizontal="center" vertical="center"/>
    </xf>
    <xf numFmtId="0" fontId="3" fillId="0" borderId="0" xfId="5"/>
    <xf numFmtId="44" fontId="4" fillId="2" borderId="0" xfId="2" applyFont="1" applyFill="1" applyAlignment="1">
      <alignment vertical="center"/>
    </xf>
    <xf numFmtId="0" fontId="4" fillId="2" borderId="0" xfId="5" applyFont="1" applyFill="1" applyAlignment="1">
      <alignment horizontal="right" vertical="center"/>
    </xf>
    <xf numFmtId="3" fontId="4" fillId="2" borderId="0" xfId="5" applyNumberFormat="1" applyFont="1" applyFill="1" applyAlignment="1">
      <alignment horizontal="right" vertical="center"/>
    </xf>
    <xf numFmtId="0" fontId="4" fillId="2" borderId="2" xfId="5" applyFont="1" applyFill="1" applyBorder="1" applyAlignment="1">
      <alignment horizontal="right" vertical="center"/>
    </xf>
    <xf numFmtId="164" fontId="4" fillId="2" borderId="2" xfId="2" applyNumberFormat="1" applyFont="1" applyFill="1" applyBorder="1" applyAlignment="1">
      <alignment horizontal="right" vertical="center"/>
    </xf>
    <xf numFmtId="164" fontId="4" fillId="2" borderId="0" xfId="2" applyNumberFormat="1" applyFont="1" applyFill="1" applyBorder="1" applyAlignment="1">
      <alignment horizontal="right" vertical="center"/>
    </xf>
    <xf numFmtId="0" fontId="4" fillId="2" borderId="1" xfId="5" applyFont="1" applyFill="1" applyBorder="1" applyAlignment="1">
      <alignment horizontal="right" vertical="center"/>
    </xf>
    <xf numFmtId="164" fontId="4" fillId="2" borderId="1" xfId="2" applyNumberFormat="1" applyFont="1" applyFill="1" applyBorder="1" applyAlignment="1">
      <alignment horizontal="right" vertical="center"/>
    </xf>
    <xf numFmtId="0" fontId="9" fillId="2" borderId="3" xfId="5" applyFont="1" applyFill="1" applyBorder="1" applyAlignment="1">
      <alignment horizontal="centerContinuous" vertical="center"/>
    </xf>
    <xf numFmtId="0" fontId="4" fillId="2" borderId="3" xfId="5" applyFont="1" applyFill="1" applyBorder="1" applyAlignment="1">
      <alignment horizontal="centerContinuous" vertical="center"/>
    </xf>
    <xf numFmtId="0" fontId="4" fillId="2" borderId="4" xfId="5" applyFont="1" applyFill="1" applyBorder="1" applyAlignment="1">
      <alignment horizontal="centerContinuous" vertical="center"/>
    </xf>
    <xf numFmtId="3" fontId="4" fillId="2" borderId="4" xfId="5" applyNumberFormat="1" applyFont="1" applyFill="1" applyBorder="1" applyAlignment="1">
      <alignment horizontal="centerContinuous" vertical="center"/>
    </xf>
    <xf numFmtId="0" fontId="4" fillId="2" borderId="4" xfId="5" applyFont="1" applyFill="1" applyBorder="1" applyAlignment="1">
      <alignment horizontal="centerContinuous" vertical="center" wrapText="1"/>
    </xf>
    <xf numFmtId="164" fontId="4" fillId="2" borderId="5" xfId="2" applyNumberFormat="1" applyFont="1" applyFill="1" applyBorder="1" applyAlignment="1">
      <alignment horizontal="centerContinuous" vertical="center" wrapText="1"/>
    </xf>
    <xf numFmtId="0" fontId="10" fillId="0" borderId="0" xfId="5" applyFont="1" applyAlignment="1">
      <alignment vertical="center" wrapText="1"/>
    </xf>
    <xf numFmtId="0" fontId="9" fillId="2" borderId="6" xfId="5" applyFont="1" applyFill="1" applyBorder="1" applyAlignment="1">
      <alignment horizontal="center" vertical="center"/>
    </xf>
    <xf numFmtId="0" fontId="9" fillId="2" borderId="7" xfId="5" applyFont="1" applyFill="1" applyBorder="1" applyAlignment="1">
      <alignment horizontal="center" vertical="center"/>
    </xf>
    <xf numFmtId="0" fontId="9" fillId="2" borderId="7" xfId="5" applyFont="1" applyFill="1" applyBorder="1" applyAlignment="1">
      <alignment horizontal="center" vertical="center" textRotation="90"/>
    </xf>
    <xf numFmtId="3" fontId="9" fillId="2" borderId="7" xfId="5" applyNumberFormat="1" applyFont="1" applyFill="1" applyBorder="1" applyAlignment="1">
      <alignment horizontal="center" vertical="center"/>
    </xf>
    <xf numFmtId="164" fontId="9" fillId="2" borderId="8" xfId="2" applyNumberFormat="1" applyFont="1" applyFill="1" applyBorder="1" applyAlignment="1">
      <alignment horizontal="center" vertical="center"/>
    </xf>
    <xf numFmtId="0" fontId="9" fillId="2" borderId="9" xfId="5" applyFont="1" applyFill="1" applyBorder="1" applyAlignment="1">
      <alignment horizontal="center" vertical="center"/>
    </xf>
    <xf numFmtId="164" fontId="9" fillId="2" borderId="10" xfId="2" applyNumberFormat="1" applyFont="1" applyFill="1" applyBorder="1" applyAlignment="1">
      <alignment horizontal="center" vertical="center"/>
    </xf>
    <xf numFmtId="0" fontId="0" fillId="0" borderId="10" xfId="0" applyBorder="1"/>
    <xf numFmtId="0" fontId="9" fillId="6" borderId="9" xfId="5" applyFont="1" applyFill="1" applyBorder="1" applyAlignment="1">
      <alignment horizontal="center" vertical="center"/>
    </xf>
    <xf numFmtId="164" fontId="9" fillId="6" borderId="10" xfId="2" applyNumberFormat="1" applyFont="1" applyFill="1" applyBorder="1" applyAlignment="1">
      <alignment horizontal="center" vertical="center"/>
    </xf>
    <xf numFmtId="17" fontId="10" fillId="7" borderId="12" xfId="5" applyNumberFormat="1" applyFont="1" applyFill="1" applyBorder="1" applyAlignment="1">
      <alignment horizontal="centerContinuous" vertical="center"/>
    </xf>
    <xf numFmtId="17" fontId="10" fillId="7" borderId="15" xfId="5" applyNumberFormat="1" applyFont="1" applyFill="1" applyBorder="1" applyAlignment="1">
      <alignment horizontal="centerContinuous" vertical="center"/>
    </xf>
    <xf numFmtId="17" fontId="9" fillId="2" borderId="18" xfId="5" applyNumberFormat="1" applyFont="1" applyFill="1" applyBorder="1"/>
    <xf numFmtId="17" fontId="9" fillId="2" borderId="19" xfId="5" applyNumberFormat="1" applyFont="1" applyFill="1" applyBorder="1"/>
    <xf numFmtId="17" fontId="9" fillId="2" borderId="20" xfId="5" applyNumberFormat="1" applyFont="1" applyFill="1" applyBorder="1"/>
    <xf numFmtId="0" fontId="4" fillId="2" borderId="0" xfId="5" applyFont="1" applyFill="1" applyAlignment="1">
      <alignment horizontal="center" vertical="center" readingOrder="1"/>
    </xf>
    <xf numFmtId="167" fontId="11" fillId="7" borderId="24" xfId="5" applyNumberFormat="1" applyFont="1" applyFill="1" applyBorder="1" applyAlignment="1">
      <alignment horizontal="center" vertical="center"/>
    </xf>
    <xf numFmtId="167" fontId="11" fillId="7" borderId="25" xfId="5" applyNumberFormat="1" applyFont="1" applyFill="1" applyBorder="1" applyAlignment="1">
      <alignment horizontal="center" vertical="center"/>
    </xf>
    <xf numFmtId="167" fontId="11" fillId="7" borderId="26" xfId="5" applyNumberFormat="1" applyFont="1" applyFill="1" applyBorder="1" applyAlignment="1">
      <alignment horizontal="center" vertical="center"/>
    </xf>
    <xf numFmtId="167" fontId="11" fillId="7" borderId="27" xfId="5" applyNumberFormat="1" applyFont="1" applyFill="1" applyBorder="1" applyAlignment="1">
      <alignment horizontal="center" vertical="center"/>
    </xf>
    <xf numFmtId="167" fontId="11" fillId="7" borderId="28" xfId="5" applyNumberFormat="1" applyFont="1" applyFill="1" applyBorder="1" applyAlignment="1">
      <alignment horizontal="center" vertical="center"/>
    </xf>
    <xf numFmtId="167" fontId="11" fillId="8" borderId="26" xfId="5" applyNumberFormat="1" applyFont="1" applyFill="1" applyBorder="1" applyAlignment="1">
      <alignment horizontal="center" vertical="center"/>
    </xf>
    <xf numFmtId="167" fontId="11" fillId="7" borderId="29" xfId="5" applyNumberFormat="1" applyFont="1" applyFill="1" applyBorder="1" applyAlignment="1">
      <alignment horizontal="center" vertical="center"/>
    </xf>
    <xf numFmtId="167" fontId="11" fillId="7" borderId="30" xfId="5" applyNumberFormat="1" applyFont="1" applyFill="1" applyBorder="1" applyAlignment="1">
      <alignment horizontal="center" vertical="center"/>
    </xf>
    <xf numFmtId="167" fontId="11" fillId="7" borderId="31" xfId="5" applyNumberFormat="1" applyFont="1" applyFill="1" applyBorder="1" applyAlignment="1">
      <alignment horizontal="center" vertical="center"/>
    </xf>
    <xf numFmtId="1" fontId="9" fillId="0" borderId="32" xfId="5" applyNumberFormat="1" applyFont="1" applyBorder="1" applyAlignment="1">
      <alignment horizontal="right"/>
    </xf>
    <xf numFmtId="1" fontId="9" fillId="0" borderId="0" xfId="5" applyNumberFormat="1" applyFont="1" applyAlignment="1">
      <alignment horizontal="right"/>
    </xf>
    <xf numFmtId="1" fontId="9" fillId="0" borderId="33" xfId="5" applyNumberFormat="1" applyFont="1" applyBorder="1" applyAlignment="1">
      <alignment horizontal="right"/>
    </xf>
    <xf numFmtId="0" fontId="10" fillId="3" borderId="9" xfId="5" applyFont="1" applyFill="1" applyBorder="1" applyAlignment="1">
      <alignment horizontal="center" vertical="center"/>
    </xf>
    <xf numFmtId="0" fontId="9" fillId="3" borderId="7" xfId="5" applyFont="1" applyFill="1" applyBorder="1" applyAlignment="1">
      <alignment horizontal="centerContinuous" vertical="center"/>
    </xf>
    <xf numFmtId="0" fontId="3" fillId="3" borderId="10" xfId="5" applyFill="1" applyBorder="1" applyAlignment="1">
      <alignment horizontal="right" vertical="center"/>
    </xf>
    <xf numFmtId="0" fontId="10" fillId="0" borderId="6" xfId="5" applyFont="1" applyBorder="1" applyAlignment="1">
      <alignment horizontal="center" vertical="center" wrapText="1"/>
    </xf>
    <xf numFmtId="3" fontId="10" fillId="0" borderId="7" xfId="5" applyNumberFormat="1" applyFont="1" applyBorder="1" applyAlignment="1">
      <alignment horizontal="center" vertical="center" wrapText="1"/>
    </xf>
    <xf numFmtId="0" fontId="10" fillId="0" borderId="7" xfId="5" applyFont="1" applyBorder="1" applyAlignment="1">
      <alignment horizontal="center" vertical="center" wrapText="1"/>
    </xf>
    <xf numFmtId="164" fontId="9" fillId="0" borderId="7" xfId="2" applyNumberFormat="1" applyFont="1" applyBorder="1" applyAlignment="1">
      <alignment horizontal="center" vertical="center" wrapText="1"/>
    </xf>
    <xf numFmtId="164" fontId="9" fillId="0" borderId="8" xfId="2" applyNumberFormat="1" applyFont="1" applyBorder="1" applyAlignment="1">
      <alignment horizontal="center" vertical="center" wrapText="1"/>
    </xf>
    <xf numFmtId="164" fontId="9" fillId="0" borderId="6" xfId="2" applyNumberFormat="1" applyFont="1" applyBorder="1" applyAlignment="1">
      <alignment horizontal="center" vertical="center" wrapText="1"/>
    </xf>
    <xf numFmtId="164" fontId="0" fillId="0" borderId="0" xfId="0" applyNumberFormat="1"/>
    <xf numFmtId="0" fontId="8" fillId="9" borderId="3" xfId="0" applyFont="1" applyFill="1" applyBorder="1" applyAlignment="1">
      <alignment horizontal="center" vertical="center"/>
    </xf>
    <xf numFmtId="1" fontId="4" fillId="7" borderId="4" xfId="5" applyNumberFormat="1" applyFont="1" applyFill="1" applyBorder="1" applyAlignment="1">
      <alignment horizontal="center" vertical="center" wrapText="1"/>
    </xf>
    <xf numFmtId="0" fontId="11" fillId="7" borderId="4" xfId="5" applyFont="1" applyFill="1" applyBorder="1" applyAlignment="1">
      <alignment vertical="center" wrapText="1"/>
    </xf>
    <xf numFmtId="1" fontId="4" fillId="5" borderId="12" xfId="5" applyNumberFormat="1" applyFont="1" applyFill="1" applyBorder="1" applyAlignment="1">
      <alignment horizontal="center" vertical="center" wrapText="1"/>
    </xf>
    <xf numFmtId="44" fontId="11" fillId="6" borderId="3" xfId="2" applyFont="1" applyFill="1" applyBorder="1" applyAlignment="1">
      <alignment vertical="center" wrapText="1"/>
    </xf>
    <xf numFmtId="44" fontId="10" fillId="6" borderId="4" xfId="2" applyFont="1" applyFill="1" applyBorder="1" applyAlignment="1">
      <alignment horizontal="center" vertical="center" wrapText="1"/>
    </xf>
    <xf numFmtId="164" fontId="10" fillId="6" borderId="5" xfId="2" applyNumberFormat="1" applyFont="1" applyFill="1" applyBorder="1" applyAlignment="1">
      <alignment horizontal="center" vertical="center" wrapText="1"/>
    </xf>
    <xf numFmtId="164" fontId="7" fillId="0" borderId="0" xfId="0" applyNumberFormat="1" applyFont="1"/>
    <xf numFmtId="164" fontId="4" fillId="0" borderId="32" xfId="6" applyNumberFormat="1" applyFont="1" applyBorder="1" applyAlignment="1">
      <alignment horizontal="center" vertical="center"/>
    </xf>
    <xf numFmtId="164" fontId="4" fillId="0" borderId="34" xfId="6" applyNumberFormat="1" applyFont="1" applyBorder="1" applyAlignment="1">
      <alignment horizontal="center" vertical="center"/>
    </xf>
    <xf numFmtId="0" fontId="4" fillId="3" borderId="0" xfId="5" applyFont="1" applyFill="1"/>
    <xf numFmtId="0" fontId="10" fillId="7" borderId="3" xfId="0" applyFont="1" applyFill="1" applyBorder="1" applyAlignment="1" applyProtection="1">
      <alignment vertical="center"/>
      <protection locked="0"/>
    </xf>
    <xf numFmtId="0" fontId="10" fillId="7" borderId="4" xfId="0" applyFont="1" applyFill="1" applyBorder="1" applyAlignment="1" applyProtection="1">
      <alignment vertical="center"/>
      <protection locked="0"/>
    </xf>
    <xf numFmtId="3" fontId="4" fillId="7" borderId="4" xfId="5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64" fontId="4" fillId="10" borderId="35" xfId="6" applyNumberFormat="1" applyFont="1" applyFill="1" applyBorder="1" applyAlignment="1">
      <alignment horizontal="center" vertical="center"/>
    </xf>
    <xf numFmtId="44" fontId="4" fillId="11" borderId="35" xfId="2" applyFont="1" applyFill="1" applyBorder="1" applyAlignment="1">
      <alignment horizontal="center" vertical="center"/>
    </xf>
    <xf numFmtId="164" fontId="4" fillId="11" borderId="35" xfId="6" applyNumberFormat="1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" fontId="4" fillId="3" borderId="39" xfId="5" applyNumberFormat="1" applyFont="1" applyFill="1" applyBorder="1" applyAlignment="1">
      <alignment horizontal="center" vertical="center" wrapText="1"/>
    </xf>
    <xf numFmtId="1" fontId="4" fillId="3" borderId="40" xfId="5" applyNumberFormat="1" applyFont="1" applyFill="1" applyBorder="1" applyAlignment="1">
      <alignment horizontal="center" vertical="center" wrapText="1"/>
    </xf>
    <xf numFmtId="1" fontId="4" fillId="3" borderId="41" xfId="5" applyNumberFormat="1" applyFont="1" applyFill="1" applyBorder="1" applyAlignment="1">
      <alignment horizontal="center" vertical="center" wrapText="1"/>
    </xf>
    <xf numFmtId="1" fontId="4" fillId="3" borderId="42" xfId="5" applyNumberFormat="1" applyFont="1" applyFill="1" applyBorder="1" applyAlignment="1">
      <alignment horizontal="center" vertical="center" wrapText="1"/>
    </xf>
    <xf numFmtId="1" fontId="4" fillId="3" borderId="43" xfId="5" applyNumberFormat="1" applyFont="1" applyFill="1" applyBorder="1" applyAlignment="1">
      <alignment horizontal="center" vertical="center" wrapText="1"/>
    </xf>
    <xf numFmtId="0" fontId="4" fillId="3" borderId="45" xfId="0" applyFont="1" applyFill="1" applyBorder="1" applyAlignment="1" applyProtection="1">
      <alignment horizontal="center" vertical="center" wrapText="1"/>
      <protection locked="0"/>
    </xf>
    <xf numFmtId="0" fontId="4" fillId="3" borderId="47" xfId="0" applyFont="1" applyFill="1" applyBorder="1" applyAlignment="1" applyProtection="1">
      <alignment horizontal="center" vertical="center" wrapText="1"/>
      <protection locked="0"/>
    </xf>
    <xf numFmtId="1" fontId="4" fillId="3" borderId="48" xfId="5" applyNumberFormat="1" applyFont="1" applyFill="1" applyBorder="1" applyAlignment="1">
      <alignment horizontal="center" vertical="center" wrapText="1"/>
    </xf>
    <xf numFmtId="1" fontId="4" fillId="3" borderId="49" xfId="5" applyNumberFormat="1" applyFont="1" applyFill="1" applyBorder="1" applyAlignment="1">
      <alignment horizontal="center" vertical="center" wrapText="1"/>
    </xf>
    <xf numFmtId="1" fontId="4" fillId="3" borderId="50" xfId="5" applyNumberFormat="1" applyFont="1" applyFill="1" applyBorder="1" applyAlignment="1">
      <alignment horizontal="center" vertical="center" wrapText="1"/>
    </xf>
    <xf numFmtId="1" fontId="4" fillId="3" borderId="51" xfId="5" applyNumberFormat="1" applyFont="1" applyFill="1" applyBorder="1" applyAlignment="1">
      <alignment horizontal="center" vertical="center" wrapText="1"/>
    </xf>
    <xf numFmtId="1" fontId="4" fillId="3" borderId="52" xfId="5" applyNumberFormat="1" applyFont="1" applyFill="1" applyBorder="1" applyAlignment="1">
      <alignment horizontal="center" vertical="center" wrapText="1"/>
    </xf>
    <xf numFmtId="0" fontId="4" fillId="3" borderId="45" xfId="5" applyFont="1" applyFill="1" applyBorder="1" applyAlignment="1" applyProtection="1">
      <alignment horizontal="center" vertical="center" wrapText="1"/>
      <protection locked="0"/>
    </xf>
    <xf numFmtId="44" fontId="4" fillId="11" borderId="54" xfId="2" applyFont="1" applyFill="1" applyBorder="1" applyAlignment="1">
      <alignment horizontal="center" vertical="center"/>
    </xf>
    <xf numFmtId="164" fontId="4" fillId="11" borderId="54" xfId="6" applyNumberFormat="1" applyFont="1" applyFill="1" applyBorder="1" applyAlignment="1">
      <alignment horizontal="center" vertical="center"/>
    </xf>
    <xf numFmtId="0" fontId="4" fillId="3" borderId="38" xfId="5" applyFont="1" applyFill="1" applyBorder="1" applyAlignment="1" applyProtection="1">
      <alignment horizontal="center" vertical="center" wrapText="1"/>
      <protection locked="0"/>
    </xf>
    <xf numFmtId="0" fontId="4" fillId="3" borderId="46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9" borderId="3" xfId="5" applyFont="1" applyFill="1" applyBorder="1" applyAlignment="1">
      <alignment horizontal="center" vertical="center" readingOrder="1"/>
    </xf>
    <xf numFmtId="3" fontId="10" fillId="7" borderId="4" xfId="0" applyNumberFormat="1" applyFont="1" applyFill="1" applyBorder="1" applyAlignment="1" applyProtection="1">
      <alignment vertical="center"/>
      <protection locked="0"/>
    </xf>
    <xf numFmtId="0" fontId="10" fillId="7" borderId="4" xfId="0" applyFont="1" applyFill="1" applyBorder="1" applyAlignment="1" applyProtection="1">
      <alignment horizontal="center" vertical="center"/>
      <protection locked="0"/>
    </xf>
    <xf numFmtId="164" fontId="10" fillId="7" borderId="5" xfId="0" applyNumberFormat="1" applyFont="1" applyFill="1" applyBorder="1" applyAlignment="1">
      <alignment vertical="center"/>
    </xf>
    <xf numFmtId="164" fontId="10" fillId="7" borderId="5" xfId="2" applyNumberFormat="1" applyFont="1" applyFill="1" applyBorder="1" applyAlignment="1" applyProtection="1">
      <alignment vertical="center"/>
      <protection locked="0"/>
    </xf>
    <xf numFmtId="164" fontId="10" fillId="5" borderId="4" xfId="0" applyNumberFormat="1" applyFont="1" applyFill="1" applyBorder="1" applyAlignment="1" applyProtection="1">
      <alignment vertical="center"/>
      <protection locked="0"/>
    </xf>
    <xf numFmtId="164" fontId="10" fillId="5" borderId="5" xfId="2" applyNumberFormat="1" applyFont="1" applyFill="1" applyBorder="1" applyAlignment="1" applyProtection="1">
      <alignment vertical="center"/>
      <protection locked="0"/>
    </xf>
    <xf numFmtId="0" fontId="11" fillId="6" borderId="3" xfId="5" applyFont="1" applyFill="1" applyBorder="1" applyAlignment="1">
      <alignment vertical="center" wrapText="1"/>
    </xf>
    <xf numFmtId="164" fontId="9" fillId="6" borderId="54" xfId="2" applyNumberFormat="1" applyFont="1" applyFill="1" applyBorder="1" applyAlignment="1">
      <alignment horizontal="center" vertical="center" wrapText="1"/>
    </xf>
    <xf numFmtId="164" fontId="4" fillId="0" borderId="56" xfId="6" applyNumberFormat="1" applyFont="1" applyBorder="1" applyAlignment="1">
      <alignment horizontal="center" vertical="center"/>
    </xf>
    <xf numFmtId="0" fontId="4" fillId="9" borderId="0" xfId="5" applyFont="1" applyFill="1" applyAlignment="1">
      <alignment horizontal="center" vertical="center" readingOrder="1"/>
    </xf>
    <xf numFmtId="0" fontId="4" fillId="3" borderId="0" xfId="5" applyFont="1" applyFill="1" applyAlignment="1" applyProtection="1">
      <alignment horizontal="center" vertical="center" wrapText="1"/>
      <protection locked="0"/>
    </xf>
    <xf numFmtId="0" fontId="4" fillId="0" borderId="0" xfId="5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vertical="center"/>
      <protection locked="0"/>
    </xf>
    <xf numFmtId="3" fontId="10" fillId="0" borderId="0" xfId="0" applyNumberFormat="1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4" fontId="10" fillId="0" borderId="0" xfId="0" applyNumberFormat="1" applyFont="1" applyAlignment="1" applyProtection="1">
      <alignment vertical="center"/>
      <protection locked="0"/>
    </xf>
    <xf numFmtId="164" fontId="10" fillId="0" borderId="0" xfId="2" applyNumberFormat="1" applyFont="1" applyFill="1" applyBorder="1" applyAlignment="1" applyProtection="1">
      <alignment vertical="center"/>
      <protection locked="0"/>
    </xf>
    <xf numFmtId="164" fontId="14" fillId="0" borderId="0" xfId="2" applyNumberFormat="1" applyFont="1" applyFill="1" applyBorder="1" applyAlignment="1" applyProtection="1">
      <alignment horizontal="center" vertical="center" wrapText="1"/>
      <protection locked="0"/>
    </xf>
    <xf numFmtId="164" fontId="4" fillId="0" borderId="0" xfId="6" applyNumberFormat="1" applyFont="1" applyBorder="1" applyAlignment="1">
      <alignment horizontal="center" vertical="center"/>
    </xf>
    <xf numFmtId="0" fontId="11" fillId="2" borderId="0" xfId="5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0" fontId="9" fillId="12" borderId="3" xfId="0" applyFont="1" applyFill="1" applyBorder="1" applyAlignment="1">
      <alignment vertical="center" wrapText="1"/>
    </xf>
    <xf numFmtId="0" fontId="9" fillId="12" borderId="4" xfId="0" applyFont="1" applyFill="1" applyBorder="1" applyAlignment="1">
      <alignment vertical="center" wrapText="1"/>
    </xf>
    <xf numFmtId="3" fontId="9" fillId="12" borderId="4" xfId="0" applyNumberFormat="1" applyFont="1" applyFill="1" applyBorder="1" applyAlignment="1">
      <alignment vertical="center" wrapText="1"/>
    </xf>
    <xf numFmtId="164" fontId="9" fillId="12" borderId="54" xfId="2" applyNumberFormat="1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vertical="center"/>
    </xf>
    <xf numFmtId="3" fontId="4" fillId="2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right" vertical="center"/>
    </xf>
    <xf numFmtId="164" fontId="9" fillId="2" borderId="54" xfId="2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0" fontId="9" fillId="12" borderId="0" xfId="0" applyFont="1" applyFill="1" applyAlignment="1">
      <alignment horizontal="right" vertical="center"/>
    </xf>
    <xf numFmtId="0" fontId="4" fillId="0" borderId="0" xfId="0" applyFont="1" applyAlignment="1">
      <alignment horizontal="centerContinuous" vertical="center"/>
    </xf>
    <xf numFmtId="164" fontId="4" fillId="0" borderId="0" xfId="2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2" applyNumberFormat="1" applyFont="1" applyFill="1" applyBorder="1" applyAlignment="1">
      <alignment horizontal="center" vertical="center"/>
    </xf>
    <xf numFmtId="164" fontId="4" fillId="2" borderId="0" xfId="2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4" fillId="2" borderId="11" xfId="2" applyNumberFormat="1" applyFont="1" applyFill="1" applyBorder="1" applyAlignment="1">
      <alignment horizontal="center" vertical="center" wrapText="1"/>
    </xf>
    <xf numFmtId="164" fontId="11" fillId="2" borderId="0" xfId="2" applyNumberFormat="1" applyFont="1" applyFill="1" applyBorder="1" applyAlignment="1">
      <alignment horizontal="center" vertical="center" wrapText="1"/>
    </xf>
    <xf numFmtId="164" fontId="17" fillId="0" borderId="0" xfId="4" applyNumberFormat="1" applyFont="1" applyFill="1" applyBorder="1" applyAlignment="1" applyProtection="1">
      <alignment horizontal="center" vertical="center" wrapText="1"/>
      <protection locked="0"/>
    </xf>
    <xf numFmtId="14" fontId="4" fillId="2" borderId="0" xfId="0" applyNumberFormat="1" applyFont="1" applyFill="1" applyAlignment="1">
      <alignment horizontal="right" vertical="center"/>
    </xf>
    <xf numFmtId="168" fontId="4" fillId="2" borderId="35" xfId="0" applyNumberFormat="1" applyFont="1" applyFill="1" applyBorder="1" applyAlignment="1">
      <alignment vertical="center"/>
    </xf>
    <xf numFmtId="168" fontId="4" fillId="2" borderId="13" xfId="0" applyNumberFormat="1" applyFont="1" applyFill="1" applyBorder="1" applyAlignment="1">
      <alignment vertical="center"/>
    </xf>
    <xf numFmtId="164" fontId="4" fillId="2" borderId="11" xfId="2" applyNumberFormat="1" applyFont="1" applyFill="1" applyBorder="1" applyAlignment="1">
      <alignment vertical="center"/>
    </xf>
    <xf numFmtId="168" fontId="11" fillId="2" borderId="0" xfId="0" applyNumberFormat="1" applyFont="1" applyFill="1" applyAlignment="1">
      <alignment vertical="center"/>
    </xf>
    <xf numFmtId="164" fontId="15" fillId="0" borderId="0" xfId="2" applyNumberFormat="1" applyFont="1" applyFill="1" applyBorder="1" applyAlignment="1" applyProtection="1">
      <alignment vertical="center" wrapText="1"/>
      <protection locked="0"/>
    </xf>
    <xf numFmtId="168" fontId="4" fillId="2" borderId="45" xfId="0" applyNumberFormat="1" applyFont="1" applyFill="1" applyBorder="1" applyAlignment="1">
      <alignment vertical="center"/>
    </xf>
    <xf numFmtId="168" fontId="4" fillId="2" borderId="46" xfId="0" applyNumberFormat="1" applyFont="1" applyFill="1" applyBorder="1" applyAlignment="1">
      <alignment vertical="center"/>
    </xf>
    <xf numFmtId="164" fontId="4" fillId="2" borderId="45" xfId="2" applyNumberFormat="1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4" applyFill="1" applyAlignment="1">
      <alignment horizontal="left" vertical="center"/>
    </xf>
    <xf numFmtId="0" fontId="8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168" fontId="4" fillId="2" borderId="31" xfId="0" applyNumberFormat="1" applyFont="1" applyFill="1" applyBorder="1" applyAlignment="1">
      <alignment vertical="center"/>
    </xf>
    <xf numFmtId="168" fontId="4" fillId="2" borderId="57" xfId="0" applyNumberFormat="1" applyFont="1" applyFill="1" applyBorder="1" applyAlignment="1">
      <alignment vertical="center"/>
    </xf>
    <xf numFmtId="164" fontId="4" fillId="2" borderId="31" xfId="2" applyNumberFormat="1" applyFont="1" applyFill="1" applyBorder="1" applyAlignment="1">
      <alignment vertical="center"/>
    </xf>
    <xf numFmtId="164" fontId="4" fillId="2" borderId="35" xfId="2" applyNumberFormat="1" applyFont="1" applyFill="1" applyBorder="1" applyAlignment="1">
      <alignment vertical="center"/>
    </xf>
    <xf numFmtId="168" fontId="4" fillId="2" borderId="37" xfId="0" applyNumberFormat="1" applyFont="1" applyFill="1" applyBorder="1" applyAlignment="1">
      <alignment vertical="center"/>
    </xf>
    <xf numFmtId="164" fontId="4" fillId="5" borderId="45" xfId="6" applyNumberFormat="1" applyFont="1" applyFill="1" applyBorder="1" applyAlignment="1">
      <alignment horizontal="center" vertical="center"/>
    </xf>
    <xf numFmtId="1" fontId="4" fillId="7" borderId="4" xfId="5" applyNumberFormat="1" applyFont="1" applyFill="1" applyBorder="1" applyAlignment="1">
      <alignment vertical="center" wrapText="1"/>
    </xf>
    <xf numFmtId="0" fontId="4" fillId="7" borderId="4" xfId="5" applyFont="1" applyFill="1" applyBorder="1" applyAlignment="1" applyProtection="1">
      <alignment horizontal="center" vertical="center" wrapText="1"/>
      <protection locked="0"/>
    </xf>
    <xf numFmtId="0" fontId="8" fillId="3" borderId="37" xfId="0" applyFont="1" applyFill="1" applyBorder="1" applyAlignment="1">
      <alignment horizontal="center" vertical="center"/>
    </xf>
    <xf numFmtId="1" fontId="4" fillId="3" borderId="38" xfId="6" applyNumberFormat="1" applyFont="1" applyFill="1" applyBorder="1" applyAlignment="1">
      <alignment horizontal="center" vertical="center"/>
    </xf>
    <xf numFmtId="3" fontId="4" fillId="3" borderId="38" xfId="6" applyNumberFormat="1" applyFont="1" applyFill="1" applyBorder="1" applyAlignment="1">
      <alignment horizontal="center" vertical="center"/>
    </xf>
    <xf numFmtId="164" fontId="4" fillId="3" borderId="38" xfId="6" applyNumberFormat="1" applyFont="1" applyFill="1" applyBorder="1" applyAlignment="1">
      <alignment horizontal="center" vertical="center"/>
    </xf>
    <xf numFmtId="164" fontId="4" fillId="3" borderId="45" xfId="6" applyNumberFormat="1" applyFont="1" applyFill="1" applyBorder="1" applyAlignment="1">
      <alignment horizontal="center" vertical="center"/>
    </xf>
    <xf numFmtId="44" fontId="4" fillId="3" borderId="45" xfId="2" applyFont="1" applyFill="1" applyBorder="1" applyAlignment="1">
      <alignment horizontal="center" vertical="center"/>
    </xf>
    <xf numFmtId="164" fontId="0" fillId="3" borderId="0" xfId="0" applyNumberFormat="1" applyFill="1"/>
    <xf numFmtId="164" fontId="7" fillId="3" borderId="0" xfId="0" applyNumberFormat="1" applyFont="1" applyFill="1"/>
    <xf numFmtId="164" fontId="4" fillId="3" borderId="32" xfId="6" applyNumberFormat="1" applyFont="1" applyFill="1" applyBorder="1" applyAlignment="1">
      <alignment horizontal="center" vertical="center"/>
    </xf>
    <xf numFmtId="164" fontId="4" fillId="3" borderId="34" xfId="6" applyNumberFormat="1" applyFont="1" applyFill="1" applyBorder="1" applyAlignment="1">
      <alignment horizontal="center" vertical="center"/>
    </xf>
    <xf numFmtId="164" fontId="7" fillId="3" borderId="0" xfId="2" applyNumberFormat="1" applyFont="1" applyFill="1"/>
    <xf numFmtId="0" fontId="0" fillId="3" borderId="0" xfId="0" applyFill="1"/>
    <xf numFmtId="1" fontId="4" fillId="3" borderId="45" xfId="6" applyNumberFormat="1" applyFont="1" applyFill="1" applyBorder="1" applyAlignment="1">
      <alignment horizontal="center" vertical="center"/>
    </xf>
    <xf numFmtId="3" fontId="4" fillId="3" borderId="45" xfId="6" applyNumberFormat="1" applyFont="1" applyFill="1" applyBorder="1" applyAlignment="1">
      <alignment horizontal="center" vertical="center"/>
    </xf>
    <xf numFmtId="164" fontId="4" fillId="3" borderId="35" xfId="6" applyNumberFormat="1" applyFont="1" applyFill="1" applyBorder="1" applyAlignment="1">
      <alignment horizontal="center" vertical="center"/>
    </xf>
    <xf numFmtId="44" fontId="4" fillId="3" borderId="35" xfId="2" applyFont="1" applyFill="1" applyBorder="1" applyAlignment="1">
      <alignment horizontal="center" vertical="center"/>
    </xf>
    <xf numFmtId="164" fontId="4" fillId="3" borderId="54" xfId="6" applyNumberFormat="1" applyFont="1" applyFill="1" applyBorder="1" applyAlignment="1">
      <alignment horizontal="center" vertical="center"/>
    </xf>
    <xf numFmtId="44" fontId="4" fillId="3" borderId="54" xfId="2" applyFont="1" applyFill="1" applyBorder="1" applyAlignment="1">
      <alignment horizontal="center" vertical="center"/>
    </xf>
    <xf numFmtId="44" fontId="4" fillId="3" borderId="38" xfId="2" applyFont="1" applyFill="1" applyBorder="1" applyAlignment="1">
      <alignment horizontal="center" vertical="center"/>
    </xf>
    <xf numFmtId="164" fontId="4" fillId="3" borderId="44" xfId="6" applyNumberFormat="1" applyFont="1" applyFill="1" applyBorder="1" applyAlignment="1">
      <alignment horizontal="center" vertical="center"/>
    </xf>
    <xf numFmtId="0" fontId="4" fillId="3" borderId="53" xfId="5" applyFont="1" applyFill="1" applyBorder="1" applyAlignment="1" applyProtection="1">
      <alignment horizontal="center" vertical="center" wrapText="1"/>
      <protection locked="0"/>
    </xf>
    <xf numFmtId="0" fontId="4" fillId="3" borderId="45" xfId="0" applyFont="1" applyFill="1" applyBorder="1" applyAlignment="1">
      <alignment horizontal="center" vertical="center" wrapText="1"/>
    </xf>
    <xf numFmtId="164" fontId="4" fillId="3" borderId="47" xfId="7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164" fontId="4" fillId="3" borderId="17" xfId="7" applyNumberFormat="1" applyFont="1" applyFill="1" applyBorder="1" applyAlignment="1">
      <alignment horizontal="center" vertical="center"/>
    </xf>
    <xf numFmtId="0" fontId="9" fillId="3" borderId="45" xfId="5" applyFont="1" applyFill="1" applyBorder="1" applyAlignment="1" applyProtection="1">
      <alignment horizontal="center" vertical="center" wrapText="1"/>
      <protection locked="0"/>
    </xf>
    <xf numFmtId="164" fontId="4" fillId="3" borderId="46" xfId="6" applyNumberFormat="1" applyFont="1" applyFill="1" applyBorder="1" applyAlignment="1">
      <alignment horizontal="center" vertical="center"/>
    </xf>
    <xf numFmtId="164" fontId="4" fillId="3" borderId="16" xfId="6" applyNumberFormat="1" applyFont="1" applyFill="1" applyBorder="1" applyAlignment="1">
      <alignment horizontal="center" vertical="center"/>
    </xf>
    <xf numFmtId="1" fontId="4" fillId="3" borderId="59" xfId="5" applyNumberFormat="1" applyFont="1" applyFill="1" applyBorder="1" applyAlignment="1">
      <alignment horizontal="center" vertical="center" wrapText="1"/>
    </xf>
    <xf numFmtId="1" fontId="4" fillId="3" borderId="60" xfId="5" applyNumberFormat="1" applyFont="1" applyFill="1" applyBorder="1" applyAlignment="1">
      <alignment horizontal="center" vertical="center" wrapText="1"/>
    </xf>
    <xf numFmtId="1" fontId="4" fillId="3" borderId="61" xfId="5" applyNumberFormat="1" applyFont="1" applyFill="1" applyBorder="1" applyAlignment="1">
      <alignment horizontal="center" vertical="center" wrapText="1"/>
    </xf>
    <xf numFmtId="1" fontId="4" fillId="3" borderId="27" xfId="5" applyNumberFormat="1" applyFont="1" applyFill="1" applyBorder="1" applyAlignment="1">
      <alignment horizontal="center" vertical="center" wrapText="1"/>
    </xf>
    <xf numFmtId="1" fontId="4" fillId="3" borderId="25" xfId="5" applyNumberFormat="1" applyFont="1" applyFill="1" applyBorder="1" applyAlignment="1">
      <alignment horizontal="center" vertical="center" wrapText="1"/>
    </xf>
    <xf numFmtId="1" fontId="4" fillId="3" borderId="28" xfId="5" applyNumberFormat="1" applyFont="1" applyFill="1" applyBorder="1" applyAlignment="1">
      <alignment horizontal="center" vertical="center" wrapText="1"/>
    </xf>
    <xf numFmtId="17" fontId="10" fillId="7" borderId="1" xfId="5" applyNumberFormat="1" applyFont="1" applyFill="1" applyBorder="1" applyAlignment="1">
      <alignment vertical="center"/>
    </xf>
    <xf numFmtId="44" fontId="4" fillId="3" borderId="44" xfId="2" applyFont="1" applyFill="1" applyBorder="1" applyAlignment="1">
      <alignment horizontal="center" vertical="center"/>
    </xf>
    <xf numFmtId="1" fontId="4" fillId="7" borderId="43" xfId="5" applyNumberFormat="1" applyFont="1" applyFill="1" applyBorder="1" applyAlignment="1">
      <alignment vertical="center" wrapText="1"/>
    </xf>
    <xf numFmtId="1" fontId="4" fillId="7" borderId="1" xfId="5" applyNumberFormat="1" applyFont="1" applyFill="1" applyBorder="1" applyAlignment="1">
      <alignment vertical="center" wrapText="1"/>
    </xf>
    <xf numFmtId="1" fontId="4" fillId="7" borderId="17" xfId="5" applyNumberFormat="1" applyFont="1" applyFill="1" applyBorder="1" applyAlignment="1">
      <alignment vertical="center" wrapText="1"/>
    </xf>
    <xf numFmtId="1" fontId="4" fillId="7" borderId="16" xfId="5" applyNumberFormat="1" applyFont="1" applyFill="1" applyBorder="1" applyAlignment="1">
      <alignment vertical="center" wrapText="1"/>
    </xf>
    <xf numFmtId="1" fontId="4" fillId="7" borderId="52" xfId="5" applyNumberFormat="1" applyFont="1" applyFill="1" applyBorder="1" applyAlignment="1">
      <alignment vertical="center" wrapText="1"/>
    </xf>
    <xf numFmtId="1" fontId="4" fillId="7" borderId="2" xfId="5" applyNumberFormat="1" applyFont="1" applyFill="1" applyBorder="1" applyAlignment="1">
      <alignment vertical="center" wrapText="1"/>
    </xf>
    <xf numFmtId="1" fontId="4" fillId="7" borderId="47" xfId="5" applyNumberFormat="1" applyFont="1" applyFill="1" applyBorder="1" applyAlignment="1">
      <alignment vertical="center" wrapText="1"/>
    </xf>
    <xf numFmtId="1" fontId="4" fillId="7" borderId="46" xfId="5" applyNumberFormat="1" applyFont="1" applyFill="1" applyBorder="1" applyAlignment="1">
      <alignment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3" fillId="0" borderId="22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1" fontId="4" fillId="3" borderId="52" xfId="5" applyNumberFormat="1" applyFont="1" applyFill="1" applyBorder="1" applyAlignment="1">
      <alignment horizontal="center" vertical="center" wrapText="1"/>
    </xf>
    <xf numFmtId="1" fontId="4" fillId="3" borderId="2" xfId="5" applyNumberFormat="1" applyFont="1" applyFill="1" applyBorder="1" applyAlignment="1">
      <alignment horizontal="center" vertical="center" wrapText="1"/>
    </xf>
    <xf numFmtId="1" fontId="4" fillId="3" borderId="47" xfId="5" applyNumberFormat="1" applyFont="1" applyFill="1" applyBorder="1" applyAlignment="1">
      <alignment horizontal="center" vertical="center" wrapText="1"/>
    </xf>
    <xf numFmtId="164" fontId="9" fillId="12" borderId="0" xfId="2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164" fontId="13" fillId="3" borderId="44" xfId="2" applyNumberFormat="1" applyFont="1" applyFill="1" applyBorder="1" applyAlignment="1">
      <alignment horizontal="center" vertical="center" wrapText="1"/>
    </xf>
    <xf numFmtId="0" fontId="4" fillId="7" borderId="3" xfId="5" applyFont="1" applyFill="1" applyBorder="1" applyAlignment="1" applyProtection="1">
      <alignment horizontal="center" vertical="center" wrapText="1"/>
      <protection locked="0"/>
    </xf>
    <xf numFmtId="0" fontId="4" fillId="7" borderId="4" xfId="5" applyFont="1" applyFill="1" applyBorder="1" applyAlignment="1" applyProtection="1">
      <alignment horizontal="center" vertical="center" wrapText="1"/>
      <protection locked="0"/>
    </xf>
    <xf numFmtId="0" fontId="4" fillId="7" borderId="55" xfId="5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/>
    </xf>
    <xf numFmtId="164" fontId="10" fillId="7" borderId="11" xfId="2" applyNumberFormat="1" applyFont="1" applyFill="1" applyBorder="1" applyAlignment="1">
      <alignment horizontal="center" vertical="center" wrapText="1"/>
    </xf>
    <xf numFmtId="164" fontId="10" fillId="7" borderId="22" xfId="2" applyNumberFormat="1" applyFont="1" applyFill="1" applyBorder="1" applyAlignment="1">
      <alignment horizontal="center" vertical="center" wrapText="1"/>
    </xf>
    <xf numFmtId="0" fontId="5" fillId="5" borderId="11" xfId="5" applyFont="1" applyFill="1" applyBorder="1" applyAlignment="1">
      <alignment horizontal="center" vertical="center" wrapText="1"/>
    </xf>
    <xf numFmtId="0" fontId="5" fillId="5" borderId="22" xfId="5" applyFont="1" applyFill="1" applyBorder="1" applyAlignment="1">
      <alignment horizontal="center" vertical="center" wrapText="1"/>
    </xf>
    <xf numFmtId="164" fontId="5" fillId="5" borderId="11" xfId="2" applyNumberFormat="1" applyFont="1" applyFill="1" applyBorder="1" applyAlignment="1">
      <alignment horizontal="center" vertical="center" wrapText="1"/>
    </xf>
    <xf numFmtId="164" fontId="5" fillId="5" borderId="22" xfId="2" applyNumberFormat="1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17" fontId="10" fillId="7" borderId="13" xfId="5" applyNumberFormat="1" applyFont="1" applyFill="1" applyBorder="1" applyAlignment="1">
      <alignment horizontal="center" vertical="center"/>
    </xf>
    <xf numFmtId="17" fontId="10" fillId="7" borderId="12" xfId="5" applyNumberFormat="1" applyFont="1" applyFill="1" applyBorder="1" applyAlignment="1">
      <alignment horizontal="center" vertical="center"/>
    </xf>
    <xf numFmtId="17" fontId="10" fillId="7" borderId="14" xfId="5" applyNumberFormat="1" applyFont="1" applyFill="1" applyBorder="1" applyAlignment="1">
      <alignment horizontal="center" vertical="center"/>
    </xf>
    <xf numFmtId="0" fontId="10" fillId="7" borderId="11" xfId="5" applyFont="1" applyFill="1" applyBorder="1" applyAlignment="1">
      <alignment horizontal="center" vertical="center" wrapText="1"/>
    </xf>
    <xf numFmtId="0" fontId="10" fillId="7" borderId="22" xfId="5" applyFont="1" applyFill="1" applyBorder="1" applyAlignment="1">
      <alignment horizontal="center" vertical="center" wrapText="1"/>
    </xf>
    <xf numFmtId="3" fontId="10" fillId="7" borderId="11" xfId="5" applyNumberFormat="1" applyFont="1" applyFill="1" applyBorder="1" applyAlignment="1">
      <alignment horizontal="center" vertical="center" wrapText="1"/>
    </xf>
    <xf numFmtId="3" fontId="10" fillId="7" borderId="22" xfId="5" applyNumberFormat="1" applyFont="1" applyFill="1" applyBorder="1" applyAlignment="1">
      <alignment horizontal="center" vertical="center" wrapText="1"/>
    </xf>
    <xf numFmtId="0" fontId="5" fillId="6" borderId="11" xfId="5" applyFont="1" applyFill="1" applyBorder="1" applyAlignment="1">
      <alignment horizontal="center" vertical="center" wrapText="1"/>
    </xf>
    <xf numFmtId="0" fontId="5" fillId="6" borderId="22" xfId="5" applyFont="1" applyFill="1" applyBorder="1" applyAlignment="1">
      <alignment horizontal="center" vertical="center" wrapText="1"/>
    </xf>
    <xf numFmtId="17" fontId="10" fillId="7" borderId="16" xfId="5" applyNumberFormat="1" applyFont="1" applyFill="1" applyBorder="1" applyAlignment="1">
      <alignment horizontal="center" vertical="center"/>
    </xf>
    <xf numFmtId="17" fontId="10" fillId="7" borderId="1" xfId="5" applyNumberFormat="1" applyFont="1" applyFill="1" applyBorder="1" applyAlignment="1">
      <alignment horizontal="center" vertical="center"/>
    </xf>
    <xf numFmtId="17" fontId="10" fillId="7" borderId="17" xfId="5" applyNumberFormat="1" applyFont="1" applyFill="1" applyBorder="1" applyAlignment="1">
      <alignment horizontal="center" vertical="center"/>
    </xf>
    <xf numFmtId="0" fontId="5" fillId="3" borderId="0" xfId="5" applyFont="1" applyFill="1" applyAlignment="1">
      <alignment horizontal="center" vertical="center" wrapText="1"/>
    </xf>
    <xf numFmtId="0" fontId="10" fillId="5" borderId="3" xfId="5" applyFont="1" applyFill="1" applyBorder="1" applyAlignment="1">
      <alignment horizontal="center" vertical="center" wrapText="1"/>
    </xf>
    <xf numFmtId="0" fontId="10" fillId="5" borderId="4" xfId="5" applyFont="1" applyFill="1" applyBorder="1" applyAlignment="1">
      <alignment horizontal="center" vertical="center" wrapText="1"/>
    </xf>
    <xf numFmtId="0" fontId="10" fillId="5" borderId="5" xfId="5" applyFont="1" applyFill="1" applyBorder="1" applyAlignment="1">
      <alignment horizontal="center" vertical="center" wrapText="1"/>
    </xf>
    <xf numFmtId="0" fontId="10" fillId="6" borderId="6" xfId="5" applyFont="1" applyFill="1" applyBorder="1" applyAlignment="1">
      <alignment horizontal="center" vertical="center" wrapText="1"/>
    </xf>
    <xf numFmtId="0" fontId="10" fillId="6" borderId="7" xfId="5" applyFont="1" applyFill="1" applyBorder="1" applyAlignment="1">
      <alignment horizontal="center" vertical="center" wrapText="1"/>
    </xf>
    <xf numFmtId="0" fontId="10" fillId="6" borderId="8" xfId="5" applyFont="1" applyFill="1" applyBorder="1" applyAlignment="1">
      <alignment horizontal="center" vertical="center" wrapText="1"/>
    </xf>
    <xf numFmtId="0" fontId="10" fillId="7" borderId="6" xfId="5" applyFont="1" applyFill="1" applyBorder="1" applyAlignment="1">
      <alignment horizontal="center" vertical="center" wrapText="1"/>
    </xf>
    <xf numFmtId="0" fontId="10" fillId="7" borderId="21" xfId="5" applyFont="1" applyFill="1" applyBorder="1" applyAlignment="1">
      <alignment horizontal="center" vertical="center"/>
    </xf>
    <xf numFmtId="0" fontId="10" fillId="7" borderId="11" xfId="5" applyFont="1" applyFill="1" applyBorder="1" applyAlignment="1">
      <alignment horizontal="center" vertical="center"/>
    </xf>
    <xf numFmtId="0" fontId="10" fillId="7" borderId="22" xfId="5" applyFont="1" applyFill="1" applyBorder="1" applyAlignment="1">
      <alignment horizontal="center" vertical="center"/>
    </xf>
    <xf numFmtId="0" fontId="10" fillId="7" borderId="8" xfId="5" applyFont="1" applyFill="1" applyBorder="1" applyAlignment="1">
      <alignment horizontal="center" vertical="center" wrapText="1"/>
    </xf>
    <xf numFmtId="0" fontId="10" fillId="7" borderId="23" xfId="5" applyFont="1" applyFill="1" applyBorder="1" applyAlignment="1">
      <alignment horizontal="center" vertical="center" wrapText="1"/>
    </xf>
    <xf numFmtId="17" fontId="10" fillId="7" borderId="58" xfId="5" applyNumberFormat="1" applyFont="1" applyFill="1" applyBorder="1" applyAlignment="1">
      <alignment horizontal="center" vertical="center"/>
    </xf>
    <xf numFmtId="164" fontId="5" fillId="6" borderId="11" xfId="2" applyNumberFormat="1" applyFont="1" applyFill="1" applyBorder="1" applyAlignment="1">
      <alignment horizontal="center" vertical="center" wrapText="1"/>
    </xf>
    <xf numFmtId="164" fontId="5" fillId="6" borderId="22" xfId="2" applyNumberFormat="1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49" fontId="9" fillId="3" borderId="3" xfId="5" applyNumberFormat="1" applyFont="1" applyFill="1" applyBorder="1" applyAlignment="1">
      <alignment horizontal="center" vertical="center"/>
    </xf>
    <xf numFmtId="49" fontId="9" fillId="3" borderId="4" xfId="5" applyNumberFormat="1" applyFont="1" applyFill="1" applyBorder="1" applyAlignment="1">
      <alignment horizontal="center" vertical="center"/>
    </xf>
    <xf numFmtId="49" fontId="9" fillId="3" borderId="5" xfId="5" applyNumberFormat="1" applyFont="1" applyFill="1" applyBorder="1" applyAlignment="1">
      <alignment horizontal="center" vertical="center"/>
    </xf>
    <xf numFmtId="1" fontId="4" fillId="3" borderId="36" xfId="5" applyNumberFormat="1" applyFont="1" applyFill="1" applyBorder="1" applyAlignment="1">
      <alignment horizontal="center" vertical="center" wrapText="1"/>
    </xf>
    <xf numFmtId="1" fontId="4" fillId="3" borderId="12" xfId="5" applyNumberFormat="1" applyFont="1" applyFill="1" applyBorder="1" applyAlignment="1">
      <alignment horizontal="center" vertical="center" wrapText="1"/>
    </xf>
    <xf numFmtId="1" fontId="4" fillId="3" borderId="14" xfId="5" applyNumberFormat="1" applyFont="1" applyFill="1" applyBorder="1" applyAlignment="1">
      <alignment horizontal="center" vertical="center" wrapText="1"/>
    </xf>
    <xf numFmtId="1" fontId="4" fillId="3" borderId="13" xfId="5" applyNumberFormat="1" applyFont="1" applyFill="1" applyBorder="1" applyAlignment="1">
      <alignment horizontal="center" vertical="center" wrapText="1"/>
    </xf>
    <xf numFmtId="1" fontId="4" fillId="3" borderId="46" xfId="5" applyNumberFormat="1" applyFont="1" applyFill="1" applyBorder="1" applyAlignment="1">
      <alignment horizontal="center" vertical="center" wrapText="1"/>
    </xf>
    <xf numFmtId="1" fontId="4" fillId="3" borderId="43" xfId="5" applyNumberFormat="1" applyFont="1" applyFill="1" applyBorder="1" applyAlignment="1">
      <alignment horizontal="center" vertical="center" wrapText="1"/>
    </xf>
    <xf numFmtId="1" fontId="4" fillId="3" borderId="1" xfId="5" applyNumberFormat="1" applyFont="1" applyFill="1" applyBorder="1" applyAlignment="1">
      <alignment horizontal="center" vertical="center" wrapText="1"/>
    </xf>
    <xf numFmtId="1" fontId="4" fillId="3" borderId="17" xfId="5" applyNumberFormat="1" applyFont="1" applyFill="1" applyBorder="1" applyAlignment="1">
      <alignment horizontal="center" vertical="center" wrapText="1"/>
    </xf>
    <xf numFmtId="1" fontId="4" fillId="3" borderId="16" xfId="5" applyNumberFormat="1" applyFont="1" applyFill="1" applyBorder="1" applyAlignment="1">
      <alignment horizontal="center" vertical="center" wrapText="1"/>
    </xf>
  </cellXfs>
  <cellStyles count="8">
    <cellStyle name="Comma" xfId="1" builtinId="3"/>
    <cellStyle name="Currency" xfId="2" builtinId="4"/>
    <cellStyle name="Currency 2" xfId="6" xr:uid="{D43DBF36-5254-4061-987E-D924D6FB3202}"/>
    <cellStyle name="Currency 2 2" xfId="7" xr:uid="{56DFE8D8-9438-4477-93FC-237BF2105C93}"/>
    <cellStyle name="Hyperlink" xfId="4" builtinId="8"/>
    <cellStyle name="Normal" xfId="0" builtinId="0"/>
    <cellStyle name="Normal 2" xfId="5" xr:uid="{FD8D8CBB-AD8D-464E-8CA8-E239FAAF0656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3808226</xdr:colOff>
      <xdr:row>8</xdr:row>
      <xdr:rowOff>0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808831B3-D603-4583-A31D-3B993FDC9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08226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cificstar-my.sharepoint.com/personal/kat_perreau_sen_com_au/Documents/Desktop/Shaw%20&amp;%20Partners.xlsm" TargetMode="External"/><Relationship Id="rId1" Type="http://schemas.openxmlformats.org/officeDocument/2006/relationships/externalLinkPath" Target="/personal/kat_perreau_sen_com_au/Documents/Desktop/Shaw%20&amp;%20Partne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A SCHEDULE"/>
      <sheetName val="APPROVAL"/>
      <sheetName val="Product List"/>
    </sheetNames>
    <sheetDataSet>
      <sheetData sheetId="0">
        <row r="20">
          <cell r="A20" t="str">
            <v>S</v>
          </cell>
        </row>
        <row r="21">
          <cell r="A21" t="str">
            <v>S</v>
          </cell>
        </row>
        <row r="22">
          <cell r="A22" t="str">
            <v>S</v>
          </cell>
        </row>
        <row r="23">
          <cell r="A23" t="str">
            <v>S</v>
          </cell>
        </row>
        <row r="24">
          <cell r="A24" t="str">
            <v>S</v>
          </cell>
        </row>
        <row r="25">
          <cell r="A25" t="str">
            <v>S</v>
          </cell>
        </row>
        <row r="26">
          <cell r="A26" t="str">
            <v>S</v>
          </cell>
        </row>
        <row r="27">
          <cell r="A27" t="str">
            <v>S</v>
          </cell>
        </row>
        <row r="28">
          <cell r="A28" t="str">
            <v>S</v>
          </cell>
        </row>
        <row r="29">
          <cell r="A29" t="str">
            <v>S</v>
          </cell>
        </row>
        <row r="31">
          <cell r="A31" t="str">
            <v>S</v>
          </cell>
        </row>
        <row r="32">
          <cell r="A32" t="str">
            <v>S</v>
          </cell>
        </row>
        <row r="33">
          <cell r="A33" t="str">
            <v>S</v>
          </cell>
        </row>
        <row r="34">
          <cell r="A34" t="str">
            <v>S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cing@sen.com.au" TargetMode="External"/><Relationship Id="rId2" Type="http://schemas.openxmlformats.org/officeDocument/2006/relationships/hyperlink" Target="mailto:pricing@sen.com.au" TargetMode="External"/><Relationship Id="rId1" Type="http://schemas.openxmlformats.org/officeDocument/2006/relationships/hyperlink" Target="mailto:receivables@sen.com.au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2505-F8CA-47A1-A7F4-0E65A75B3045}">
  <sheetPr>
    <pageSetUpPr fitToPage="1"/>
  </sheetPr>
  <dimension ref="A1:EE86"/>
  <sheetViews>
    <sheetView showGridLines="0" showZeros="0" tabSelected="1" zoomScale="50" zoomScaleNormal="50" zoomScaleSheetLayoutView="70" zoomScalePageLayoutView="85" workbookViewId="0">
      <pane xSplit="4" ySplit="18" topLeftCell="BC19" activePane="bottomRight" state="frozen"/>
      <selection pane="topRight" activeCell="R1" sqref="R1"/>
      <selection pane="bottomLeft" activeCell="B16" sqref="B16"/>
      <selection pane="bottomRight" activeCell="CP21" sqref="CP21"/>
    </sheetView>
  </sheetViews>
  <sheetFormatPr defaultColWidth="9" defaultRowHeight="15.5" x14ac:dyDescent="0.35"/>
  <cols>
    <col min="1" max="1" width="3.54296875" style="53" hidden="1" customWidth="1"/>
    <col min="2" max="2" width="79.54296875" style="1" customWidth="1"/>
    <col min="3" max="3" width="37.26953125" style="2" customWidth="1"/>
    <col min="4" max="4" width="20.26953125" style="2" customWidth="1"/>
    <col min="5" max="12" width="6" style="1" hidden="1" customWidth="1"/>
    <col min="13" max="20" width="6.26953125" style="1" hidden="1" customWidth="1"/>
    <col min="21" max="21" width="5" style="1" hidden="1" customWidth="1"/>
    <col min="22" max="25" width="6.26953125" style="1" hidden="1" customWidth="1"/>
    <col min="26" max="55" width="6.26953125" style="1" customWidth="1"/>
    <col min="56" max="63" width="6" style="1" customWidth="1"/>
    <col min="64" max="71" width="6.26953125" style="1" customWidth="1"/>
    <col min="72" max="72" width="5" style="1" customWidth="1"/>
    <col min="73" max="81" width="6.26953125" style="1" customWidth="1"/>
    <col min="82" max="82" width="18.54296875" style="1" customWidth="1"/>
    <col min="83" max="84" width="18.54296875" style="3" customWidth="1"/>
    <col min="85" max="85" width="21" style="1" customWidth="1"/>
    <col min="86" max="86" width="20.54296875" style="1" customWidth="1"/>
    <col min="87" max="87" width="18.54296875" style="5" customWidth="1"/>
    <col min="88" max="88" width="23.1796875" style="1" hidden="1" customWidth="1"/>
    <col min="89" max="89" width="23.1796875" style="5" hidden="1" customWidth="1"/>
    <col min="90" max="90" width="23.1796875" hidden="1" customWidth="1"/>
    <col min="91" max="91" width="21.453125" style="1" hidden="1" customWidth="1"/>
    <col min="92" max="92" width="21.453125" style="5" hidden="1" customWidth="1"/>
    <col min="93" max="93" width="65.26953125" style="5" hidden="1" customWidth="1"/>
    <col min="94" max="94" width="72" customWidth="1"/>
    <col min="95" max="95" width="44.26953125" customWidth="1"/>
    <col min="96" max="96" width="30.453125" style="7" hidden="1" customWidth="1"/>
    <col min="97" max="97" width="27" style="1" hidden="1" customWidth="1"/>
    <col min="98" max="101" width="13.54296875" style="1" hidden="1" customWidth="1"/>
    <col min="102" max="102" width="17" style="1" hidden="1" customWidth="1"/>
    <col min="103" max="103" width="19" style="1" hidden="1" customWidth="1"/>
    <col min="104" max="104" width="19" style="8" hidden="1" customWidth="1"/>
    <col min="105" max="105" width="18.54296875" style="8" hidden="1" customWidth="1"/>
    <col min="106" max="106" width="19" style="8" hidden="1" customWidth="1"/>
    <col min="107" max="107" width="18.54296875" style="8" hidden="1" customWidth="1"/>
    <col min="108" max="108" width="16.54296875" style="8" hidden="1" customWidth="1"/>
    <col min="109" max="120" width="13.54296875" style="8" hidden="1" customWidth="1"/>
    <col min="121" max="121" width="16" style="9" hidden="1" customWidth="1"/>
    <col min="122" max="122" width="14" style="9" bestFit="1" customWidth="1"/>
    <col min="123" max="123" width="11.54296875" customWidth="1"/>
    <col min="135" max="16384" width="9" style="8"/>
  </cols>
  <sheetData>
    <row r="1" spans="2:120" ht="18.75" customHeight="1" x14ac:dyDescent="0.35">
      <c r="D1" s="1"/>
      <c r="AG1" s="265"/>
      <c r="AH1" s="265"/>
      <c r="CH1" s="4" t="s">
        <v>0</v>
      </c>
      <c r="CJ1" s="4"/>
      <c r="CK1" s="6"/>
      <c r="CM1" s="4"/>
      <c r="CN1" s="6"/>
      <c r="CO1" s="6"/>
    </row>
    <row r="2" spans="2:120" ht="18.75" customHeight="1" x14ac:dyDescent="0.35">
      <c r="D2" s="1"/>
      <c r="AG2" s="265"/>
      <c r="AH2" s="265"/>
      <c r="CG2" s="1" t="s">
        <v>1</v>
      </c>
      <c r="CH2" s="10" t="s">
        <v>92</v>
      </c>
      <c r="CI2" s="11"/>
      <c r="CJ2" s="12"/>
      <c r="CK2" s="13"/>
      <c r="CL2" s="7"/>
      <c r="CM2" s="12"/>
      <c r="CN2" s="13"/>
      <c r="CO2" s="13"/>
      <c r="CP2" s="7"/>
      <c r="CQ2" s="7"/>
      <c r="CY2" s="8"/>
    </row>
    <row r="3" spans="2:120" ht="18.75" customHeight="1" x14ac:dyDescent="0.35">
      <c r="B3"/>
      <c r="D3" s="1"/>
      <c r="AG3" s="265"/>
      <c r="AH3" s="265"/>
      <c r="CG3" s="1" t="s">
        <v>2</v>
      </c>
      <c r="CH3" s="10" t="s">
        <v>93</v>
      </c>
      <c r="CI3" s="11"/>
      <c r="CJ3" s="12"/>
      <c r="CK3" s="13"/>
      <c r="CL3" s="7"/>
      <c r="CM3" s="12"/>
      <c r="CN3" s="13"/>
      <c r="CO3" s="13"/>
      <c r="CP3" s="7"/>
      <c r="CQ3" s="7"/>
      <c r="CY3" s="8"/>
    </row>
    <row r="4" spans="2:120" ht="18.75" customHeight="1" x14ac:dyDescent="0.35">
      <c r="B4" s="8"/>
      <c r="D4" s="1"/>
      <c r="AG4" s="265"/>
      <c r="AH4" s="265"/>
      <c r="CG4" s="1" t="s">
        <v>3</v>
      </c>
      <c r="CH4" s="10"/>
      <c r="CI4" s="11"/>
      <c r="CJ4" s="12"/>
      <c r="CK4" s="13"/>
      <c r="CL4" s="7"/>
      <c r="CM4" s="12"/>
      <c r="CN4" s="13"/>
      <c r="CO4" s="13"/>
      <c r="CP4" s="7"/>
      <c r="CQ4" s="7"/>
      <c r="CY4" s="8"/>
    </row>
    <row r="5" spans="2:120" ht="18.75" customHeight="1" x14ac:dyDescent="0.35">
      <c r="B5" s="8"/>
      <c r="D5" s="1"/>
      <c r="AG5" s="265"/>
      <c r="AH5" s="265"/>
      <c r="CG5" s="1" t="s">
        <v>4</v>
      </c>
      <c r="CH5" s="10" t="s">
        <v>94</v>
      </c>
      <c r="CI5" s="11"/>
      <c r="CJ5" s="12"/>
      <c r="CK5" s="13"/>
      <c r="CL5" s="14"/>
      <c r="CM5" s="12"/>
      <c r="CN5" s="13"/>
      <c r="CO5" s="13"/>
      <c r="CP5" s="14"/>
      <c r="CQ5" s="14"/>
      <c r="CS5" s="15"/>
      <c r="CY5" s="8"/>
    </row>
    <row r="6" spans="2:120" ht="18.75" customHeight="1" x14ac:dyDescent="0.35">
      <c r="B6" s="16"/>
      <c r="D6" s="16"/>
      <c r="F6" s="18"/>
      <c r="G6" s="18"/>
      <c r="H6" s="18"/>
      <c r="I6" s="19"/>
      <c r="Q6" s="19"/>
      <c r="U6" s="17"/>
      <c r="W6" s="18"/>
      <c r="X6" s="18"/>
      <c r="Y6" s="18"/>
      <c r="Z6" s="19"/>
      <c r="AG6" s="265"/>
      <c r="AH6" s="265"/>
      <c r="AQ6" s="17"/>
      <c r="AS6" s="18"/>
      <c r="AT6" s="18"/>
      <c r="AU6" s="18"/>
      <c r="AV6" s="19"/>
      <c r="BE6" s="18"/>
      <c r="BF6" s="18"/>
      <c r="BG6" s="18"/>
      <c r="BH6" s="19"/>
      <c r="BP6" s="19"/>
      <c r="BT6" s="17"/>
      <c r="BV6" s="18"/>
      <c r="BW6" s="18"/>
      <c r="BX6" s="18"/>
      <c r="BY6" s="19"/>
      <c r="CG6" s="1" t="s">
        <v>5</v>
      </c>
      <c r="CH6" s="10"/>
      <c r="CI6" s="11"/>
      <c r="CJ6" s="12"/>
      <c r="CK6" s="13"/>
      <c r="CL6" s="7"/>
      <c r="CM6" s="12"/>
      <c r="CN6" s="13"/>
      <c r="CO6" s="13"/>
      <c r="CP6" s="7"/>
      <c r="CQ6" s="7"/>
      <c r="CY6" s="8"/>
    </row>
    <row r="7" spans="2:120" ht="18.75" customHeight="1" x14ac:dyDescent="0.35">
      <c r="B7" s="16"/>
      <c r="C7" s="20"/>
      <c r="D7" s="16"/>
      <c r="F7" s="18"/>
      <c r="G7" s="18"/>
      <c r="H7" s="18"/>
      <c r="I7" s="18"/>
      <c r="Q7" s="18"/>
      <c r="W7" s="18"/>
      <c r="X7" s="18"/>
      <c r="Y7" s="18"/>
      <c r="Z7" s="18"/>
      <c r="AG7" s="265"/>
      <c r="AH7" s="265"/>
      <c r="AS7" s="18"/>
      <c r="AT7" s="18"/>
      <c r="AU7" s="18"/>
      <c r="AV7" s="18"/>
      <c r="BE7" s="18"/>
      <c r="BF7" s="18"/>
      <c r="BG7" s="18"/>
      <c r="BH7" s="18"/>
      <c r="BP7" s="18"/>
      <c r="BV7" s="18"/>
      <c r="BW7" s="18"/>
      <c r="BX7" s="18"/>
      <c r="BY7" s="18"/>
      <c r="CG7" s="1" t="s">
        <v>6</v>
      </c>
      <c r="CH7" s="10"/>
      <c r="CI7" s="11"/>
      <c r="CJ7" s="12"/>
      <c r="CK7" s="13"/>
      <c r="CM7" s="12"/>
      <c r="CN7" s="13"/>
      <c r="CO7" s="13"/>
      <c r="CY7" s="8"/>
    </row>
    <row r="8" spans="2:120" ht="18.75" customHeight="1" x14ac:dyDescent="0.35">
      <c r="B8" s="16"/>
      <c r="C8" s="21"/>
      <c r="D8" s="16"/>
      <c r="F8" s="18"/>
      <c r="G8" s="18"/>
      <c r="H8" s="18"/>
      <c r="I8" s="18"/>
      <c r="J8" s="22"/>
      <c r="K8" s="22"/>
      <c r="Q8" s="18"/>
      <c r="R8" s="22"/>
      <c r="S8" s="22"/>
      <c r="W8" s="18"/>
      <c r="X8" s="18"/>
      <c r="Y8" s="18"/>
      <c r="Z8" s="18"/>
      <c r="AA8" s="22"/>
      <c r="AB8" s="22"/>
      <c r="AG8" s="265"/>
      <c r="AH8" s="265"/>
      <c r="AS8" s="18"/>
      <c r="AT8" s="18"/>
      <c r="AU8" s="18"/>
      <c r="AV8" s="18"/>
      <c r="AW8" s="22"/>
      <c r="AX8" s="22"/>
      <c r="BE8" s="18"/>
      <c r="BF8" s="18"/>
      <c r="BG8" s="18"/>
      <c r="BH8" s="18"/>
      <c r="BI8" s="22"/>
      <c r="BJ8" s="22"/>
      <c r="BP8" s="18"/>
      <c r="BQ8" s="22"/>
      <c r="BR8" s="22"/>
      <c r="BV8" s="18"/>
      <c r="BW8" s="18"/>
      <c r="BX8" s="18"/>
      <c r="BY8" s="18"/>
      <c r="BZ8" s="22"/>
      <c r="CA8" s="22"/>
      <c r="CB8" s="22"/>
      <c r="CD8" s="23"/>
      <c r="CG8" s="1" t="s">
        <v>7</v>
      </c>
      <c r="CH8" s="10"/>
      <c r="CI8" s="11"/>
      <c r="CJ8" s="12"/>
      <c r="CK8" s="13"/>
      <c r="CM8" s="12"/>
      <c r="CN8" s="13"/>
      <c r="CO8" s="13"/>
      <c r="CY8" s="8"/>
    </row>
    <row r="9" spans="2:120" ht="18.75" customHeight="1" x14ac:dyDescent="0.35">
      <c r="B9" s="16" t="s">
        <v>8</v>
      </c>
      <c r="D9" s="16"/>
      <c r="AG9" s="265"/>
      <c r="AH9" s="265"/>
      <c r="CD9" s="24"/>
      <c r="CE9" s="25"/>
      <c r="CF9" s="25"/>
      <c r="CG9" s="16" t="s">
        <v>9</v>
      </c>
      <c r="CH9" s="26"/>
      <c r="CI9" s="27"/>
      <c r="CJ9" s="24"/>
      <c r="CK9" s="28"/>
      <c r="CM9" s="24"/>
      <c r="CN9" s="28"/>
      <c r="CO9" s="28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</row>
    <row r="10" spans="2:120" ht="18.75" customHeight="1" x14ac:dyDescent="0.35">
      <c r="B10" s="16" t="s">
        <v>10</v>
      </c>
      <c r="C10" s="8"/>
      <c r="D10" s="16"/>
      <c r="CD10" s="24"/>
      <c r="CE10" s="25"/>
      <c r="CF10" s="25"/>
      <c r="CG10" s="16" t="s">
        <v>11</v>
      </c>
      <c r="CH10" s="29"/>
      <c r="CI10" s="30"/>
      <c r="CJ10" s="24"/>
      <c r="CK10" s="28"/>
      <c r="CM10" s="24"/>
      <c r="CN10" s="28"/>
      <c r="CO10" s="28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</row>
    <row r="11" spans="2:120" ht="18.75" customHeight="1" x14ac:dyDescent="0.35">
      <c r="B11" s="16"/>
      <c r="C11" s="8"/>
      <c r="D11" s="16"/>
      <c r="CD11" s="24"/>
      <c r="CE11" s="25"/>
      <c r="CF11" s="25"/>
      <c r="CG11" s="16" t="s">
        <v>12</v>
      </c>
      <c r="CH11" s="29"/>
      <c r="CI11" s="30"/>
      <c r="CJ11" s="24"/>
      <c r="CK11" s="28"/>
      <c r="CM11" s="24"/>
      <c r="CN11" s="28"/>
      <c r="CO11" s="28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</row>
    <row r="12" spans="2:120" ht="18.75" customHeight="1" x14ac:dyDescent="0.35">
      <c r="B12" s="16"/>
      <c r="C12" s="8"/>
      <c r="D12" s="16"/>
      <c r="CD12" s="24"/>
      <c r="CE12" s="25"/>
      <c r="CF12" s="25"/>
      <c r="CG12" s="16" t="s">
        <v>13</v>
      </c>
      <c r="CH12" s="29" t="s">
        <v>95</v>
      </c>
      <c r="CI12" s="30"/>
      <c r="CJ12" s="24"/>
      <c r="CK12" s="28"/>
      <c r="CM12" s="24"/>
      <c r="CN12" s="28"/>
      <c r="CO12" s="28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 spans="2:120" ht="18.75" customHeight="1" thickBot="1" x14ac:dyDescent="0.4">
      <c r="B13" s="16"/>
      <c r="C13" s="8"/>
      <c r="D13" s="16"/>
      <c r="CD13" s="24"/>
      <c r="CE13" s="25"/>
      <c r="CF13" s="25"/>
      <c r="CG13" s="16"/>
      <c r="CH13" s="24"/>
      <c r="CI13" s="28"/>
      <c r="CJ13" s="24"/>
      <c r="CK13" s="28"/>
      <c r="CM13" s="24"/>
      <c r="CN13" s="28"/>
      <c r="CO13" s="28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</row>
    <row r="14" spans="2:120" ht="21.75" customHeight="1" thickBot="1" x14ac:dyDescent="0.4">
      <c r="B14" s="31" t="str">
        <f>"BOOKING CONFIRMATION - " &amp; CH2</f>
        <v xml:space="preserve">BOOKING CONFIRMATION - Boss Engineering </v>
      </c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4"/>
      <c r="CF14" s="34"/>
      <c r="CG14" s="33"/>
      <c r="CH14" s="35"/>
      <c r="CI14" s="36"/>
      <c r="CJ14" s="266" t="s">
        <v>14</v>
      </c>
      <c r="CK14" s="267"/>
      <c r="CL14" s="268"/>
      <c r="CM14" s="269" t="s">
        <v>15</v>
      </c>
      <c r="CN14" s="270"/>
      <c r="CO14" s="271"/>
      <c r="CP14" s="37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2:120" ht="19.5" hidden="1" customHeight="1" thickBot="1" x14ac:dyDescent="0.4">
      <c r="B15" s="38"/>
      <c r="C15" s="39"/>
      <c r="D15" s="39"/>
      <c r="E15" s="40" t="str">
        <f t="shared" ref="E15:BC15" si="0">MONTH(E17)&amp;" "&amp;YEAR(E17)</f>
        <v>1 2025</v>
      </c>
      <c r="F15" s="40" t="str">
        <f t="shared" si="0"/>
        <v>1 2025</v>
      </c>
      <c r="G15" s="40" t="str">
        <f t="shared" si="0"/>
        <v>1 2025</v>
      </c>
      <c r="H15" s="40" t="str">
        <f t="shared" si="0"/>
        <v>1 2025</v>
      </c>
      <c r="I15" s="40" t="str">
        <f t="shared" si="0"/>
        <v>2 2025</v>
      </c>
      <c r="J15" s="40" t="str">
        <f t="shared" si="0"/>
        <v>2 2025</v>
      </c>
      <c r="K15" s="40" t="str">
        <f t="shared" si="0"/>
        <v>2 2025</v>
      </c>
      <c r="L15" s="40" t="str">
        <f t="shared" si="0"/>
        <v>2 2025</v>
      </c>
      <c r="M15" s="40" t="str">
        <f t="shared" si="0"/>
        <v>3 2025</v>
      </c>
      <c r="N15" s="40" t="str">
        <f t="shared" si="0"/>
        <v>3 2025</v>
      </c>
      <c r="O15" s="40" t="str">
        <f t="shared" si="0"/>
        <v>3 2025</v>
      </c>
      <c r="P15" s="40" t="str">
        <f t="shared" si="0"/>
        <v>3 2025</v>
      </c>
      <c r="Q15" s="40" t="str">
        <f t="shared" si="0"/>
        <v>3 2025</v>
      </c>
      <c r="R15" s="40" t="str">
        <f t="shared" si="0"/>
        <v>4 2025</v>
      </c>
      <c r="S15" s="40" t="str">
        <f t="shared" si="0"/>
        <v>4 2025</v>
      </c>
      <c r="T15" s="40" t="str">
        <f t="shared" si="0"/>
        <v>4 2025</v>
      </c>
      <c r="U15" s="40" t="str">
        <f t="shared" si="0"/>
        <v>4 2025</v>
      </c>
      <c r="V15" s="40" t="str">
        <f t="shared" si="0"/>
        <v>5 2025</v>
      </c>
      <c r="W15" s="40" t="str">
        <f t="shared" si="0"/>
        <v>5 2025</v>
      </c>
      <c r="X15" s="40" t="str">
        <f t="shared" si="0"/>
        <v>5 2025</v>
      </c>
      <c r="Y15" s="40" t="str">
        <f t="shared" si="0"/>
        <v>5 2025</v>
      </c>
      <c r="Z15" s="40" t="str">
        <f t="shared" si="0"/>
        <v>6 2025</v>
      </c>
      <c r="AA15" s="40" t="str">
        <f t="shared" si="0"/>
        <v>6 2025</v>
      </c>
      <c r="AB15" s="40" t="str">
        <f t="shared" si="0"/>
        <v>6 2025</v>
      </c>
      <c r="AC15" s="40" t="str">
        <f t="shared" si="0"/>
        <v>6 2025</v>
      </c>
      <c r="AD15" s="40" t="str">
        <f t="shared" si="0"/>
        <v>6 2025</v>
      </c>
      <c r="AE15" s="40" t="str">
        <f t="shared" si="0"/>
        <v>7 2025</v>
      </c>
      <c r="AF15" s="40" t="str">
        <f t="shared" si="0"/>
        <v>7 2025</v>
      </c>
      <c r="AG15" s="40" t="str">
        <f t="shared" si="0"/>
        <v>7 2025</v>
      </c>
      <c r="AH15" s="40" t="str">
        <f t="shared" si="0"/>
        <v>7 2025</v>
      </c>
      <c r="AI15" s="40" t="str">
        <f t="shared" si="0"/>
        <v>8 2025</v>
      </c>
      <c r="AJ15" s="40" t="str">
        <f t="shared" si="0"/>
        <v>8 2025</v>
      </c>
      <c r="AK15" s="40" t="str">
        <f t="shared" si="0"/>
        <v>8 2025</v>
      </c>
      <c r="AL15" s="40" t="str">
        <f t="shared" si="0"/>
        <v>8 2025</v>
      </c>
      <c r="AM15" s="40" t="str">
        <f t="shared" si="0"/>
        <v>9 2025</v>
      </c>
      <c r="AN15" s="40" t="str">
        <f t="shared" si="0"/>
        <v>9 2025</v>
      </c>
      <c r="AO15" s="40" t="str">
        <f t="shared" si="0"/>
        <v>9 2025</v>
      </c>
      <c r="AP15" s="40" t="str">
        <f t="shared" si="0"/>
        <v>9 2025</v>
      </c>
      <c r="AQ15" s="40" t="str">
        <f t="shared" si="0"/>
        <v>9 2025</v>
      </c>
      <c r="AR15" s="40" t="str">
        <f t="shared" si="0"/>
        <v>10 2025</v>
      </c>
      <c r="AS15" s="40" t="str">
        <f t="shared" si="0"/>
        <v>10 2025</v>
      </c>
      <c r="AT15" s="40" t="str">
        <f t="shared" si="0"/>
        <v>10 2025</v>
      </c>
      <c r="AU15" s="40" t="str">
        <f t="shared" si="0"/>
        <v>10 2025</v>
      </c>
      <c r="AV15" s="40" t="str">
        <f t="shared" si="0"/>
        <v>11 2025</v>
      </c>
      <c r="AW15" s="40" t="str">
        <f t="shared" si="0"/>
        <v>11 2025</v>
      </c>
      <c r="AX15" s="40" t="str">
        <f t="shared" si="0"/>
        <v>11 2025</v>
      </c>
      <c r="AY15" s="40" t="str">
        <f t="shared" si="0"/>
        <v>11 2025</v>
      </c>
      <c r="AZ15" s="40" t="str">
        <f t="shared" si="0"/>
        <v>12 2025</v>
      </c>
      <c r="BA15" s="40" t="str">
        <f t="shared" si="0"/>
        <v>12 2025</v>
      </c>
      <c r="BB15" s="40" t="str">
        <f t="shared" si="0"/>
        <v>12 2025</v>
      </c>
      <c r="BC15" s="40" t="str">
        <f t="shared" si="0"/>
        <v>12 2025</v>
      </c>
      <c r="BD15" s="40" t="str">
        <f t="shared" ref="BD15:CC15" si="1">MONTH(BD17)&amp;" "&amp;YEAR(BD17)</f>
        <v>12 2025</v>
      </c>
      <c r="BE15" s="40" t="str">
        <f t="shared" si="1"/>
        <v>1 2026</v>
      </c>
      <c r="BF15" s="40" t="str">
        <f t="shared" si="1"/>
        <v>1 2026</v>
      </c>
      <c r="BG15" s="40" t="str">
        <f t="shared" si="1"/>
        <v>1 2026</v>
      </c>
      <c r="BH15" s="40" t="str">
        <f t="shared" si="1"/>
        <v>1 2026</v>
      </c>
      <c r="BI15" s="40" t="str">
        <f t="shared" si="1"/>
        <v>2 2026</v>
      </c>
      <c r="BJ15" s="40" t="str">
        <f t="shared" si="1"/>
        <v>2 2026</v>
      </c>
      <c r="BK15" s="40" t="str">
        <f t="shared" si="1"/>
        <v>2 2026</v>
      </c>
      <c r="BL15" s="40" t="str">
        <f t="shared" si="1"/>
        <v>2 2026</v>
      </c>
      <c r="BM15" s="40" t="str">
        <f t="shared" si="1"/>
        <v>3 2026</v>
      </c>
      <c r="BN15" s="40" t="str">
        <f t="shared" si="1"/>
        <v>3 2026</v>
      </c>
      <c r="BO15" s="40" t="str">
        <f t="shared" si="1"/>
        <v>3 2026</v>
      </c>
      <c r="BP15" s="40" t="str">
        <f t="shared" si="1"/>
        <v>3 2026</v>
      </c>
      <c r="BQ15" s="40" t="str">
        <f t="shared" si="1"/>
        <v>3 2026</v>
      </c>
      <c r="BR15" s="40" t="str">
        <f t="shared" si="1"/>
        <v>4 2026</v>
      </c>
      <c r="BS15" s="40" t="str">
        <f t="shared" si="1"/>
        <v>4 2026</v>
      </c>
      <c r="BT15" s="40" t="str">
        <f t="shared" si="1"/>
        <v>4 2026</v>
      </c>
      <c r="BU15" s="40" t="str">
        <f t="shared" si="1"/>
        <v>4 2026</v>
      </c>
      <c r="BV15" s="40" t="str">
        <f t="shared" si="1"/>
        <v>5 2026</v>
      </c>
      <c r="BW15" s="40" t="str">
        <f t="shared" si="1"/>
        <v>5 2026</v>
      </c>
      <c r="BX15" s="40" t="str">
        <f t="shared" si="1"/>
        <v>5 2026</v>
      </c>
      <c r="BY15" s="40" t="str">
        <f t="shared" si="1"/>
        <v>5 2026</v>
      </c>
      <c r="BZ15" s="40" t="str">
        <f t="shared" si="1"/>
        <v>6 2026</v>
      </c>
      <c r="CA15" s="40" t="str">
        <f t="shared" si="1"/>
        <v>6 2026</v>
      </c>
      <c r="CB15" s="40"/>
      <c r="CC15" s="40" t="str">
        <f t="shared" si="1"/>
        <v>6 2026</v>
      </c>
      <c r="CD15" s="39"/>
      <c r="CE15" s="41"/>
      <c r="CF15" s="41"/>
      <c r="CG15" s="39"/>
      <c r="CH15" s="39"/>
      <c r="CI15" s="42"/>
      <c r="CJ15" s="43"/>
      <c r="CK15" s="44"/>
      <c r="CL15" s="45"/>
      <c r="CM15" s="46"/>
      <c r="CN15" s="47"/>
      <c r="CO15" s="47"/>
      <c r="CU15" s="8"/>
      <c r="CV15" s="8"/>
      <c r="CW15" s="8"/>
      <c r="CX15" s="8"/>
      <c r="CY15" s="8"/>
    </row>
    <row r="16" spans="2:120" ht="33" customHeight="1" x14ac:dyDescent="0.35">
      <c r="B16" s="272" t="s">
        <v>16</v>
      </c>
      <c r="C16" s="274" t="s">
        <v>17</v>
      </c>
      <c r="D16" s="276" t="s">
        <v>18</v>
      </c>
      <c r="E16" s="263" t="s">
        <v>24</v>
      </c>
      <c r="F16" s="263"/>
      <c r="G16" s="263"/>
      <c r="H16" s="263"/>
      <c r="I16" s="253" t="s">
        <v>25</v>
      </c>
      <c r="J16" s="254"/>
      <c r="K16" s="254"/>
      <c r="L16" s="255"/>
      <c r="M16" s="48" t="s">
        <v>26</v>
      </c>
      <c r="N16" s="48"/>
      <c r="O16" s="48"/>
      <c r="P16" s="49"/>
      <c r="Q16" s="278" t="s">
        <v>27</v>
      </c>
      <c r="R16" s="263"/>
      <c r="S16" s="263"/>
      <c r="T16" s="263"/>
      <c r="U16" s="264"/>
      <c r="V16" s="253" t="s">
        <v>28</v>
      </c>
      <c r="W16" s="254"/>
      <c r="X16" s="254"/>
      <c r="Y16" s="255"/>
      <c r="Z16" s="262" t="s">
        <v>29</v>
      </c>
      <c r="AA16" s="263"/>
      <c r="AB16" s="263"/>
      <c r="AC16" s="263"/>
      <c r="AD16" s="264"/>
      <c r="AE16" s="253" t="s">
        <v>30</v>
      </c>
      <c r="AF16" s="254"/>
      <c r="AG16" s="254"/>
      <c r="AH16" s="255"/>
      <c r="AI16" s="254" t="s">
        <v>19</v>
      </c>
      <c r="AJ16" s="254"/>
      <c r="AK16" s="254"/>
      <c r="AL16" s="255"/>
      <c r="AM16" s="262" t="s">
        <v>20</v>
      </c>
      <c r="AN16" s="263"/>
      <c r="AO16" s="263"/>
      <c r="AP16" s="263"/>
      <c r="AQ16" s="264"/>
      <c r="AR16" s="262" t="s">
        <v>21</v>
      </c>
      <c r="AS16" s="263"/>
      <c r="AT16" s="263"/>
      <c r="AU16" s="264"/>
      <c r="AV16" s="253" t="s">
        <v>22</v>
      </c>
      <c r="AW16" s="254"/>
      <c r="AX16" s="254"/>
      <c r="AY16" s="255"/>
      <c r="AZ16" s="262" t="s">
        <v>23</v>
      </c>
      <c r="BA16" s="263"/>
      <c r="BB16" s="263"/>
      <c r="BC16" s="263"/>
      <c r="BD16" s="263"/>
      <c r="BE16" s="263" t="s">
        <v>24</v>
      </c>
      <c r="BF16" s="263"/>
      <c r="BG16" s="263"/>
      <c r="BH16" s="264"/>
      <c r="BI16" s="262" t="s">
        <v>25</v>
      </c>
      <c r="BJ16" s="263"/>
      <c r="BK16" s="263"/>
      <c r="BL16" s="263"/>
      <c r="BM16" s="263" t="s">
        <v>26</v>
      </c>
      <c r="BN16" s="263"/>
      <c r="BO16" s="263"/>
      <c r="BP16" s="263"/>
      <c r="BQ16" s="220"/>
      <c r="BR16" s="278" t="s">
        <v>27</v>
      </c>
      <c r="BS16" s="263"/>
      <c r="BT16" s="263"/>
      <c r="BU16" s="264"/>
      <c r="BV16" s="262" t="s">
        <v>28</v>
      </c>
      <c r="BW16" s="263"/>
      <c r="BX16" s="263"/>
      <c r="BY16" s="263"/>
      <c r="BZ16" s="254" t="s">
        <v>29</v>
      </c>
      <c r="CA16" s="254"/>
      <c r="CB16" s="254"/>
      <c r="CC16" s="255"/>
      <c r="CD16" s="256" t="s">
        <v>31</v>
      </c>
      <c r="CE16" s="258" t="s">
        <v>32</v>
      </c>
      <c r="CF16" s="258" t="s">
        <v>33</v>
      </c>
      <c r="CG16" s="256" t="s">
        <v>34</v>
      </c>
      <c r="CH16" s="256" t="s">
        <v>35</v>
      </c>
      <c r="CI16" s="245" t="s">
        <v>36</v>
      </c>
      <c r="CJ16" s="247" t="s">
        <v>37</v>
      </c>
      <c r="CK16" s="249" t="s">
        <v>38</v>
      </c>
      <c r="CL16" s="251" t="s">
        <v>14</v>
      </c>
      <c r="CM16" s="260" t="s">
        <v>39</v>
      </c>
      <c r="CN16" s="279" t="s">
        <v>40</v>
      </c>
      <c r="CO16" s="281" t="s">
        <v>41</v>
      </c>
      <c r="CP16" s="244"/>
      <c r="CS16" s="50"/>
      <c r="CT16" s="51">
        <f>EDATE(CS16,1)</f>
        <v>31</v>
      </c>
      <c r="CU16" s="51">
        <f t="shared" ref="CU16:DP16" si="2">EDATE(CT16,1)</f>
        <v>59</v>
      </c>
      <c r="CV16" s="51">
        <f t="shared" si="2"/>
        <v>88</v>
      </c>
      <c r="CW16" s="51">
        <f t="shared" si="2"/>
        <v>119</v>
      </c>
      <c r="CX16" s="51">
        <f t="shared" si="2"/>
        <v>149</v>
      </c>
      <c r="CY16" s="51">
        <f t="shared" si="2"/>
        <v>180</v>
      </c>
      <c r="CZ16" s="51">
        <f t="shared" si="2"/>
        <v>210</v>
      </c>
      <c r="DA16" s="51">
        <f t="shared" si="2"/>
        <v>241</v>
      </c>
      <c r="DB16" s="51">
        <f t="shared" si="2"/>
        <v>272</v>
      </c>
      <c r="DC16" s="51">
        <f t="shared" si="2"/>
        <v>302</v>
      </c>
      <c r="DD16" s="51">
        <f t="shared" si="2"/>
        <v>333</v>
      </c>
      <c r="DE16" s="51">
        <f t="shared" si="2"/>
        <v>363</v>
      </c>
      <c r="DF16" s="51">
        <f t="shared" si="2"/>
        <v>394</v>
      </c>
      <c r="DG16" s="51">
        <f t="shared" si="2"/>
        <v>425</v>
      </c>
      <c r="DH16" s="51">
        <f t="shared" si="2"/>
        <v>453</v>
      </c>
      <c r="DI16" s="51">
        <f t="shared" si="2"/>
        <v>484</v>
      </c>
      <c r="DJ16" s="51">
        <f t="shared" si="2"/>
        <v>514</v>
      </c>
      <c r="DK16" s="51">
        <f t="shared" si="2"/>
        <v>545</v>
      </c>
      <c r="DL16" s="51">
        <f t="shared" si="2"/>
        <v>575</v>
      </c>
      <c r="DM16" s="51">
        <f t="shared" si="2"/>
        <v>606</v>
      </c>
      <c r="DN16" s="51">
        <f t="shared" si="2"/>
        <v>637</v>
      </c>
      <c r="DO16" s="51">
        <f t="shared" si="2"/>
        <v>667</v>
      </c>
      <c r="DP16" s="52">
        <f t="shared" si="2"/>
        <v>698</v>
      </c>
    </row>
    <row r="17" spans="1:134" ht="33" customHeight="1" thickBot="1" x14ac:dyDescent="0.4">
      <c r="B17" s="273"/>
      <c r="C17" s="275"/>
      <c r="D17" s="277"/>
      <c r="E17" s="55">
        <v>45663</v>
      </c>
      <c r="F17" s="55">
        <f t="shared" ref="F17:L17" si="3">E17+7</f>
        <v>45670</v>
      </c>
      <c r="G17" s="59">
        <f t="shared" si="3"/>
        <v>45677</v>
      </c>
      <c r="H17" s="56">
        <f t="shared" si="3"/>
        <v>45684</v>
      </c>
      <c r="I17" s="57">
        <f t="shared" si="3"/>
        <v>45691</v>
      </c>
      <c r="J17" s="55">
        <f t="shared" si="3"/>
        <v>45698</v>
      </c>
      <c r="K17" s="55">
        <f t="shared" si="3"/>
        <v>45705</v>
      </c>
      <c r="L17" s="58">
        <f t="shared" si="3"/>
        <v>45712</v>
      </c>
      <c r="M17" s="54">
        <f>L17+7</f>
        <v>45719</v>
      </c>
      <c r="N17" s="55">
        <f t="shared" ref="N17:BC17" si="4">M17+7</f>
        <v>45726</v>
      </c>
      <c r="O17" s="55">
        <f t="shared" si="4"/>
        <v>45733</v>
      </c>
      <c r="P17" s="60">
        <f t="shared" si="4"/>
        <v>45740</v>
      </c>
      <c r="Q17" s="55">
        <f t="shared" si="4"/>
        <v>45747</v>
      </c>
      <c r="R17" s="55">
        <f t="shared" si="4"/>
        <v>45754</v>
      </c>
      <c r="S17" s="55">
        <f t="shared" si="4"/>
        <v>45761</v>
      </c>
      <c r="T17" s="58">
        <f t="shared" si="4"/>
        <v>45768</v>
      </c>
      <c r="U17" s="57">
        <f t="shared" si="4"/>
        <v>45775</v>
      </c>
      <c r="V17" s="55">
        <f t="shared" si="4"/>
        <v>45782</v>
      </c>
      <c r="W17" s="55">
        <f t="shared" si="4"/>
        <v>45789</v>
      </c>
      <c r="X17" s="56">
        <f t="shared" si="4"/>
        <v>45796</v>
      </c>
      <c r="Y17" s="58">
        <f t="shared" si="4"/>
        <v>45803</v>
      </c>
      <c r="Z17" s="54">
        <f t="shared" si="4"/>
        <v>45810</v>
      </c>
      <c r="AA17" s="55">
        <f t="shared" si="4"/>
        <v>45817</v>
      </c>
      <c r="AB17" s="55">
        <f t="shared" si="4"/>
        <v>45824</v>
      </c>
      <c r="AC17" s="58">
        <f t="shared" si="4"/>
        <v>45831</v>
      </c>
      <c r="AD17" s="57">
        <f t="shared" si="4"/>
        <v>45838</v>
      </c>
      <c r="AE17" s="55">
        <f t="shared" si="4"/>
        <v>45845</v>
      </c>
      <c r="AF17" s="55">
        <f t="shared" si="4"/>
        <v>45852</v>
      </c>
      <c r="AG17" s="58">
        <f t="shared" si="4"/>
        <v>45859</v>
      </c>
      <c r="AH17" s="61">
        <f t="shared" si="4"/>
        <v>45866</v>
      </c>
      <c r="AI17" s="54">
        <f t="shared" si="4"/>
        <v>45873</v>
      </c>
      <c r="AJ17" s="55">
        <f t="shared" si="4"/>
        <v>45880</v>
      </c>
      <c r="AK17" s="55">
        <f t="shared" si="4"/>
        <v>45887</v>
      </c>
      <c r="AL17" s="56">
        <f t="shared" si="4"/>
        <v>45894</v>
      </c>
      <c r="AM17" s="57">
        <f t="shared" si="4"/>
        <v>45901</v>
      </c>
      <c r="AN17" s="55">
        <f t="shared" si="4"/>
        <v>45908</v>
      </c>
      <c r="AO17" s="55">
        <f t="shared" si="4"/>
        <v>45915</v>
      </c>
      <c r="AP17" s="58">
        <f t="shared" si="4"/>
        <v>45922</v>
      </c>
      <c r="AQ17" s="57">
        <f t="shared" si="4"/>
        <v>45929</v>
      </c>
      <c r="AR17" s="55">
        <f t="shared" si="4"/>
        <v>45936</v>
      </c>
      <c r="AS17" s="55">
        <f t="shared" si="4"/>
        <v>45943</v>
      </c>
      <c r="AT17" s="56">
        <f t="shared" si="4"/>
        <v>45950</v>
      </c>
      <c r="AU17" s="62">
        <f t="shared" si="4"/>
        <v>45957</v>
      </c>
      <c r="AV17" s="57">
        <f t="shared" si="4"/>
        <v>45964</v>
      </c>
      <c r="AW17" s="55">
        <f t="shared" si="4"/>
        <v>45971</v>
      </c>
      <c r="AX17" s="55">
        <f t="shared" si="4"/>
        <v>45978</v>
      </c>
      <c r="AY17" s="58">
        <f t="shared" si="4"/>
        <v>45985</v>
      </c>
      <c r="AZ17" s="54">
        <f t="shared" si="4"/>
        <v>45992</v>
      </c>
      <c r="BA17" s="55">
        <f t="shared" si="4"/>
        <v>45999</v>
      </c>
      <c r="BB17" s="55">
        <f t="shared" si="4"/>
        <v>46006</v>
      </c>
      <c r="BC17" s="60">
        <f t="shared" si="4"/>
        <v>46013</v>
      </c>
      <c r="BD17" s="55">
        <f>BC17+7</f>
        <v>46020</v>
      </c>
      <c r="BE17" s="55">
        <f t="shared" ref="BE17" si="5">BD17+7</f>
        <v>46027</v>
      </c>
      <c r="BF17" s="55">
        <f t="shared" ref="BF17" si="6">BE17+7</f>
        <v>46034</v>
      </c>
      <c r="BG17" s="55">
        <f t="shared" ref="BG17" si="7">BF17+7</f>
        <v>46041</v>
      </c>
      <c r="BH17" s="55">
        <f t="shared" ref="BH17" si="8">BG17+7</f>
        <v>46048</v>
      </c>
      <c r="BI17" s="55">
        <f t="shared" ref="BI17" si="9">BH17+7</f>
        <v>46055</v>
      </c>
      <c r="BJ17" s="55">
        <f t="shared" ref="BJ17" si="10">BI17+7</f>
        <v>46062</v>
      </c>
      <c r="BK17" s="55">
        <f t="shared" ref="BK17" si="11">BJ17+7</f>
        <v>46069</v>
      </c>
      <c r="BL17" s="55">
        <f t="shared" ref="BL17" si="12">BK17+7</f>
        <v>46076</v>
      </c>
      <c r="BM17" s="55">
        <f t="shared" ref="BM17" si="13">BL17+7</f>
        <v>46083</v>
      </c>
      <c r="BN17" s="55">
        <f t="shared" ref="BN17" si="14">BM17+7</f>
        <v>46090</v>
      </c>
      <c r="BO17" s="55">
        <f t="shared" ref="BO17" si="15">BN17+7</f>
        <v>46097</v>
      </c>
      <c r="BP17" s="55">
        <f t="shared" ref="BP17" si="16">BO17+7</f>
        <v>46104</v>
      </c>
      <c r="BQ17" s="55">
        <f t="shared" ref="BQ17" si="17">BP17+7</f>
        <v>46111</v>
      </c>
      <c r="BR17" s="55">
        <f t="shared" ref="BR17" si="18">BQ17+7</f>
        <v>46118</v>
      </c>
      <c r="BS17" s="55">
        <f t="shared" ref="BS17" si="19">BR17+7</f>
        <v>46125</v>
      </c>
      <c r="BT17" s="55">
        <f t="shared" ref="BT17" si="20">BS17+7</f>
        <v>46132</v>
      </c>
      <c r="BU17" s="55">
        <f t="shared" ref="BU17" si="21">BT17+7</f>
        <v>46139</v>
      </c>
      <c r="BV17" s="55">
        <f t="shared" ref="BV17" si="22">BU17+7</f>
        <v>46146</v>
      </c>
      <c r="BW17" s="55">
        <f t="shared" ref="BW17" si="23">BV17+7</f>
        <v>46153</v>
      </c>
      <c r="BX17" s="55">
        <f t="shared" ref="BX17" si="24">BW17+7</f>
        <v>46160</v>
      </c>
      <c r="BY17" s="55">
        <f t="shared" ref="BY17" si="25">BX17+7</f>
        <v>46167</v>
      </c>
      <c r="BZ17" s="55">
        <f t="shared" ref="BZ17" si="26">BY17+7</f>
        <v>46174</v>
      </c>
      <c r="CA17" s="55">
        <f t="shared" ref="CA17" si="27">BZ17+7</f>
        <v>46181</v>
      </c>
      <c r="CB17" s="55">
        <f t="shared" ref="CB17" si="28">CA17+7</f>
        <v>46188</v>
      </c>
      <c r="CC17" s="55">
        <f t="shared" ref="CC17" si="29">CB17+7</f>
        <v>46195</v>
      </c>
      <c r="CD17" s="257"/>
      <c r="CE17" s="259"/>
      <c r="CF17" s="259"/>
      <c r="CG17" s="257"/>
      <c r="CH17" s="257"/>
      <c r="CI17" s="246"/>
      <c r="CJ17" s="248"/>
      <c r="CK17" s="250"/>
      <c r="CL17" s="252"/>
      <c r="CM17" s="261"/>
      <c r="CN17" s="280"/>
      <c r="CO17" s="282"/>
      <c r="CP17" s="244"/>
      <c r="CS17" s="63" t="str">
        <f>MONTH(CS16)&amp;" "&amp;YEAR(CS16)</f>
        <v>1 1900</v>
      </c>
      <c r="CT17" s="64" t="str">
        <f t="shared" ref="CT17:DP17" si="30">MONTH(CT16)&amp;" "&amp;YEAR(CT16)</f>
        <v>1 1900</v>
      </c>
      <c r="CU17" s="64" t="str">
        <f t="shared" si="30"/>
        <v>2 1900</v>
      </c>
      <c r="CV17" s="64" t="str">
        <f t="shared" si="30"/>
        <v>3 1900</v>
      </c>
      <c r="CW17" s="64" t="str">
        <f t="shared" si="30"/>
        <v>4 1900</v>
      </c>
      <c r="CX17" s="64" t="str">
        <f t="shared" si="30"/>
        <v>5 1900</v>
      </c>
      <c r="CY17" s="64" t="str">
        <f t="shared" si="30"/>
        <v>6 1900</v>
      </c>
      <c r="CZ17" s="64" t="str">
        <f t="shared" si="30"/>
        <v>7 1900</v>
      </c>
      <c r="DA17" s="64" t="str">
        <f t="shared" si="30"/>
        <v>8 1900</v>
      </c>
      <c r="DB17" s="64" t="str">
        <f t="shared" si="30"/>
        <v>9 1900</v>
      </c>
      <c r="DC17" s="64" t="str">
        <f t="shared" si="30"/>
        <v>10 1900</v>
      </c>
      <c r="DD17" s="64" t="str">
        <f t="shared" si="30"/>
        <v>11 1900</v>
      </c>
      <c r="DE17" s="64" t="str">
        <f t="shared" si="30"/>
        <v>12 1900</v>
      </c>
      <c r="DF17" s="64" t="str">
        <f t="shared" si="30"/>
        <v>1 1901</v>
      </c>
      <c r="DG17" s="64" t="str">
        <f t="shared" si="30"/>
        <v>2 1901</v>
      </c>
      <c r="DH17" s="64" t="str">
        <f t="shared" si="30"/>
        <v>3 1901</v>
      </c>
      <c r="DI17" s="64" t="str">
        <f t="shared" si="30"/>
        <v>4 1901</v>
      </c>
      <c r="DJ17" s="64" t="str">
        <f t="shared" si="30"/>
        <v>5 1901</v>
      </c>
      <c r="DK17" s="64" t="str">
        <f t="shared" si="30"/>
        <v>6 1901</v>
      </c>
      <c r="DL17" s="64" t="str">
        <f t="shared" si="30"/>
        <v>7 1901</v>
      </c>
      <c r="DM17" s="64" t="str">
        <f t="shared" si="30"/>
        <v>8 1901</v>
      </c>
      <c r="DN17" s="64" t="str">
        <f t="shared" si="30"/>
        <v>9 1901</v>
      </c>
      <c r="DO17" s="64" t="str">
        <f t="shared" si="30"/>
        <v>10 1901</v>
      </c>
      <c r="DP17" s="65" t="str">
        <f t="shared" si="30"/>
        <v>11 1901</v>
      </c>
    </row>
    <row r="18" spans="1:134" ht="24.75" customHeight="1" thickBot="1" x14ac:dyDescent="0.4">
      <c r="B18" s="66"/>
      <c r="C18" s="67"/>
      <c r="D18" s="68" t="s">
        <v>42</v>
      </c>
      <c r="E18" s="283" t="s">
        <v>86</v>
      </c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5"/>
      <c r="BE18" s="284" t="s">
        <v>85</v>
      </c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5"/>
      <c r="CD18" s="69"/>
      <c r="CE18" s="70"/>
      <c r="CF18" s="70"/>
      <c r="CG18" s="71"/>
      <c r="CH18" s="72"/>
      <c r="CI18" s="73"/>
      <c r="CJ18" s="74"/>
      <c r="CK18" s="73"/>
      <c r="CL18" s="45"/>
      <c r="CM18" s="74"/>
      <c r="CN18" s="73"/>
      <c r="CO18" s="73"/>
      <c r="CP18" s="75"/>
      <c r="CS18" s="63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5"/>
    </row>
    <row r="19" spans="1:134" s="86" customFormat="1" ht="35.25" customHeight="1" thickBot="1" x14ac:dyDescent="0.4">
      <c r="A19" s="76"/>
      <c r="B19" s="87" t="s">
        <v>46</v>
      </c>
      <c r="C19" s="88"/>
      <c r="D19" s="88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77"/>
      <c r="Z19" s="184"/>
      <c r="AA19" s="184"/>
      <c r="AB19" s="184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184"/>
      <c r="AN19" s="184"/>
      <c r="AO19" s="184"/>
      <c r="AP19" s="184"/>
      <c r="AQ19" s="184"/>
      <c r="AR19" s="184"/>
      <c r="AS19" s="184"/>
      <c r="AT19" s="184"/>
      <c r="AU19" s="77"/>
      <c r="AV19" s="77"/>
      <c r="AW19" s="77"/>
      <c r="AX19" s="77"/>
      <c r="AY19" s="77"/>
      <c r="AZ19" s="77"/>
      <c r="BA19" s="77"/>
      <c r="BB19" s="77"/>
      <c r="BC19" s="77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77"/>
      <c r="BY19" s="184"/>
      <c r="BZ19" s="184"/>
      <c r="CA19" s="184"/>
      <c r="CB19" s="184"/>
      <c r="CC19" s="77"/>
      <c r="CD19" s="77"/>
      <c r="CE19" s="89">
        <f>SUM(E19:BC19)</f>
        <v>0</v>
      </c>
      <c r="CF19" s="89">
        <f t="shared" ref="CF19:CF41" si="31">CD19*CE19</f>
        <v>0</v>
      </c>
      <c r="CG19" s="77"/>
      <c r="CH19" s="78">
        <f t="shared" ref="CH19:CH41" si="32">CG19*CE19</f>
        <v>0</v>
      </c>
      <c r="CI19" s="240">
        <v>120000</v>
      </c>
      <c r="CJ19" s="79"/>
      <c r="CK19" s="79"/>
      <c r="CL19" s="79"/>
      <c r="CM19" s="80"/>
      <c r="CN19" s="81"/>
      <c r="CO19" s="82"/>
      <c r="CP19" s="75"/>
      <c r="CQ19" s="75"/>
      <c r="CR19" s="83"/>
      <c r="CS19" s="84" t="str">
        <f>IFERROR(
IF(SUMIF(ProductCodes,"C",$CI:$CI)=$CI$42,(IF($A19="C",(SUMIF(#REF!,CS$17,#REF!)*$CG19)*((SUMIF(ProductCodes,"C",$CI:$CI)-SUMIF(ProductCodes,"H",$CH:$CH)-SUMIF(ProductCodes,"R",$CH:$CH)-SUMIF(ProductCodes,"B",$CH:$CH)-(SUMIF(ProductCodes,"S",$CH:$CH)/2))/SUMIF(ProductCodes,"C",$CH:$CH)),IF($A19="S",(SUMIF(#REF!,CS$17,#REF!)*$CG19)/2,
IF($A19="B",(SUMIF(#REF!,CS$17,#REF!)*$CG19),
IF($A19="R",(SUMIF(#REF!,CS$17,#REF!)*$CG19),
IF($A19="H",(SUMIF(#REF!,CS$17,#REF!)*$CG19),"")))))),
IF(SUMIF(ProductCodes,"S",$CI:$CI)=$CI$42,(IF($A19="S",(SUMIF(#REF!,CS$17,#REF!)*$CG19)*((SUMIF(ProductCodes,"S",$CI:$CI)-SUMIF(ProductCodes,"H",$CH:$CH)-SUMIF(ProductCodes,"R",$CH:$CH)-SUMIF(ProductCodes,"B",$CH:$CH)-(SUMIF(ProductCodes,"C",$CH:$CH)/4))/SUMIF(ProductCodes,"S",$CH:$CH)),
IF($A19="C",(SUMIF(#REF!,CS$17,#REF!)*$CG19)/4,
IF($A19="B",(SUMIF(#REF!,CS$17,#REF!)*$CG19),
IF($A19="R",(SUMIF(#REF!,CS$17,#REF!)*$CG19),
IF($A19="H",(SUMIF(#REF!,CS$17,#REF!)*$CG19),"")))))),
IF($A19="C",(SUMIF(#REF!,CS$17,#REF!)*$CG19)*(SUMIF(ProductCodes,"C",$CI:$CI)/(SUMIF(ProductCodes,"C",$CH:$CH))),
IF($A19="S",(SUMIF(#REF!,CS$17,#REF!)*$CG19)*(SUMIF(ProductCodes,"S",$CI:$CI)/(SUMIF(ProductCodes,"S",$CH:$CH))),
IF($A19="B",(SUMIF(#REF!,CS$17,#REF!)*$CG19)*(SUMIF(ProductCodes,"B",$CI:$CI)/(SUMIF(ProductCodes,"B",$CH:$CH))),
IF($A19="R",(SUMIF(#REF!,CS$17,#REF!)*$CG19)*(SUMIF(ProductCodes,"R",$CI:$CI)/(SUMIF(ProductCodes,"R",$CH:$CH))),
IF($A19="H",(SUMIF(#REF!,CS$17,#REF!)*$CG19)*(SUMIF(ProductCodes,"H",$CI:$CI)/(SUMIF(ProductCodes,"H",$CH:$CH))),""))))))),"Error")</f>
        <v/>
      </c>
      <c r="CT19" s="84" t="str">
        <f>IFERROR(
IF(SUMIF(ProductCodes,"C",$CI:$CI)=$CI$42,(IF($A19="C",(SUMIF(#REF!,CT$17,#REF!)*$CG19)*((SUMIF(ProductCodes,"C",$CI:$CI)-SUMIF(ProductCodes,"H",$CH:$CH)-SUMIF(ProductCodes,"R",$CH:$CH)-SUMIF(ProductCodes,"B",$CH:$CH)-(SUMIF(ProductCodes,"S",$CH:$CH)/2))/SUMIF(ProductCodes,"C",$CH:$CH)),IF($A19="S",(SUMIF(#REF!,CT$17,#REF!)*$CG19)/2,
IF($A19="B",(SUMIF(#REF!,CT$17,#REF!)*$CG19),
IF($A19="R",(SUMIF(#REF!,CT$17,#REF!)*$CG19),
IF($A19="H",(SUMIF(#REF!,CT$17,#REF!)*$CG19),"")))))),
IF(SUMIF(ProductCodes,"S",$CI:$CI)=$CI$42,(IF($A19="S",(SUMIF(#REF!,CT$17,#REF!)*$CG19)*((SUMIF(ProductCodes,"S",$CI:$CI)-SUMIF(ProductCodes,"H",$CH:$CH)-SUMIF(ProductCodes,"R",$CH:$CH)-SUMIF(ProductCodes,"B",$CH:$CH)-(SUMIF(ProductCodes,"C",$CH:$CH)/4))/SUMIF(ProductCodes,"S",$CH:$CH)),
IF($A19="C",(SUMIF(#REF!,CT$17,#REF!)*$CG19)/4,
IF($A19="B",(SUMIF(#REF!,CT$17,#REF!)*$CG19),
IF($A19="R",(SUMIF(#REF!,CT$17,#REF!)*$CG19),
IF($A19="H",(SUMIF(#REF!,CT$17,#REF!)*$CG19),"")))))),
IF($A19="C",(SUMIF(#REF!,CT$17,#REF!)*$CG19)*(SUMIF(ProductCodes,"C",$CI:$CI)/(SUMIF(ProductCodes,"C",$CH:$CH))),
IF($A19="S",(SUMIF(#REF!,CT$17,#REF!)*$CG19)*(SUMIF(ProductCodes,"S",$CI:$CI)/(SUMIF(ProductCodes,"S",$CH:$CH))),
IF($A19="B",(SUMIF(#REF!,CT$17,#REF!)*$CG19)*(SUMIF(ProductCodes,"B",$CI:$CI)/(SUMIF(ProductCodes,"B",$CH:$CH))),
IF($A19="R",(SUMIF(#REF!,CT$17,#REF!)*$CG19)*(SUMIF(ProductCodes,"R",$CI:$CI)/(SUMIF(ProductCodes,"R",$CH:$CH))),
IF($A19="H",(SUMIF(#REF!,CT$17,#REF!)*$CG19)*(SUMIF(ProductCodes,"H",$CI:$CI)/(SUMIF(ProductCodes,"H",$CH:$CH))),""))))))),"Error")</f>
        <v/>
      </c>
      <c r="CU19" s="84" t="str">
        <f>IFERROR(
IF(SUMIF(ProductCodes,"C",$CI:$CI)=$CI$42,(IF($A19="C",(SUMIF(#REF!,CU$17,#REF!)*$CG19)*((SUMIF(ProductCodes,"C",$CI:$CI)-SUMIF(ProductCodes,"H",$CH:$CH)-SUMIF(ProductCodes,"R",$CH:$CH)-SUMIF(ProductCodes,"B",$CH:$CH)-(SUMIF(ProductCodes,"S",$CH:$CH)/2))/SUMIF(ProductCodes,"C",$CH:$CH)),IF($A19="S",(SUMIF(#REF!,CU$17,#REF!)*$CG19)/2,
IF($A19="B",(SUMIF(#REF!,CU$17,#REF!)*$CG19),
IF($A19="R",(SUMIF(#REF!,CU$17,#REF!)*$CG19),
IF($A19="H",(SUMIF(#REF!,CU$17,#REF!)*$CG19),"")))))),
IF(SUMIF(ProductCodes,"S",$CI:$CI)=$CI$42,(IF($A19="S",(SUMIF(#REF!,CU$17,#REF!)*$CG19)*((SUMIF(ProductCodes,"S",$CI:$CI)-SUMIF(ProductCodes,"H",$CH:$CH)-SUMIF(ProductCodes,"R",$CH:$CH)-SUMIF(ProductCodes,"B",$CH:$CH)-(SUMIF(ProductCodes,"C",$CH:$CH)/4))/SUMIF(ProductCodes,"S",$CH:$CH)),
IF($A19="C",(SUMIF(#REF!,CU$17,#REF!)*$CG19)/4,
IF($A19="B",(SUMIF(#REF!,CU$17,#REF!)*$CG19),
IF($A19="R",(SUMIF(#REF!,CU$17,#REF!)*$CG19),
IF($A19="H",(SUMIF(#REF!,CU$17,#REF!)*$CG19),"")))))),
IF($A19="C",(SUMIF(#REF!,CU$17,#REF!)*$CG19)*(SUMIF(ProductCodes,"C",$CI:$CI)/(SUMIF(ProductCodes,"C",$CH:$CH))),
IF($A19="S",(SUMIF(#REF!,CU$17,#REF!)*$CG19)*(SUMIF(ProductCodes,"S",$CI:$CI)/(SUMIF(ProductCodes,"S",$CH:$CH))),
IF($A19="B",(SUMIF(#REF!,CU$17,#REF!)*$CG19)*(SUMIF(ProductCodes,"B",$CI:$CI)/(SUMIF(ProductCodes,"B",$CH:$CH))),
IF($A19="R",(SUMIF(#REF!,CU$17,#REF!)*$CG19)*(SUMIF(ProductCodes,"R",$CI:$CI)/(SUMIF(ProductCodes,"R",$CH:$CH))),
IF($A19="H",(SUMIF(#REF!,CU$17,#REF!)*$CG19)*(SUMIF(ProductCodes,"H",$CI:$CI)/(SUMIF(ProductCodes,"H",$CH:$CH))),""))))))),"Error")</f>
        <v/>
      </c>
      <c r="CV19" s="84" t="str">
        <f>IFERROR(
IF(SUMIF(ProductCodes,"C",$CI:$CI)=$CI$42,(IF($A19="C",(SUMIF(#REF!,CV$17,#REF!)*$CG19)*((SUMIF(ProductCodes,"C",$CI:$CI)-SUMIF(ProductCodes,"H",$CH:$CH)-SUMIF(ProductCodes,"R",$CH:$CH)-SUMIF(ProductCodes,"B",$CH:$CH)-(SUMIF(ProductCodes,"S",$CH:$CH)/2))/SUMIF(ProductCodes,"C",$CH:$CH)),IF($A19="S",(SUMIF(#REF!,CV$17,#REF!)*$CG19)/2,
IF($A19="B",(SUMIF(#REF!,CV$17,#REF!)*$CG19),
IF($A19="R",(SUMIF(#REF!,CV$17,#REF!)*$CG19),
IF($A19="H",(SUMIF(#REF!,CV$17,#REF!)*$CG19),"")))))),
IF(SUMIF(ProductCodes,"S",$CI:$CI)=$CI$42,(IF($A19="S",(SUMIF(#REF!,CV$17,#REF!)*$CG19)*((SUMIF(ProductCodes,"S",$CI:$CI)-SUMIF(ProductCodes,"H",$CH:$CH)-SUMIF(ProductCodes,"R",$CH:$CH)-SUMIF(ProductCodes,"B",$CH:$CH)-(SUMIF(ProductCodes,"C",$CH:$CH)/4))/SUMIF(ProductCodes,"S",$CH:$CH)),
IF($A19="C",(SUMIF(#REF!,CV$17,#REF!)*$CG19)/4,
IF($A19="B",(SUMIF(#REF!,CV$17,#REF!)*$CG19),
IF($A19="R",(SUMIF(#REF!,CV$17,#REF!)*$CG19),
IF($A19="H",(SUMIF(#REF!,CV$17,#REF!)*$CG19),"")))))),
IF($A19="C",(SUMIF(#REF!,CV$17,#REF!)*$CG19)*(SUMIF(ProductCodes,"C",$CI:$CI)/(SUMIF(ProductCodes,"C",$CH:$CH))),
IF($A19="S",(SUMIF(#REF!,CV$17,#REF!)*$CG19)*(SUMIF(ProductCodes,"S",$CI:$CI)/(SUMIF(ProductCodes,"S",$CH:$CH))),
IF($A19="B",(SUMIF(#REF!,CV$17,#REF!)*$CG19)*(SUMIF(ProductCodes,"B",$CI:$CI)/(SUMIF(ProductCodes,"B",$CH:$CH))),
IF($A19="R",(SUMIF(#REF!,CV$17,#REF!)*$CG19)*(SUMIF(ProductCodes,"R",$CI:$CI)/(SUMIF(ProductCodes,"R",$CH:$CH))),
IF($A19="H",(SUMIF(#REF!,CV$17,#REF!)*$CG19)*(SUMIF(ProductCodes,"H",$CI:$CI)/(SUMIF(ProductCodes,"H",$CH:$CH))),""))))))),"Error")</f>
        <v/>
      </c>
      <c r="CW19" s="84" t="str">
        <f>IFERROR(
IF(SUMIF(ProductCodes,"C",$CI:$CI)=$CI$42,(IF($A19="C",(SUMIF(#REF!,CW$17,#REF!)*$CG19)*((SUMIF(ProductCodes,"C",$CI:$CI)-SUMIF(ProductCodes,"H",$CH:$CH)-SUMIF(ProductCodes,"R",$CH:$CH)-SUMIF(ProductCodes,"B",$CH:$CH)-(SUMIF(ProductCodes,"S",$CH:$CH)/2))/SUMIF(ProductCodes,"C",$CH:$CH)),IF($A19="S",(SUMIF(#REF!,CW$17,#REF!)*$CG19)/2,
IF($A19="B",(SUMIF(#REF!,CW$17,#REF!)*$CG19),
IF($A19="R",(SUMIF(#REF!,CW$17,#REF!)*$CG19),
IF($A19="H",(SUMIF(#REF!,CW$17,#REF!)*$CG19),"")))))),
IF(SUMIF(ProductCodes,"S",$CI:$CI)=$CI$42,(IF($A19="S",(SUMIF(#REF!,CW$17,#REF!)*$CG19)*((SUMIF(ProductCodes,"S",$CI:$CI)-SUMIF(ProductCodes,"H",$CH:$CH)-SUMIF(ProductCodes,"R",$CH:$CH)-SUMIF(ProductCodes,"B",$CH:$CH)-(SUMIF(ProductCodes,"C",$CH:$CH)/4))/SUMIF(ProductCodes,"S",$CH:$CH)),
IF($A19="C",(SUMIF(#REF!,CW$17,#REF!)*$CG19)/4,
IF($A19="B",(SUMIF(#REF!,CW$17,#REF!)*$CG19),
IF($A19="R",(SUMIF(#REF!,CW$17,#REF!)*$CG19),
IF($A19="H",(SUMIF(#REF!,CW$17,#REF!)*$CG19),"")))))),
IF($A19="C",(SUMIF(#REF!,CW$17,#REF!)*$CG19)*(SUMIF(ProductCodes,"C",$CI:$CI)/(SUMIF(ProductCodes,"C",$CH:$CH))),
IF($A19="S",(SUMIF(#REF!,CW$17,#REF!)*$CG19)*(SUMIF(ProductCodes,"S",$CI:$CI)/(SUMIF(ProductCodes,"S",$CH:$CH))),
IF($A19="B",(SUMIF(#REF!,CW$17,#REF!)*$CG19)*(SUMIF(ProductCodes,"B",$CI:$CI)/(SUMIF(ProductCodes,"B",$CH:$CH))),
IF($A19="R",(SUMIF(#REF!,CW$17,#REF!)*$CG19)*(SUMIF(ProductCodes,"R",$CI:$CI)/(SUMIF(ProductCodes,"R",$CH:$CH))),
IF($A19="H",(SUMIF(#REF!,CW$17,#REF!)*$CG19)*(SUMIF(ProductCodes,"H",$CI:$CI)/(SUMIF(ProductCodes,"H",$CH:$CH))),""))))))),"Error")</f>
        <v/>
      </c>
      <c r="CX19" s="84" t="str">
        <f>IFERROR(
IF(SUMIF(ProductCodes,"C",$CI:$CI)=$CI$42,(IF($A19="C",(SUMIF(#REF!,CX$17,#REF!)*$CG19)*((SUMIF(ProductCodes,"C",$CI:$CI)-SUMIF(ProductCodes,"H",$CH:$CH)-SUMIF(ProductCodes,"R",$CH:$CH)-SUMIF(ProductCodes,"B",$CH:$CH)-(SUMIF(ProductCodes,"S",$CH:$CH)/2))/SUMIF(ProductCodes,"C",$CH:$CH)),IF($A19="S",(SUMIF(#REF!,CX$17,#REF!)*$CG19)/2,
IF($A19="B",(SUMIF(#REF!,CX$17,#REF!)*$CG19),
IF($A19="R",(SUMIF(#REF!,CX$17,#REF!)*$CG19),
IF($A19="H",(SUMIF(#REF!,CX$17,#REF!)*$CG19),"")))))),
IF(SUMIF(ProductCodes,"S",$CI:$CI)=$CI$42,(IF($A19="S",(SUMIF(#REF!,CX$17,#REF!)*$CG19)*((SUMIF(ProductCodes,"S",$CI:$CI)-SUMIF(ProductCodes,"H",$CH:$CH)-SUMIF(ProductCodes,"R",$CH:$CH)-SUMIF(ProductCodes,"B",$CH:$CH)-(SUMIF(ProductCodes,"C",$CH:$CH)/4))/SUMIF(ProductCodes,"S",$CH:$CH)),
IF($A19="C",(SUMIF(#REF!,CX$17,#REF!)*$CG19)/4,
IF($A19="B",(SUMIF(#REF!,CX$17,#REF!)*$CG19),
IF($A19="R",(SUMIF(#REF!,CX$17,#REF!)*$CG19),
IF($A19="H",(SUMIF(#REF!,CX$17,#REF!)*$CG19),"")))))),
IF($A19="C",(SUMIF(#REF!,CX$17,#REF!)*$CG19)*(SUMIF(ProductCodes,"C",$CI:$CI)/(SUMIF(ProductCodes,"C",$CH:$CH))),
IF($A19="S",(SUMIF(#REF!,CX$17,#REF!)*$CG19)*(SUMIF(ProductCodes,"S",$CI:$CI)/(SUMIF(ProductCodes,"S",$CH:$CH))),
IF($A19="B",(SUMIF(#REF!,CX$17,#REF!)*$CG19)*(SUMIF(ProductCodes,"B",$CI:$CI)/(SUMIF(ProductCodes,"B",$CH:$CH))),
IF($A19="R",(SUMIF(#REF!,CX$17,#REF!)*$CG19)*(SUMIF(ProductCodes,"R",$CI:$CI)/(SUMIF(ProductCodes,"R",$CH:$CH))),
IF($A19="H",(SUMIF(#REF!,CX$17,#REF!)*$CG19)*(SUMIF(ProductCodes,"H",$CI:$CI)/(SUMIF(ProductCodes,"H",$CH:$CH))),""))))))),"Error")</f>
        <v/>
      </c>
      <c r="CY19" s="84" t="str">
        <f>IFERROR(
IF(SUMIF(ProductCodes,"C",$CI:$CI)=$CI$42,(IF($A19="C",(SUMIF(#REF!,CY$17,#REF!)*$CG19)*((SUMIF(ProductCodes,"C",$CI:$CI)-SUMIF(ProductCodes,"H",$CH:$CH)-SUMIF(ProductCodes,"R",$CH:$CH)-SUMIF(ProductCodes,"B",$CH:$CH)-(SUMIF(ProductCodes,"S",$CH:$CH)/2))/SUMIF(ProductCodes,"C",$CH:$CH)),IF($A19="S",(SUMIF(#REF!,CY$17,#REF!)*$CG19)/2,
IF($A19="B",(SUMIF(#REF!,CY$17,#REF!)*$CG19),
IF($A19="R",(SUMIF(#REF!,CY$17,#REF!)*$CG19),
IF($A19="H",(SUMIF(#REF!,CY$17,#REF!)*$CG19),"")))))),
IF(SUMIF(ProductCodes,"S",$CI:$CI)=$CI$42,(IF($A19="S",(SUMIF(#REF!,CY$17,#REF!)*$CG19)*((SUMIF(ProductCodes,"S",$CI:$CI)-SUMIF(ProductCodes,"H",$CH:$CH)-SUMIF(ProductCodes,"R",$CH:$CH)-SUMIF(ProductCodes,"B",$CH:$CH)-(SUMIF(ProductCodes,"C",$CH:$CH)/4))/SUMIF(ProductCodes,"S",$CH:$CH)),
IF($A19="C",(SUMIF(#REF!,CY$17,#REF!)*$CG19)/4,
IF($A19="B",(SUMIF(#REF!,CY$17,#REF!)*$CG19),
IF($A19="R",(SUMIF(#REF!,CY$17,#REF!)*$CG19),
IF($A19="H",(SUMIF(#REF!,CY$17,#REF!)*$CG19),"")))))),
IF($A19="C",(SUMIF(#REF!,CY$17,#REF!)*$CG19)*(SUMIF(ProductCodes,"C",$CI:$CI)/(SUMIF(ProductCodes,"C",$CH:$CH))),
IF($A19="S",(SUMIF(#REF!,CY$17,#REF!)*$CG19)*(SUMIF(ProductCodes,"S",$CI:$CI)/(SUMIF(ProductCodes,"S",$CH:$CH))),
IF($A19="B",(SUMIF(#REF!,CY$17,#REF!)*$CG19)*(SUMIF(ProductCodes,"B",$CI:$CI)/(SUMIF(ProductCodes,"B",$CH:$CH))),
IF($A19="R",(SUMIF(#REF!,CY$17,#REF!)*$CG19)*(SUMIF(ProductCodes,"R",$CI:$CI)/(SUMIF(ProductCodes,"R",$CH:$CH))),
IF($A19="H",(SUMIF(#REF!,CY$17,#REF!)*$CG19)*(SUMIF(ProductCodes,"H",$CI:$CI)/(SUMIF(ProductCodes,"H",$CH:$CH))),""))))))),"Error")</f>
        <v/>
      </c>
      <c r="CZ19" s="84" t="str">
        <f>IFERROR(
IF(SUMIF(ProductCodes,"C",$CI:$CI)=$CI$42,(IF($A19="C",(SUMIF(#REF!,CZ$17,#REF!)*$CG19)*((SUMIF(ProductCodes,"C",$CI:$CI)-SUMIF(ProductCodes,"H",$CH:$CH)-SUMIF(ProductCodes,"R",$CH:$CH)-SUMIF(ProductCodes,"B",$CH:$CH)-(SUMIF(ProductCodes,"S",$CH:$CH)/2))/SUMIF(ProductCodes,"C",$CH:$CH)),IF($A19="S",(SUMIF(#REF!,CZ$17,#REF!)*$CG19)/2,
IF($A19="B",(SUMIF(#REF!,CZ$17,#REF!)*$CG19),
IF($A19="R",(SUMIF(#REF!,CZ$17,#REF!)*$CG19),
IF($A19="H",(SUMIF(#REF!,CZ$17,#REF!)*$CG19),"")))))),
IF(SUMIF(ProductCodes,"S",$CI:$CI)=$CI$42,(IF($A19="S",(SUMIF(#REF!,CZ$17,#REF!)*$CG19)*((SUMIF(ProductCodes,"S",$CI:$CI)-SUMIF(ProductCodes,"H",$CH:$CH)-SUMIF(ProductCodes,"R",$CH:$CH)-SUMIF(ProductCodes,"B",$CH:$CH)-(SUMIF(ProductCodes,"C",$CH:$CH)/4))/SUMIF(ProductCodes,"S",$CH:$CH)),
IF($A19="C",(SUMIF(#REF!,CZ$17,#REF!)*$CG19)/4,
IF($A19="B",(SUMIF(#REF!,CZ$17,#REF!)*$CG19),
IF($A19="R",(SUMIF(#REF!,CZ$17,#REF!)*$CG19),
IF($A19="H",(SUMIF(#REF!,CZ$17,#REF!)*$CG19),"")))))),
IF($A19="C",(SUMIF(#REF!,CZ$17,#REF!)*$CG19)*(SUMIF(ProductCodes,"C",$CI:$CI)/(SUMIF(ProductCodes,"C",$CH:$CH))),
IF($A19="S",(SUMIF(#REF!,CZ$17,#REF!)*$CG19)*(SUMIF(ProductCodes,"S",$CI:$CI)/(SUMIF(ProductCodes,"S",$CH:$CH))),
IF($A19="B",(SUMIF(#REF!,CZ$17,#REF!)*$CG19)*(SUMIF(ProductCodes,"B",$CI:$CI)/(SUMIF(ProductCodes,"B",$CH:$CH))),
IF($A19="R",(SUMIF(#REF!,CZ$17,#REF!)*$CG19)*(SUMIF(ProductCodes,"R",$CI:$CI)/(SUMIF(ProductCodes,"R",$CH:$CH))),
IF($A19="H",(SUMIF(#REF!,CZ$17,#REF!)*$CG19)*(SUMIF(ProductCodes,"H",$CI:$CI)/(SUMIF(ProductCodes,"H",$CH:$CH))),""))))))),"Error")</f>
        <v/>
      </c>
      <c r="DA19" s="84" t="str">
        <f>IFERROR(
IF(SUMIF(ProductCodes,"C",$CI:$CI)=$CI$42,(IF($A19="C",(SUMIF(#REF!,DA$17,#REF!)*$CG19)*((SUMIF(ProductCodes,"C",$CI:$CI)-SUMIF(ProductCodes,"H",$CH:$CH)-SUMIF(ProductCodes,"R",$CH:$CH)-SUMIF(ProductCodes,"B",$CH:$CH)-(SUMIF(ProductCodes,"S",$CH:$CH)/2))/SUMIF(ProductCodes,"C",$CH:$CH)),IF($A19="S",(SUMIF(#REF!,DA$17,#REF!)*$CG19)/2,
IF($A19="B",(SUMIF(#REF!,DA$17,#REF!)*$CG19),
IF($A19="R",(SUMIF(#REF!,DA$17,#REF!)*$CG19),
IF($A19="H",(SUMIF(#REF!,DA$17,#REF!)*$CG19),"")))))),
IF(SUMIF(ProductCodes,"S",$CI:$CI)=$CI$42,(IF($A19="S",(SUMIF(#REF!,DA$17,#REF!)*$CG19)*((SUMIF(ProductCodes,"S",$CI:$CI)-SUMIF(ProductCodes,"H",$CH:$CH)-SUMIF(ProductCodes,"R",$CH:$CH)-SUMIF(ProductCodes,"B",$CH:$CH)-(SUMIF(ProductCodes,"C",$CH:$CH)/4))/SUMIF(ProductCodes,"S",$CH:$CH)),
IF($A19="C",(SUMIF(#REF!,DA$17,#REF!)*$CG19)/4,
IF($A19="B",(SUMIF(#REF!,DA$17,#REF!)*$CG19),
IF($A19="R",(SUMIF(#REF!,DA$17,#REF!)*$CG19),
IF($A19="H",(SUMIF(#REF!,DA$17,#REF!)*$CG19),"")))))),
IF($A19="C",(SUMIF(#REF!,DA$17,#REF!)*$CG19)*(SUMIF(ProductCodes,"C",$CI:$CI)/(SUMIF(ProductCodes,"C",$CH:$CH))),
IF($A19="S",(SUMIF(#REF!,DA$17,#REF!)*$CG19)*(SUMIF(ProductCodes,"S",$CI:$CI)/(SUMIF(ProductCodes,"S",$CH:$CH))),
IF($A19="B",(SUMIF(#REF!,DA$17,#REF!)*$CG19)*(SUMIF(ProductCodes,"B",$CI:$CI)/(SUMIF(ProductCodes,"B",$CH:$CH))),
IF($A19="R",(SUMIF(#REF!,DA$17,#REF!)*$CG19)*(SUMIF(ProductCodes,"R",$CI:$CI)/(SUMIF(ProductCodes,"R",$CH:$CH))),
IF($A19="H",(SUMIF(#REF!,DA$17,#REF!)*$CG19)*(SUMIF(ProductCodes,"H",$CI:$CI)/(SUMIF(ProductCodes,"H",$CH:$CH))),""))))))),"Error")</f>
        <v/>
      </c>
      <c r="DB19" s="84" t="str">
        <f>IFERROR(
IF(SUMIF(ProductCodes,"C",$CI:$CI)=$CI$42,(IF($A19="C",(SUMIF(#REF!,DB$17,#REF!)*$CG19)*((SUMIF(ProductCodes,"C",$CI:$CI)-SUMIF(ProductCodes,"H",$CH:$CH)-SUMIF(ProductCodes,"R",$CH:$CH)-SUMIF(ProductCodes,"B",$CH:$CH)-(SUMIF(ProductCodes,"S",$CH:$CH)/2))/SUMIF(ProductCodes,"C",$CH:$CH)),IF($A19="S",(SUMIF(#REF!,DB$17,#REF!)*$CG19)/2,
IF($A19="B",(SUMIF(#REF!,DB$17,#REF!)*$CG19),
IF($A19="R",(SUMIF(#REF!,DB$17,#REF!)*$CG19),
IF($A19="H",(SUMIF(#REF!,DB$17,#REF!)*$CG19),"")))))),
IF(SUMIF(ProductCodes,"S",$CI:$CI)=$CI$42,(IF($A19="S",(SUMIF(#REF!,DB$17,#REF!)*$CG19)*((SUMIF(ProductCodes,"S",$CI:$CI)-SUMIF(ProductCodes,"H",$CH:$CH)-SUMIF(ProductCodes,"R",$CH:$CH)-SUMIF(ProductCodes,"B",$CH:$CH)-(SUMIF(ProductCodes,"C",$CH:$CH)/4))/SUMIF(ProductCodes,"S",$CH:$CH)),
IF($A19="C",(SUMIF(#REF!,DB$17,#REF!)*$CG19)/4,
IF($A19="B",(SUMIF(#REF!,DB$17,#REF!)*$CG19),
IF($A19="R",(SUMIF(#REF!,DB$17,#REF!)*$CG19),
IF($A19="H",(SUMIF(#REF!,DB$17,#REF!)*$CG19),"")))))),
IF($A19="C",(SUMIF(#REF!,DB$17,#REF!)*$CG19)*(SUMIF(ProductCodes,"C",$CI:$CI)/(SUMIF(ProductCodes,"C",$CH:$CH))),
IF($A19="S",(SUMIF(#REF!,DB$17,#REF!)*$CG19)*(SUMIF(ProductCodes,"S",$CI:$CI)/(SUMIF(ProductCodes,"S",$CH:$CH))),
IF($A19="B",(SUMIF(#REF!,DB$17,#REF!)*$CG19)*(SUMIF(ProductCodes,"B",$CI:$CI)/(SUMIF(ProductCodes,"B",$CH:$CH))),
IF($A19="R",(SUMIF(#REF!,DB$17,#REF!)*$CG19)*(SUMIF(ProductCodes,"R",$CI:$CI)/(SUMIF(ProductCodes,"R",$CH:$CH))),
IF($A19="H",(SUMIF(#REF!,DB$17,#REF!)*$CG19)*(SUMIF(ProductCodes,"H",$CI:$CI)/(SUMIF(ProductCodes,"H",$CH:$CH))),""))))))),"Error")</f>
        <v/>
      </c>
      <c r="DC19" s="84" t="str">
        <f>IFERROR(
IF(SUMIF(ProductCodes,"C",$CI:$CI)=$CI$42,(IF($A19="C",(SUMIF(#REF!,DC$17,#REF!)*$CG19)*((SUMIF(ProductCodes,"C",$CI:$CI)-SUMIF(ProductCodes,"H",$CH:$CH)-SUMIF(ProductCodes,"R",$CH:$CH)-SUMIF(ProductCodes,"B",$CH:$CH)-(SUMIF(ProductCodes,"S",$CH:$CH)/2))/SUMIF(ProductCodes,"C",$CH:$CH)),IF($A19="S",(SUMIF(#REF!,DC$17,#REF!)*$CG19)/2,
IF($A19="B",(SUMIF(#REF!,DC$17,#REF!)*$CG19),
IF($A19="R",(SUMIF(#REF!,DC$17,#REF!)*$CG19),
IF($A19="H",(SUMIF(#REF!,DC$17,#REF!)*$CG19),"")))))),
IF(SUMIF(ProductCodes,"S",$CI:$CI)=$CI$42,(IF($A19="S",(SUMIF(#REF!,DC$17,#REF!)*$CG19)*((SUMIF(ProductCodes,"S",$CI:$CI)-SUMIF(ProductCodes,"H",$CH:$CH)-SUMIF(ProductCodes,"R",$CH:$CH)-SUMIF(ProductCodes,"B",$CH:$CH)-(SUMIF(ProductCodes,"C",$CH:$CH)/4))/SUMIF(ProductCodes,"S",$CH:$CH)),
IF($A19="C",(SUMIF(#REF!,DC$17,#REF!)*$CG19)/4,
IF($A19="B",(SUMIF(#REF!,DC$17,#REF!)*$CG19),
IF($A19="R",(SUMIF(#REF!,DC$17,#REF!)*$CG19),
IF($A19="H",(SUMIF(#REF!,DC$17,#REF!)*$CG19),"")))))),
IF($A19="C",(SUMIF(#REF!,DC$17,#REF!)*$CG19)*(SUMIF(ProductCodes,"C",$CI:$CI)/(SUMIF(ProductCodes,"C",$CH:$CH))),
IF($A19="S",(SUMIF(#REF!,DC$17,#REF!)*$CG19)*(SUMIF(ProductCodes,"S",$CI:$CI)/(SUMIF(ProductCodes,"S",$CH:$CH))),
IF($A19="B",(SUMIF(#REF!,DC$17,#REF!)*$CG19)*(SUMIF(ProductCodes,"B",$CI:$CI)/(SUMIF(ProductCodes,"B",$CH:$CH))),
IF($A19="R",(SUMIF(#REF!,DC$17,#REF!)*$CG19)*(SUMIF(ProductCodes,"R",$CI:$CI)/(SUMIF(ProductCodes,"R",$CH:$CH))),
IF($A19="H",(SUMIF(#REF!,DC$17,#REF!)*$CG19)*(SUMIF(ProductCodes,"H",$CI:$CI)/(SUMIF(ProductCodes,"H",$CH:$CH))),""))))))),"Error")</f>
        <v/>
      </c>
      <c r="DD19" s="84" t="str">
        <f>IFERROR(
IF(SUMIF(ProductCodes,"C",$CI:$CI)=$CI$42,(IF($A19="C",(SUMIF(#REF!,DD$17,#REF!)*$CG19)*((SUMIF(ProductCodes,"C",$CI:$CI)-SUMIF(ProductCodes,"H",$CH:$CH)-SUMIF(ProductCodes,"R",$CH:$CH)-SUMIF(ProductCodes,"B",$CH:$CH)-(SUMIF(ProductCodes,"S",$CH:$CH)/2))/SUMIF(ProductCodes,"C",$CH:$CH)),IF($A19="S",(SUMIF(#REF!,DD$17,#REF!)*$CG19)/2,
IF($A19="B",(SUMIF(#REF!,DD$17,#REF!)*$CG19),
IF($A19="R",(SUMIF(#REF!,DD$17,#REF!)*$CG19),
IF($A19="H",(SUMIF(#REF!,DD$17,#REF!)*$CG19),"")))))),
IF(SUMIF(ProductCodes,"S",$CI:$CI)=$CI$42,(IF($A19="S",(SUMIF(#REF!,DD$17,#REF!)*$CG19)*((SUMIF(ProductCodes,"S",$CI:$CI)-SUMIF(ProductCodes,"H",$CH:$CH)-SUMIF(ProductCodes,"R",$CH:$CH)-SUMIF(ProductCodes,"B",$CH:$CH)-(SUMIF(ProductCodes,"C",$CH:$CH)/4))/SUMIF(ProductCodes,"S",$CH:$CH)),
IF($A19="C",(SUMIF(#REF!,DD$17,#REF!)*$CG19)/4,
IF($A19="B",(SUMIF(#REF!,DD$17,#REF!)*$CG19),
IF($A19="R",(SUMIF(#REF!,DD$17,#REF!)*$CG19),
IF($A19="H",(SUMIF(#REF!,DD$17,#REF!)*$CG19),"")))))),
IF($A19="C",(SUMIF(#REF!,DD$17,#REF!)*$CG19)*(SUMIF(ProductCodes,"C",$CI:$CI)/(SUMIF(ProductCodes,"C",$CH:$CH))),
IF($A19="S",(SUMIF(#REF!,DD$17,#REF!)*$CG19)*(SUMIF(ProductCodes,"S",$CI:$CI)/(SUMIF(ProductCodes,"S",$CH:$CH))),
IF($A19="B",(SUMIF(#REF!,DD$17,#REF!)*$CG19)*(SUMIF(ProductCodes,"B",$CI:$CI)/(SUMIF(ProductCodes,"B",$CH:$CH))),
IF($A19="R",(SUMIF(#REF!,DD$17,#REF!)*$CG19)*(SUMIF(ProductCodes,"R",$CI:$CI)/(SUMIF(ProductCodes,"R",$CH:$CH))),
IF($A19="H",(SUMIF(#REF!,DD$17,#REF!)*$CG19)*(SUMIF(ProductCodes,"H",$CI:$CI)/(SUMIF(ProductCodes,"H",$CH:$CH))),""))))))),"Error")</f>
        <v/>
      </c>
      <c r="DE19" s="84" t="str">
        <f>IFERROR(
IF(SUMIF(ProductCodes,"C",$CI:$CI)=$CI$42,(IF($A19="C",(SUMIF(#REF!,DE$17,#REF!)*$CG19)*((SUMIF(ProductCodes,"C",$CI:$CI)-SUMIF(ProductCodes,"H",$CH:$CH)-SUMIF(ProductCodes,"R",$CH:$CH)-SUMIF(ProductCodes,"B",$CH:$CH)-(SUMIF(ProductCodes,"S",$CH:$CH)/2))/SUMIF(ProductCodes,"C",$CH:$CH)),IF($A19="S",(SUMIF(#REF!,DE$17,#REF!)*$CG19)/2,
IF($A19="B",(SUMIF(#REF!,DE$17,#REF!)*$CG19),
IF($A19="R",(SUMIF(#REF!,DE$17,#REF!)*$CG19),
IF($A19="H",(SUMIF(#REF!,DE$17,#REF!)*$CG19),"")))))),
IF(SUMIF(ProductCodes,"S",$CI:$CI)=$CI$42,(IF($A19="S",(SUMIF(#REF!,DE$17,#REF!)*$CG19)*((SUMIF(ProductCodes,"S",$CI:$CI)-SUMIF(ProductCodes,"H",$CH:$CH)-SUMIF(ProductCodes,"R",$CH:$CH)-SUMIF(ProductCodes,"B",$CH:$CH)-(SUMIF(ProductCodes,"C",$CH:$CH)/4))/SUMIF(ProductCodes,"S",$CH:$CH)),
IF($A19="C",(SUMIF(#REF!,DE$17,#REF!)*$CG19)/4,
IF($A19="B",(SUMIF(#REF!,DE$17,#REF!)*$CG19),
IF($A19="R",(SUMIF(#REF!,DE$17,#REF!)*$CG19),
IF($A19="H",(SUMIF(#REF!,DE$17,#REF!)*$CG19),"")))))),
IF($A19="C",(SUMIF(#REF!,DE$17,#REF!)*$CG19)*(SUMIF(ProductCodes,"C",$CI:$CI)/(SUMIF(ProductCodes,"C",$CH:$CH))),
IF($A19="S",(SUMIF(#REF!,DE$17,#REF!)*$CG19)*(SUMIF(ProductCodes,"S",$CI:$CI)/(SUMIF(ProductCodes,"S",$CH:$CH))),
IF($A19="B",(SUMIF(#REF!,DE$17,#REF!)*$CG19)*(SUMIF(ProductCodes,"B",$CI:$CI)/(SUMIF(ProductCodes,"B",$CH:$CH))),
IF($A19="R",(SUMIF(#REF!,DE$17,#REF!)*$CG19)*(SUMIF(ProductCodes,"R",$CI:$CI)/(SUMIF(ProductCodes,"R",$CH:$CH))),
IF($A19="H",(SUMIF(#REF!,DE$17,#REF!)*$CG19)*(SUMIF(ProductCodes,"H",$CI:$CI)/(SUMIF(ProductCodes,"H",$CH:$CH))),""))))))),"Error")</f>
        <v/>
      </c>
      <c r="DF19" s="84" t="str">
        <f>IFERROR(
IF(SUMIF(ProductCodes,"C",$CI:$CI)=$CI$42,(IF($A19="C",(SUMIF(#REF!,DF$17,#REF!)*$CG19)*((SUMIF(ProductCodes,"C",$CI:$CI)-SUMIF(ProductCodes,"H",$CH:$CH)-SUMIF(ProductCodes,"R",$CH:$CH)-SUMIF(ProductCodes,"B",$CH:$CH)-(SUMIF(ProductCodes,"S",$CH:$CH)/2))/SUMIF(ProductCodes,"C",$CH:$CH)),IF($A19="S",(SUMIF(#REF!,DF$17,#REF!)*$CG19)/2,
IF($A19="B",(SUMIF(#REF!,DF$17,#REF!)*$CG19),
IF($A19="R",(SUMIF(#REF!,DF$17,#REF!)*$CG19),
IF($A19="H",(SUMIF(#REF!,DF$17,#REF!)*$CG19),"")))))),
IF(SUMIF(ProductCodes,"S",$CI:$CI)=$CI$42,(IF($A19="S",(SUMIF(#REF!,DF$17,#REF!)*$CG19)*((SUMIF(ProductCodes,"S",$CI:$CI)-SUMIF(ProductCodes,"H",$CH:$CH)-SUMIF(ProductCodes,"R",$CH:$CH)-SUMIF(ProductCodes,"B",$CH:$CH)-(SUMIF(ProductCodes,"C",$CH:$CH)/4))/SUMIF(ProductCodes,"S",$CH:$CH)),
IF($A19="C",(SUMIF(#REF!,DF$17,#REF!)*$CG19)/4,
IF($A19="B",(SUMIF(#REF!,DF$17,#REF!)*$CG19),
IF($A19="R",(SUMIF(#REF!,DF$17,#REF!)*$CG19),
IF($A19="H",(SUMIF(#REF!,DF$17,#REF!)*$CG19),"")))))),
IF($A19="C",(SUMIF(#REF!,DF$17,#REF!)*$CG19)*(SUMIF(ProductCodes,"C",$CI:$CI)/(SUMIF(ProductCodes,"C",$CH:$CH))),
IF($A19="S",(SUMIF(#REF!,DF$17,#REF!)*$CG19)*(SUMIF(ProductCodes,"S",$CI:$CI)/(SUMIF(ProductCodes,"S",$CH:$CH))),
IF($A19="B",(SUMIF(#REF!,DF$17,#REF!)*$CG19)*(SUMIF(ProductCodes,"B",$CI:$CI)/(SUMIF(ProductCodes,"B",$CH:$CH))),
IF($A19="R",(SUMIF(#REF!,DF$17,#REF!)*$CG19)*(SUMIF(ProductCodes,"R",$CI:$CI)/(SUMIF(ProductCodes,"R",$CH:$CH))),
IF($A19="H",(SUMIF(#REF!,DF$17,#REF!)*$CG19)*(SUMIF(ProductCodes,"H",$CI:$CI)/(SUMIF(ProductCodes,"H",$CH:$CH))),""))))))),"Error")</f>
        <v/>
      </c>
      <c r="DG19" s="84" t="str">
        <f>IFERROR(
IF(SUMIF(ProductCodes,"C",$CI:$CI)=$CI$42,(IF($A19="C",(SUMIF(#REF!,DG$17,#REF!)*$CG19)*((SUMIF(ProductCodes,"C",$CI:$CI)-SUMIF(ProductCodes,"H",$CH:$CH)-SUMIF(ProductCodes,"R",$CH:$CH)-SUMIF(ProductCodes,"B",$CH:$CH)-(SUMIF(ProductCodes,"S",$CH:$CH)/2))/SUMIF(ProductCodes,"C",$CH:$CH)),IF($A19="S",(SUMIF(#REF!,DG$17,#REF!)*$CG19)/2,
IF($A19="B",(SUMIF(#REF!,DG$17,#REF!)*$CG19),
IF($A19="R",(SUMIF(#REF!,DG$17,#REF!)*$CG19),
IF($A19="H",(SUMIF(#REF!,DG$17,#REF!)*$CG19),"")))))),
IF(SUMIF(ProductCodes,"S",$CI:$CI)=$CI$42,(IF($A19="S",(SUMIF(#REF!,DG$17,#REF!)*$CG19)*((SUMIF(ProductCodes,"S",$CI:$CI)-SUMIF(ProductCodes,"H",$CH:$CH)-SUMIF(ProductCodes,"R",$CH:$CH)-SUMIF(ProductCodes,"B",$CH:$CH)-(SUMIF(ProductCodes,"C",$CH:$CH)/4))/SUMIF(ProductCodes,"S",$CH:$CH)),
IF($A19="C",(SUMIF(#REF!,DG$17,#REF!)*$CG19)/4,
IF($A19="B",(SUMIF(#REF!,DG$17,#REF!)*$CG19),
IF($A19="R",(SUMIF(#REF!,DG$17,#REF!)*$CG19),
IF($A19="H",(SUMIF(#REF!,DG$17,#REF!)*$CG19),"")))))),
IF($A19="C",(SUMIF(#REF!,DG$17,#REF!)*$CG19)*(SUMIF(ProductCodes,"C",$CI:$CI)/(SUMIF(ProductCodes,"C",$CH:$CH))),
IF($A19="S",(SUMIF(#REF!,DG$17,#REF!)*$CG19)*(SUMIF(ProductCodes,"S",$CI:$CI)/(SUMIF(ProductCodes,"S",$CH:$CH))),
IF($A19="B",(SUMIF(#REF!,DG$17,#REF!)*$CG19)*(SUMIF(ProductCodes,"B",$CI:$CI)/(SUMIF(ProductCodes,"B",$CH:$CH))),
IF($A19="R",(SUMIF(#REF!,DG$17,#REF!)*$CG19)*(SUMIF(ProductCodes,"R",$CI:$CI)/(SUMIF(ProductCodes,"R",$CH:$CH))),
IF($A19="H",(SUMIF(#REF!,DG$17,#REF!)*$CG19)*(SUMIF(ProductCodes,"H",$CI:$CI)/(SUMIF(ProductCodes,"H",$CH:$CH))),""))))))),"Error")</f>
        <v/>
      </c>
      <c r="DH19" s="84" t="str">
        <f>IFERROR(
IF(SUMIF(ProductCodes,"C",$CI:$CI)=$CI$42,(IF($A19="C",(SUMIF(#REF!,DH$17,#REF!)*$CG19)*((SUMIF(ProductCodes,"C",$CI:$CI)-SUMIF(ProductCodes,"H",$CH:$CH)-SUMIF(ProductCodes,"R",$CH:$CH)-SUMIF(ProductCodes,"B",$CH:$CH)-(SUMIF(ProductCodes,"S",$CH:$CH)/2))/SUMIF(ProductCodes,"C",$CH:$CH)),IF($A19="S",(SUMIF(#REF!,DH$17,#REF!)*$CG19)/2,
IF($A19="B",(SUMIF(#REF!,DH$17,#REF!)*$CG19),
IF($A19="R",(SUMIF(#REF!,DH$17,#REF!)*$CG19),
IF($A19="H",(SUMIF(#REF!,DH$17,#REF!)*$CG19),"")))))),
IF(SUMIF(ProductCodes,"S",$CI:$CI)=$CI$42,(IF($A19="S",(SUMIF(#REF!,DH$17,#REF!)*$CG19)*((SUMIF(ProductCodes,"S",$CI:$CI)-SUMIF(ProductCodes,"H",$CH:$CH)-SUMIF(ProductCodes,"R",$CH:$CH)-SUMIF(ProductCodes,"B",$CH:$CH)-(SUMIF(ProductCodes,"C",$CH:$CH)/4))/SUMIF(ProductCodes,"S",$CH:$CH)),
IF($A19="C",(SUMIF(#REF!,DH$17,#REF!)*$CG19)/4,
IF($A19="B",(SUMIF(#REF!,DH$17,#REF!)*$CG19),
IF($A19="R",(SUMIF(#REF!,DH$17,#REF!)*$CG19),
IF($A19="H",(SUMIF(#REF!,DH$17,#REF!)*$CG19),"")))))),
IF($A19="C",(SUMIF(#REF!,DH$17,#REF!)*$CG19)*(SUMIF(ProductCodes,"C",$CI:$CI)/(SUMIF(ProductCodes,"C",$CH:$CH))),
IF($A19="S",(SUMIF(#REF!,DH$17,#REF!)*$CG19)*(SUMIF(ProductCodes,"S",$CI:$CI)/(SUMIF(ProductCodes,"S",$CH:$CH))),
IF($A19="B",(SUMIF(#REF!,DH$17,#REF!)*$CG19)*(SUMIF(ProductCodes,"B",$CI:$CI)/(SUMIF(ProductCodes,"B",$CH:$CH))),
IF($A19="R",(SUMIF(#REF!,DH$17,#REF!)*$CG19)*(SUMIF(ProductCodes,"R",$CI:$CI)/(SUMIF(ProductCodes,"R",$CH:$CH))),
IF($A19="H",(SUMIF(#REF!,DH$17,#REF!)*$CG19)*(SUMIF(ProductCodes,"H",$CI:$CI)/(SUMIF(ProductCodes,"H",$CH:$CH))),""))))))),"Error")</f>
        <v/>
      </c>
      <c r="DI19" s="84" t="str">
        <f>IFERROR(
IF(SUMIF(ProductCodes,"C",$CI:$CI)=$CI$42,(IF($A19="C",(SUMIF(#REF!,DI$17,#REF!)*$CG19)*((SUMIF(ProductCodes,"C",$CI:$CI)-SUMIF(ProductCodes,"H",$CH:$CH)-SUMIF(ProductCodes,"R",$CH:$CH)-SUMIF(ProductCodes,"B",$CH:$CH)-(SUMIF(ProductCodes,"S",$CH:$CH)/2))/SUMIF(ProductCodes,"C",$CH:$CH)),IF($A19="S",(SUMIF(#REF!,DI$17,#REF!)*$CG19)/2,
IF($A19="B",(SUMIF(#REF!,DI$17,#REF!)*$CG19),
IF($A19="R",(SUMIF(#REF!,DI$17,#REF!)*$CG19),
IF($A19="H",(SUMIF(#REF!,DI$17,#REF!)*$CG19),"")))))),
IF(SUMIF(ProductCodes,"S",$CI:$CI)=$CI$42,(IF($A19="S",(SUMIF(#REF!,DI$17,#REF!)*$CG19)*((SUMIF(ProductCodes,"S",$CI:$CI)-SUMIF(ProductCodes,"H",$CH:$CH)-SUMIF(ProductCodes,"R",$CH:$CH)-SUMIF(ProductCodes,"B",$CH:$CH)-(SUMIF(ProductCodes,"C",$CH:$CH)/4))/SUMIF(ProductCodes,"S",$CH:$CH)),
IF($A19="C",(SUMIF(#REF!,DI$17,#REF!)*$CG19)/4,
IF($A19="B",(SUMIF(#REF!,DI$17,#REF!)*$CG19),
IF($A19="R",(SUMIF(#REF!,DI$17,#REF!)*$CG19),
IF($A19="H",(SUMIF(#REF!,DI$17,#REF!)*$CG19),"")))))),
IF($A19="C",(SUMIF(#REF!,DI$17,#REF!)*$CG19)*(SUMIF(ProductCodes,"C",$CI:$CI)/(SUMIF(ProductCodes,"C",$CH:$CH))),
IF($A19="S",(SUMIF(#REF!,DI$17,#REF!)*$CG19)*(SUMIF(ProductCodes,"S",$CI:$CI)/(SUMIF(ProductCodes,"S",$CH:$CH))),
IF($A19="B",(SUMIF(#REF!,DI$17,#REF!)*$CG19)*(SUMIF(ProductCodes,"B",$CI:$CI)/(SUMIF(ProductCodes,"B",$CH:$CH))),
IF($A19="R",(SUMIF(#REF!,DI$17,#REF!)*$CG19)*(SUMIF(ProductCodes,"R",$CI:$CI)/(SUMIF(ProductCodes,"R",$CH:$CH))),
IF($A19="H",(SUMIF(#REF!,DI$17,#REF!)*$CG19)*(SUMIF(ProductCodes,"H",$CI:$CI)/(SUMIF(ProductCodes,"H",$CH:$CH))),""))))))),"Error")</f>
        <v/>
      </c>
      <c r="DJ19" s="84" t="str">
        <f>IFERROR(
IF(SUMIF(ProductCodes,"C",$CI:$CI)=$CI$42,(IF($A19="C",(SUMIF(#REF!,DJ$17,#REF!)*$CG19)*((SUMIF(ProductCodes,"C",$CI:$CI)-SUMIF(ProductCodes,"H",$CH:$CH)-SUMIF(ProductCodes,"R",$CH:$CH)-SUMIF(ProductCodes,"B",$CH:$CH)-(SUMIF(ProductCodes,"S",$CH:$CH)/2))/SUMIF(ProductCodes,"C",$CH:$CH)),IF($A19="S",(SUMIF(#REF!,DJ$17,#REF!)*$CG19)/2,
IF($A19="B",(SUMIF(#REF!,DJ$17,#REF!)*$CG19),
IF($A19="R",(SUMIF(#REF!,DJ$17,#REF!)*$CG19),
IF($A19="H",(SUMIF(#REF!,DJ$17,#REF!)*$CG19),"")))))),
IF(SUMIF(ProductCodes,"S",$CI:$CI)=$CI$42,(IF($A19="S",(SUMIF(#REF!,DJ$17,#REF!)*$CG19)*((SUMIF(ProductCodes,"S",$CI:$CI)-SUMIF(ProductCodes,"H",$CH:$CH)-SUMIF(ProductCodes,"R",$CH:$CH)-SUMIF(ProductCodes,"B",$CH:$CH)-(SUMIF(ProductCodes,"C",$CH:$CH)/4))/SUMIF(ProductCodes,"S",$CH:$CH)),
IF($A19="C",(SUMIF(#REF!,DJ$17,#REF!)*$CG19)/4,
IF($A19="B",(SUMIF(#REF!,DJ$17,#REF!)*$CG19),
IF($A19="R",(SUMIF(#REF!,DJ$17,#REF!)*$CG19),
IF($A19="H",(SUMIF(#REF!,DJ$17,#REF!)*$CG19),"")))))),
IF($A19="C",(SUMIF(#REF!,DJ$17,#REF!)*$CG19)*(SUMIF(ProductCodes,"C",$CI:$CI)/(SUMIF(ProductCodes,"C",$CH:$CH))),
IF($A19="S",(SUMIF(#REF!,DJ$17,#REF!)*$CG19)*(SUMIF(ProductCodes,"S",$CI:$CI)/(SUMIF(ProductCodes,"S",$CH:$CH))),
IF($A19="B",(SUMIF(#REF!,DJ$17,#REF!)*$CG19)*(SUMIF(ProductCodes,"B",$CI:$CI)/(SUMIF(ProductCodes,"B",$CH:$CH))),
IF($A19="R",(SUMIF(#REF!,DJ$17,#REF!)*$CG19)*(SUMIF(ProductCodes,"R",$CI:$CI)/(SUMIF(ProductCodes,"R",$CH:$CH))),
IF($A19="H",(SUMIF(#REF!,DJ$17,#REF!)*$CG19)*(SUMIF(ProductCodes,"H",$CI:$CI)/(SUMIF(ProductCodes,"H",$CH:$CH))),""))))))),"Error")</f>
        <v/>
      </c>
      <c r="DK19" s="84" t="str">
        <f>IFERROR(
IF(SUMIF(ProductCodes,"C",$CI:$CI)=$CI$42,(IF($A19="C",(SUMIF(#REF!,DK$17,#REF!)*$CG19)*((SUMIF(ProductCodes,"C",$CI:$CI)-SUMIF(ProductCodes,"H",$CH:$CH)-SUMIF(ProductCodes,"R",$CH:$CH)-SUMIF(ProductCodes,"B",$CH:$CH)-(SUMIF(ProductCodes,"S",$CH:$CH)/2))/SUMIF(ProductCodes,"C",$CH:$CH)),IF($A19="S",(SUMIF(#REF!,DK$17,#REF!)*$CG19)/2,
IF($A19="B",(SUMIF(#REF!,DK$17,#REF!)*$CG19),
IF($A19="R",(SUMIF(#REF!,DK$17,#REF!)*$CG19),
IF($A19="H",(SUMIF(#REF!,DK$17,#REF!)*$CG19),"")))))),
IF(SUMIF(ProductCodes,"S",$CI:$CI)=$CI$42,(IF($A19="S",(SUMIF(#REF!,DK$17,#REF!)*$CG19)*((SUMIF(ProductCodes,"S",$CI:$CI)-SUMIF(ProductCodes,"H",$CH:$CH)-SUMIF(ProductCodes,"R",$CH:$CH)-SUMIF(ProductCodes,"B",$CH:$CH)-(SUMIF(ProductCodes,"C",$CH:$CH)/4))/SUMIF(ProductCodes,"S",$CH:$CH)),
IF($A19="C",(SUMIF(#REF!,DK$17,#REF!)*$CG19)/4,
IF($A19="B",(SUMIF(#REF!,DK$17,#REF!)*$CG19),
IF($A19="R",(SUMIF(#REF!,DK$17,#REF!)*$CG19),
IF($A19="H",(SUMIF(#REF!,DK$17,#REF!)*$CG19),"")))))),
IF($A19="C",(SUMIF(#REF!,DK$17,#REF!)*$CG19)*(SUMIF(ProductCodes,"C",$CI:$CI)/(SUMIF(ProductCodes,"C",$CH:$CH))),
IF($A19="S",(SUMIF(#REF!,DK$17,#REF!)*$CG19)*(SUMIF(ProductCodes,"S",$CI:$CI)/(SUMIF(ProductCodes,"S",$CH:$CH))),
IF($A19="B",(SUMIF(#REF!,DK$17,#REF!)*$CG19)*(SUMIF(ProductCodes,"B",$CI:$CI)/(SUMIF(ProductCodes,"B",$CH:$CH))),
IF($A19="R",(SUMIF(#REF!,DK$17,#REF!)*$CG19)*(SUMIF(ProductCodes,"R",$CI:$CI)/(SUMIF(ProductCodes,"R",$CH:$CH))),
IF($A19="H",(SUMIF(#REF!,DK$17,#REF!)*$CG19)*(SUMIF(ProductCodes,"H",$CI:$CI)/(SUMIF(ProductCodes,"H",$CH:$CH))),""))))))),"Error")</f>
        <v/>
      </c>
      <c r="DL19" s="84" t="str">
        <f>IFERROR(
IF(SUMIF(ProductCodes,"C",$CI:$CI)=$CI$42,(IF($A19="C",(SUMIF(#REF!,DL$17,#REF!)*$CG19)*((SUMIF(ProductCodes,"C",$CI:$CI)-SUMIF(ProductCodes,"H",$CH:$CH)-SUMIF(ProductCodes,"R",$CH:$CH)-SUMIF(ProductCodes,"B",$CH:$CH)-(SUMIF(ProductCodes,"S",$CH:$CH)/2))/SUMIF(ProductCodes,"C",$CH:$CH)),IF($A19="S",(SUMIF(#REF!,DL$17,#REF!)*$CG19)/2,
IF($A19="B",(SUMIF(#REF!,DL$17,#REF!)*$CG19),
IF($A19="R",(SUMIF(#REF!,DL$17,#REF!)*$CG19),
IF($A19="H",(SUMIF(#REF!,DL$17,#REF!)*$CG19),"")))))),
IF(SUMIF(ProductCodes,"S",$CI:$CI)=$CI$42,(IF($A19="S",(SUMIF(#REF!,DL$17,#REF!)*$CG19)*((SUMIF(ProductCodes,"S",$CI:$CI)-SUMIF(ProductCodes,"H",$CH:$CH)-SUMIF(ProductCodes,"R",$CH:$CH)-SUMIF(ProductCodes,"B",$CH:$CH)-(SUMIF(ProductCodes,"C",$CH:$CH)/4))/SUMIF(ProductCodes,"S",$CH:$CH)),
IF($A19="C",(SUMIF(#REF!,DL$17,#REF!)*$CG19)/4,
IF($A19="B",(SUMIF(#REF!,DL$17,#REF!)*$CG19),
IF($A19="R",(SUMIF(#REF!,DL$17,#REF!)*$CG19),
IF($A19="H",(SUMIF(#REF!,DL$17,#REF!)*$CG19),"")))))),
IF($A19="C",(SUMIF(#REF!,DL$17,#REF!)*$CG19)*(SUMIF(ProductCodes,"C",$CI:$CI)/(SUMIF(ProductCodes,"C",$CH:$CH))),
IF($A19="S",(SUMIF(#REF!,DL$17,#REF!)*$CG19)*(SUMIF(ProductCodes,"S",$CI:$CI)/(SUMIF(ProductCodes,"S",$CH:$CH))),
IF($A19="B",(SUMIF(#REF!,DL$17,#REF!)*$CG19)*(SUMIF(ProductCodes,"B",$CI:$CI)/(SUMIF(ProductCodes,"B",$CH:$CH))),
IF($A19="R",(SUMIF(#REF!,DL$17,#REF!)*$CG19)*(SUMIF(ProductCodes,"R",$CI:$CI)/(SUMIF(ProductCodes,"R",$CH:$CH))),
IF($A19="H",(SUMIF(#REF!,DL$17,#REF!)*$CG19)*(SUMIF(ProductCodes,"H",$CI:$CI)/(SUMIF(ProductCodes,"H",$CH:$CH))),""))))))),"Error")</f>
        <v/>
      </c>
      <c r="DM19" s="84" t="str">
        <f>IFERROR(
IF(SUMIF(ProductCodes,"C",$CI:$CI)=$CI$42,(IF($A19="C",(SUMIF(#REF!,DM$17,#REF!)*$CG19)*((SUMIF(ProductCodes,"C",$CI:$CI)-SUMIF(ProductCodes,"H",$CH:$CH)-SUMIF(ProductCodes,"R",$CH:$CH)-SUMIF(ProductCodes,"B",$CH:$CH)-(SUMIF(ProductCodes,"S",$CH:$CH)/2))/SUMIF(ProductCodes,"C",$CH:$CH)),IF($A19="S",(SUMIF(#REF!,DM$17,#REF!)*$CG19)/2,
IF($A19="B",(SUMIF(#REF!,DM$17,#REF!)*$CG19),
IF($A19="R",(SUMIF(#REF!,DM$17,#REF!)*$CG19),
IF($A19="H",(SUMIF(#REF!,DM$17,#REF!)*$CG19),"")))))),
IF(SUMIF(ProductCodes,"S",$CI:$CI)=$CI$42,(IF($A19="S",(SUMIF(#REF!,DM$17,#REF!)*$CG19)*((SUMIF(ProductCodes,"S",$CI:$CI)-SUMIF(ProductCodes,"H",$CH:$CH)-SUMIF(ProductCodes,"R",$CH:$CH)-SUMIF(ProductCodes,"B",$CH:$CH)-(SUMIF(ProductCodes,"C",$CH:$CH)/4))/SUMIF(ProductCodes,"S",$CH:$CH)),
IF($A19="C",(SUMIF(#REF!,DM$17,#REF!)*$CG19)/4,
IF($A19="B",(SUMIF(#REF!,DM$17,#REF!)*$CG19),
IF($A19="R",(SUMIF(#REF!,DM$17,#REF!)*$CG19),
IF($A19="H",(SUMIF(#REF!,DM$17,#REF!)*$CG19),"")))))),
IF($A19="C",(SUMIF(#REF!,DM$17,#REF!)*$CG19)*(SUMIF(ProductCodes,"C",$CI:$CI)/(SUMIF(ProductCodes,"C",$CH:$CH))),
IF($A19="S",(SUMIF(#REF!,DM$17,#REF!)*$CG19)*(SUMIF(ProductCodes,"S",$CI:$CI)/(SUMIF(ProductCodes,"S",$CH:$CH))),
IF($A19="B",(SUMIF(#REF!,DM$17,#REF!)*$CG19)*(SUMIF(ProductCodes,"B",$CI:$CI)/(SUMIF(ProductCodes,"B",$CH:$CH))),
IF($A19="R",(SUMIF(#REF!,DM$17,#REF!)*$CG19)*(SUMIF(ProductCodes,"R",$CI:$CI)/(SUMIF(ProductCodes,"R",$CH:$CH))),
IF($A19="H",(SUMIF(#REF!,DM$17,#REF!)*$CG19)*(SUMIF(ProductCodes,"H",$CI:$CI)/(SUMIF(ProductCodes,"H",$CH:$CH))),""))))))),"Error")</f>
        <v/>
      </c>
      <c r="DN19" s="84" t="str">
        <f>IFERROR(
IF(SUMIF(ProductCodes,"C",$CI:$CI)=$CI$42,(IF($A19="C",(SUMIF(#REF!,DN$17,#REF!)*$CG19)*((SUMIF(ProductCodes,"C",$CI:$CI)-SUMIF(ProductCodes,"H",$CH:$CH)-SUMIF(ProductCodes,"R",$CH:$CH)-SUMIF(ProductCodes,"B",$CH:$CH)-(SUMIF(ProductCodes,"S",$CH:$CH)/2))/SUMIF(ProductCodes,"C",$CH:$CH)),IF($A19="S",(SUMIF(#REF!,DN$17,#REF!)*$CG19)/2,
IF($A19="B",(SUMIF(#REF!,DN$17,#REF!)*$CG19),
IF($A19="R",(SUMIF(#REF!,DN$17,#REF!)*$CG19),
IF($A19="H",(SUMIF(#REF!,DN$17,#REF!)*$CG19),"")))))),
IF(SUMIF(ProductCodes,"S",$CI:$CI)=$CI$42,(IF($A19="S",(SUMIF(#REF!,DN$17,#REF!)*$CG19)*((SUMIF(ProductCodes,"S",$CI:$CI)-SUMIF(ProductCodes,"H",$CH:$CH)-SUMIF(ProductCodes,"R",$CH:$CH)-SUMIF(ProductCodes,"B",$CH:$CH)-(SUMIF(ProductCodes,"C",$CH:$CH)/4))/SUMIF(ProductCodes,"S",$CH:$CH)),
IF($A19="C",(SUMIF(#REF!,DN$17,#REF!)*$CG19)/4,
IF($A19="B",(SUMIF(#REF!,DN$17,#REF!)*$CG19),
IF($A19="R",(SUMIF(#REF!,DN$17,#REF!)*$CG19),
IF($A19="H",(SUMIF(#REF!,DN$17,#REF!)*$CG19),"")))))),
IF($A19="C",(SUMIF(#REF!,DN$17,#REF!)*$CG19)*(SUMIF(ProductCodes,"C",$CI:$CI)/(SUMIF(ProductCodes,"C",$CH:$CH))),
IF($A19="S",(SUMIF(#REF!,DN$17,#REF!)*$CG19)*(SUMIF(ProductCodes,"S",$CI:$CI)/(SUMIF(ProductCodes,"S",$CH:$CH))),
IF($A19="B",(SUMIF(#REF!,DN$17,#REF!)*$CG19)*(SUMIF(ProductCodes,"B",$CI:$CI)/(SUMIF(ProductCodes,"B",$CH:$CH))),
IF($A19="R",(SUMIF(#REF!,DN$17,#REF!)*$CG19)*(SUMIF(ProductCodes,"R",$CI:$CI)/(SUMIF(ProductCodes,"R",$CH:$CH))),
IF($A19="H",(SUMIF(#REF!,DN$17,#REF!)*$CG19)*(SUMIF(ProductCodes,"H",$CI:$CI)/(SUMIF(ProductCodes,"H",$CH:$CH))),""))))))),"Error")</f>
        <v/>
      </c>
      <c r="DO19" s="84" t="str">
        <f>IFERROR(
IF(SUMIF(ProductCodes,"C",$CI:$CI)=$CI$42,(IF($A19="C",(SUMIF(#REF!,DO$17,#REF!)*$CG19)*((SUMIF(ProductCodes,"C",$CI:$CI)-SUMIF(ProductCodes,"H",$CH:$CH)-SUMIF(ProductCodes,"R",$CH:$CH)-SUMIF(ProductCodes,"B",$CH:$CH)-(SUMIF(ProductCodes,"S",$CH:$CH)/2))/SUMIF(ProductCodes,"C",$CH:$CH)),IF($A19="S",(SUMIF(#REF!,DO$17,#REF!)*$CG19)/2,
IF($A19="B",(SUMIF(#REF!,DO$17,#REF!)*$CG19),
IF($A19="R",(SUMIF(#REF!,DO$17,#REF!)*$CG19),
IF($A19="H",(SUMIF(#REF!,DO$17,#REF!)*$CG19),"")))))),
IF(SUMIF(ProductCodes,"S",$CI:$CI)=$CI$42,(IF($A19="S",(SUMIF(#REF!,DO$17,#REF!)*$CG19)*((SUMIF(ProductCodes,"S",$CI:$CI)-SUMIF(ProductCodes,"H",$CH:$CH)-SUMIF(ProductCodes,"R",$CH:$CH)-SUMIF(ProductCodes,"B",$CH:$CH)-(SUMIF(ProductCodes,"C",$CH:$CH)/4))/SUMIF(ProductCodes,"S",$CH:$CH)),
IF($A19="C",(SUMIF(#REF!,DO$17,#REF!)*$CG19)/4,
IF($A19="B",(SUMIF(#REF!,DO$17,#REF!)*$CG19),
IF($A19="R",(SUMIF(#REF!,DO$17,#REF!)*$CG19),
IF($A19="H",(SUMIF(#REF!,DO$17,#REF!)*$CG19),"")))))),
IF($A19="C",(SUMIF(#REF!,DO$17,#REF!)*$CG19)*(SUMIF(ProductCodes,"C",$CI:$CI)/(SUMIF(ProductCodes,"C",$CH:$CH))),
IF($A19="S",(SUMIF(#REF!,DO$17,#REF!)*$CG19)*(SUMIF(ProductCodes,"S",$CI:$CI)/(SUMIF(ProductCodes,"S",$CH:$CH))),
IF($A19="B",(SUMIF(#REF!,DO$17,#REF!)*$CG19)*(SUMIF(ProductCodes,"B",$CI:$CI)/(SUMIF(ProductCodes,"B",$CH:$CH))),
IF($A19="R",(SUMIF(#REF!,DO$17,#REF!)*$CG19)*(SUMIF(ProductCodes,"R",$CI:$CI)/(SUMIF(ProductCodes,"R",$CH:$CH))),
IF($A19="H",(SUMIF(#REF!,DO$17,#REF!)*$CG19)*(SUMIF(ProductCodes,"H",$CI:$CI)/(SUMIF(ProductCodes,"H",$CH:$CH))),""))))))),"Error")</f>
        <v/>
      </c>
      <c r="DP19" s="85" t="str">
        <f>IFERROR(
IF(SUMIF(ProductCodes,"C",$CI:$CI)=$CI$42,(IF($A19="C",(SUMIF(#REF!,DP$17,#REF!)*$CG19)*((SUMIF(ProductCodes,"C",$CI:$CI)-SUMIF(ProductCodes,"H",$CH:$CH)-SUMIF(ProductCodes,"R",$CH:$CH)-SUMIF(ProductCodes,"B",$CH:$CH)-(SUMIF(ProductCodes,"S",$CH:$CH)/2))/SUMIF(ProductCodes,"C",$CH:$CH)),IF($A19="S",(SUMIF(#REF!,DP$17,#REF!)*$CG19)/2,
IF($A19="B",(SUMIF(#REF!,DP$17,#REF!)*$CG19),
IF($A19="R",(SUMIF(#REF!,DP$17,#REF!)*$CG19),
IF($A19="H",(SUMIF(#REF!,DP$17,#REF!)*$CG19),"")))))),
IF(SUMIF(ProductCodes,"S",$CI:$CI)=$CI$42,(IF($A19="S",(SUMIF(#REF!,DP$17,#REF!)*$CG19)*((SUMIF(ProductCodes,"S",$CI:$CI)-SUMIF(ProductCodes,"H",$CH:$CH)-SUMIF(ProductCodes,"R",$CH:$CH)-SUMIF(ProductCodes,"B",$CH:$CH)-(SUMIF(ProductCodes,"C",$CH:$CH)/4))/SUMIF(ProductCodes,"S",$CH:$CH)),
IF($A19="C",(SUMIF(#REF!,DP$17,#REF!)*$CG19)/4,
IF($A19="B",(SUMIF(#REF!,DP$17,#REF!)*$CG19),
IF($A19="R",(SUMIF(#REF!,DP$17,#REF!)*$CG19),
IF($A19="H",(SUMIF(#REF!,DP$17,#REF!)*$CG19),"")))))),
IF($A19="C",(SUMIF(#REF!,DP$17,#REF!)*$CG19)*(SUMIF(ProductCodes,"C",$CI:$CI)/(SUMIF(ProductCodes,"C",$CH:$CH))),
IF($A19="S",(SUMIF(#REF!,DP$17,#REF!)*$CG19)*(SUMIF(ProductCodes,"S",$CI:$CI)/(SUMIF(ProductCodes,"S",$CH:$CH))),
IF($A19="B",(SUMIF(#REF!,DP$17,#REF!)*$CG19)*(SUMIF(ProductCodes,"B",$CI:$CI)/(SUMIF(ProductCodes,"B",$CH:$CH))),
IF($A19="R",(SUMIF(#REF!,DP$17,#REF!)*$CG19)*(SUMIF(ProductCodes,"R",$CI:$CI)/(SUMIF(ProductCodes,"R",$CH:$CH))),
IF($A19="H",(SUMIF(#REF!,DP$17,#REF!)*$CG19)*(SUMIF(ProductCodes,"H",$CI:$CI)/(SUMIF(ProductCodes,"H",$CH:$CH))),""))))))),"Error")</f>
        <v/>
      </c>
      <c r="DQ19" s="9"/>
      <c r="DR19" s="9"/>
      <c r="DS19"/>
      <c r="DT19"/>
      <c r="DU19"/>
      <c r="DV19"/>
      <c r="DW19"/>
      <c r="DX19"/>
      <c r="DY19"/>
      <c r="DZ19"/>
      <c r="EA19"/>
      <c r="EB19"/>
      <c r="EC19"/>
      <c r="ED19"/>
    </row>
    <row r="20" spans="1:134" s="86" customFormat="1" ht="60" customHeight="1" thickBot="1" x14ac:dyDescent="0.4">
      <c r="A20" s="186" t="s">
        <v>43</v>
      </c>
      <c r="B20" s="110" t="s">
        <v>70</v>
      </c>
      <c r="C20" s="110" t="s">
        <v>44</v>
      </c>
      <c r="D20" s="110" t="s">
        <v>45</v>
      </c>
      <c r="E20" s="96"/>
      <c r="F20" s="96"/>
      <c r="G20" s="99"/>
      <c r="H20" s="97"/>
      <c r="I20" s="95"/>
      <c r="J20" s="96"/>
      <c r="K20" s="96"/>
      <c r="L20" s="97"/>
      <c r="M20" s="98"/>
      <c r="N20" s="96"/>
      <c r="O20" s="96"/>
      <c r="P20" s="99"/>
      <c r="Q20" s="98"/>
      <c r="R20" s="96"/>
      <c r="S20" s="96"/>
      <c r="T20" s="99"/>
      <c r="U20" s="97"/>
      <c r="V20" s="214"/>
      <c r="W20" s="215"/>
      <c r="X20" s="215"/>
      <c r="Y20" s="216"/>
      <c r="Z20" s="214"/>
      <c r="AA20" s="215"/>
      <c r="AB20" s="215"/>
      <c r="AC20" s="215"/>
      <c r="AD20" s="286">
        <v>15</v>
      </c>
      <c r="AE20" s="287"/>
      <c r="AF20" s="287"/>
      <c r="AG20" s="287"/>
      <c r="AH20" s="288"/>
      <c r="AI20" s="289">
        <v>10</v>
      </c>
      <c r="AJ20" s="287"/>
      <c r="AK20" s="287"/>
      <c r="AL20" s="288"/>
      <c r="AM20" s="286">
        <v>15</v>
      </c>
      <c r="AN20" s="287"/>
      <c r="AO20" s="287"/>
      <c r="AP20" s="287"/>
      <c r="AQ20" s="288"/>
      <c r="AR20" s="289">
        <v>10</v>
      </c>
      <c r="AS20" s="287"/>
      <c r="AT20" s="287"/>
      <c r="AU20" s="288"/>
      <c r="AV20" s="289">
        <v>10</v>
      </c>
      <c r="AW20" s="287"/>
      <c r="AX20" s="287"/>
      <c r="AY20" s="288"/>
      <c r="AZ20" s="286">
        <v>15</v>
      </c>
      <c r="BA20" s="287"/>
      <c r="BB20" s="287"/>
      <c r="BC20" s="287"/>
      <c r="BD20" s="288"/>
      <c r="BE20" s="289">
        <v>10</v>
      </c>
      <c r="BF20" s="287"/>
      <c r="BG20" s="287"/>
      <c r="BH20" s="288"/>
      <c r="BI20" s="289">
        <v>10</v>
      </c>
      <c r="BJ20" s="287"/>
      <c r="BK20" s="287"/>
      <c r="BL20" s="288"/>
      <c r="BM20" s="286">
        <v>15</v>
      </c>
      <c r="BN20" s="287"/>
      <c r="BO20" s="287"/>
      <c r="BP20" s="287"/>
      <c r="BQ20" s="288"/>
      <c r="BR20" s="289">
        <v>10</v>
      </c>
      <c r="BS20" s="287"/>
      <c r="BT20" s="287"/>
      <c r="BU20" s="288"/>
      <c r="BV20" s="289">
        <v>10</v>
      </c>
      <c r="BW20" s="287"/>
      <c r="BX20" s="287"/>
      <c r="BY20" s="288"/>
      <c r="BZ20" s="289">
        <v>10</v>
      </c>
      <c r="CA20" s="287"/>
      <c r="CB20" s="287"/>
      <c r="CC20" s="288"/>
      <c r="CD20" s="187">
        <v>1</v>
      </c>
      <c r="CE20" s="188">
        <f>SUM(E20:CC20)</f>
        <v>140</v>
      </c>
      <c r="CF20" s="188">
        <f t="shared" si="31"/>
        <v>140</v>
      </c>
      <c r="CG20" s="189">
        <v>95</v>
      </c>
      <c r="CH20" s="213">
        <f t="shared" si="32"/>
        <v>13300</v>
      </c>
      <c r="CI20" s="240"/>
      <c r="CJ20" s="200"/>
      <c r="CK20" s="200"/>
      <c r="CL20" s="200"/>
      <c r="CM20" s="201"/>
      <c r="CN20" s="201">
        <f>CM20*CE20</f>
        <v>0</v>
      </c>
      <c r="CO20" s="200"/>
      <c r="CP20" s="192"/>
      <c r="CQ20" s="192"/>
      <c r="CR20" s="193"/>
      <c r="CS20" s="194" t="str">
        <f>IFERROR(
IF(SUMIF(ProductCodes,"C",$CI:$CI)=$CI$42,(IF($A20="C",(SUMIF(#REF!,CS$17,#REF!)*$CG20)*((SUMIF(ProductCodes,"C",$CI:$CI)-SUMIF(ProductCodes,"H",$CH:$CH)-SUMIF(ProductCodes,"R",$CH:$CH)-SUMIF(ProductCodes,"B",$CH:$CH)-(SUMIF(ProductCodes,"S",$CH:$CH)/2))/SUMIF(ProductCodes,"C",$CH:$CH)),IF($A20="S",(SUMIF(#REF!,CS$17,#REF!)*$CG20)/2,
IF($A20="B",(SUMIF(#REF!,CS$17,#REF!)*$CG20),
IF($A20="R",(SUMIF(#REF!,CS$17,#REF!)*$CG20),
IF($A20="H",(SUMIF(#REF!,CS$17,#REF!)*$CG20),"")))))),
IF(SUMIF(ProductCodes,"S",$CI:$CI)=$CI$42,(IF($A20="S",(SUMIF(#REF!,CS$17,#REF!)*$CG20)*((SUMIF(ProductCodes,"S",$CI:$CI)-SUMIF(ProductCodes,"H",$CH:$CH)-SUMIF(ProductCodes,"R",$CH:$CH)-SUMIF(ProductCodes,"B",$CH:$CH)-(SUMIF(ProductCodes,"C",$CH:$CH)/4))/SUMIF(ProductCodes,"S",$CH:$CH)),
IF($A20="C",(SUMIF(#REF!,CS$17,#REF!)*$CG20)/4,
IF($A20="B",(SUMIF(#REF!,CS$17,#REF!)*$CG20),
IF($A20="R",(SUMIF(#REF!,CS$17,#REF!)*$CG20),
IF($A20="H",(SUMIF(#REF!,CS$17,#REF!)*$CG20),"")))))),
IF($A20="C",(SUMIF(#REF!,CS$17,#REF!)*$CG20)*(SUMIF(ProductCodes,"C",$CI:$CI)/(SUMIF(ProductCodes,"C",$CH:$CH))),
IF($A20="S",(SUMIF(#REF!,CS$17,#REF!)*$CG20)*(SUMIF(ProductCodes,"S",$CI:$CI)/(SUMIF(ProductCodes,"S",$CH:$CH))),
IF($A20="B",(SUMIF(#REF!,CS$17,#REF!)*$CG20)*(SUMIF(ProductCodes,"B",$CI:$CI)/(SUMIF(ProductCodes,"B",$CH:$CH))),
IF($A20="R",(SUMIF(#REF!,CS$17,#REF!)*$CG20)*(SUMIF(ProductCodes,"R",$CI:$CI)/(SUMIF(ProductCodes,"R",$CH:$CH))),
IF($A20="H",(SUMIF(#REF!,CS$17,#REF!)*$CG20)*(SUMIF(ProductCodes,"H",$CI:$CI)/(SUMIF(ProductCodes,"H",$CH:$CH))),""))))))),"Error")</f>
        <v>Error</v>
      </c>
      <c r="CT20" s="194" t="str">
        <f>IFERROR(
IF(SUMIF(ProductCodes,"C",$CI:$CI)=$CI$42,(IF($A20="C",(SUMIF(#REF!,CT$17,#REF!)*$CG20)*((SUMIF(ProductCodes,"C",$CI:$CI)-SUMIF(ProductCodes,"H",$CH:$CH)-SUMIF(ProductCodes,"R",$CH:$CH)-SUMIF(ProductCodes,"B",$CH:$CH)-(SUMIF(ProductCodes,"S",$CH:$CH)/2))/SUMIF(ProductCodes,"C",$CH:$CH)),IF($A20="S",(SUMIF(#REF!,CT$17,#REF!)*$CG20)/2,
IF($A20="B",(SUMIF(#REF!,CT$17,#REF!)*$CG20),
IF($A20="R",(SUMIF(#REF!,CT$17,#REF!)*$CG20),
IF($A20="H",(SUMIF(#REF!,CT$17,#REF!)*$CG20),"")))))),
IF(SUMIF(ProductCodes,"S",$CI:$CI)=$CI$42,(IF($A20="S",(SUMIF(#REF!,CT$17,#REF!)*$CG20)*((SUMIF(ProductCodes,"S",$CI:$CI)-SUMIF(ProductCodes,"H",$CH:$CH)-SUMIF(ProductCodes,"R",$CH:$CH)-SUMIF(ProductCodes,"B",$CH:$CH)-(SUMIF(ProductCodes,"C",$CH:$CH)/4))/SUMIF(ProductCodes,"S",$CH:$CH)),
IF($A20="C",(SUMIF(#REF!,CT$17,#REF!)*$CG20)/4,
IF($A20="B",(SUMIF(#REF!,CT$17,#REF!)*$CG20),
IF($A20="R",(SUMIF(#REF!,CT$17,#REF!)*$CG20),
IF($A20="H",(SUMIF(#REF!,CT$17,#REF!)*$CG20),"")))))),
IF($A20="C",(SUMIF(#REF!,CT$17,#REF!)*$CG20)*(SUMIF(ProductCodes,"C",$CI:$CI)/(SUMIF(ProductCodes,"C",$CH:$CH))),
IF($A20="S",(SUMIF(#REF!,CT$17,#REF!)*$CG20)*(SUMIF(ProductCodes,"S",$CI:$CI)/(SUMIF(ProductCodes,"S",$CH:$CH))),
IF($A20="B",(SUMIF(#REF!,CT$17,#REF!)*$CG20)*(SUMIF(ProductCodes,"B",$CI:$CI)/(SUMIF(ProductCodes,"B",$CH:$CH))),
IF($A20="R",(SUMIF(#REF!,CT$17,#REF!)*$CG20)*(SUMIF(ProductCodes,"R",$CI:$CI)/(SUMIF(ProductCodes,"R",$CH:$CH))),
IF($A20="H",(SUMIF(#REF!,CT$17,#REF!)*$CG20)*(SUMIF(ProductCodes,"H",$CI:$CI)/(SUMIF(ProductCodes,"H",$CH:$CH))),""))))))),"Error")</f>
        <v>Error</v>
      </c>
      <c r="CU20" s="194" t="str">
        <f>IFERROR(
IF(SUMIF(ProductCodes,"C",$CI:$CI)=$CI$42,(IF($A20="C",(SUMIF(#REF!,CU$17,#REF!)*$CG20)*((SUMIF(ProductCodes,"C",$CI:$CI)-SUMIF(ProductCodes,"H",$CH:$CH)-SUMIF(ProductCodes,"R",$CH:$CH)-SUMIF(ProductCodes,"B",$CH:$CH)-(SUMIF(ProductCodes,"S",$CH:$CH)/2))/SUMIF(ProductCodes,"C",$CH:$CH)),IF($A20="S",(SUMIF(#REF!,CU$17,#REF!)*$CG20)/2,
IF($A20="B",(SUMIF(#REF!,CU$17,#REF!)*$CG20),
IF($A20="R",(SUMIF(#REF!,CU$17,#REF!)*$CG20),
IF($A20="H",(SUMIF(#REF!,CU$17,#REF!)*$CG20),"")))))),
IF(SUMIF(ProductCodes,"S",$CI:$CI)=$CI$42,(IF($A20="S",(SUMIF(#REF!,CU$17,#REF!)*$CG20)*((SUMIF(ProductCodes,"S",$CI:$CI)-SUMIF(ProductCodes,"H",$CH:$CH)-SUMIF(ProductCodes,"R",$CH:$CH)-SUMIF(ProductCodes,"B",$CH:$CH)-(SUMIF(ProductCodes,"C",$CH:$CH)/4))/SUMIF(ProductCodes,"S",$CH:$CH)),
IF($A20="C",(SUMIF(#REF!,CU$17,#REF!)*$CG20)/4,
IF($A20="B",(SUMIF(#REF!,CU$17,#REF!)*$CG20),
IF($A20="R",(SUMIF(#REF!,CU$17,#REF!)*$CG20),
IF($A20="H",(SUMIF(#REF!,CU$17,#REF!)*$CG20),"")))))),
IF($A20="C",(SUMIF(#REF!,CU$17,#REF!)*$CG20)*(SUMIF(ProductCodes,"C",$CI:$CI)/(SUMIF(ProductCodes,"C",$CH:$CH))),
IF($A20="S",(SUMIF(#REF!,CU$17,#REF!)*$CG20)*(SUMIF(ProductCodes,"S",$CI:$CI)/(SUMIF(ProductCodes,"S",$CH:$CH))),
IF($A20="B",(SUMIF(#REF!,CU$17,#REF!)*$CG20)*(SUMIF(ProductCodes,"B",$CI:$CI)/(SUMIF(ProductCodes,"B",$CH:$CH))),
IF($A20="R",(SUMIF(#REF!,CU$17,#REF!)*$CG20)*(SUMIF(ProductCodes,"R",$CI:$CI)/(SUMIF(ProductCodes,"R",$CH:$CH))),
IF($A20="H",(SUMIF(#REF!,CU$17,#REF!)*$CG20)*(SUMIF(ProductCodes,"H",$CI:$CI)/(SUMIF(ProductCodes,"H",$CH:$CH))),""))))))),"Error")</f>
        <v>Error</v>
      </c>
      <c r="CV20" s="194" t="str">
        <f>IFERROR(
IF(SUMIF(ProductCodes,"C",$CI:$CI)=$CI$42,(IF($A20="C",(SUMIF(#REF!,CV$17,#REF!)*$CG20)*((SUMIF(ProductCodes,"C",$CI:$CI)-SUMIF(ProductCodes,"H",$CH:$CH)-SUMIF(ProductCodes,"R",$CH:$CH)-SUMIF(ProductCodes,"B",$CH:$CH)-(SUMIF(ProductCodes,"S",$CH:$CH)/2))/SUMIF(ProductCodes,"C",$CH:$CH)),IF($A20="S",(SUMIF(#REF!,CV$17,#REF!)*$CG20)/2,
IF($A20="B",(SUMIF(#REF!,CV$17,#REF!)*$CG20),
IF($A20="R",(SUMIF(#REF!,CV$17,#REF!)*$CG20),
IF($A20="H",(SUMIF(#REF!,CV$17,#REF!)*$CG20),"")))))),
IF(SUMIF(ProductCodes,"S",$CI:$CI)=$CI$42,(IF($A20="S",(SUMIF(#REF!,CV$17,#REF!)*$CG20)*((SUMIF(ProductCodes,"S",$CI:$CI)-SUMIF(ProductCodes,"H",$CH:$CH)-SUMIF(ProductCodes,"R",$CH:$CH)-SUMIF(ProductCodes,"B",$CH:$CH)-(SUMIF(ProductCodes,"C",$CH:$CH)/4))/SUMIF(ProductCodes,"S",$CH:$CH)),
IF($A20="C",(SUMIF(#REF!,CV$17,#REF!)*$CG20)/4,
IF($A20="B",(SUMIF(#REF!,CV$17,#REF!)*$CG20),
IF($A20="R",(SUMIF(#REF!,CV$17,#REF!)*$CG20),
IF($A20="H",(SUMIF(#REF!,CV$17,#REF!)*$CG20),"")))))),
IF($A20="C",(SUMIF(#REF!,CV$17,#REF!)*$CG20)*(SUMIF(ProductCodes,"C",$CI:$CI)/(SUMIF(ProductCodes,"C",$CH:$CH))),
IF($A20="S",(SUMIF(#REF!,CV$17,#REF!)*$CG20)*(SUMIF(ProductCodes,"S",$CI:$CI)/(SUMIF(ProductCodes,"S",$CH:$CH))),
IF($A20="B",(SUMIF(#REF!,CV$17,#REF!)*$CG20)*(SUMIF(ProductCodes,"B",$CI:$CI)/(SUMIF(ProductCodes,"B",$CH:$CH))),
IF($A20="R",(SUMIF(#REF!,CV$17,#REF!)*$CG20)*(SUMIF(ProductCodes,"R",$CI:$CI)/(SUMIF(ProductCodes,"R",$CH:$CH))),
IF($A20="H",(SUMIF(#REF!,CV$17,#REF!)*$CG20)*(SUMIF(ProductCodes,"H",$CI:$CI)/(SUMIF(ProductCodes,"H",$CH:$CH))),""))))))),"Error")</f>
        <v>Error</v>
      </c>
      <c r="CW20" s="194" t="str">
        <f>IFERROR(
IF(SUMIF(ProductCodes,"C",$CI:$CI)=$CI$42,(IF($A20="C",(SUMIF(#REF!,CW$17,#REF!)*$CG20)*((SUMIF(ProductCodes,"C",$CI:$CI)-SUMIF(ProductCodes,"H",$CH:$CH)-SUMIF(ProductCodes,"R",$CH:$CH)-SUMIF(ProductCodes,"B",$CH:$CH)-(SUMIF(ProductCodes,"S",$CH:$CH)/2))/SUMIF(ProductCodes,"C",$CH:$CH)),IF($A20="S",(SUMIF(#REF!,CW$17,#REF!)*$CG20)/2,
IF($A20="B",(SUMIF(#REF!,CW$17,#REF!)*$CG20),
IF($A20="R",(SUMIF(#REF!,CW$17,#REF!)*$CG20),
IF($A20="H",(SUMIF(#REF!,CW$17,#REF!)*$CG20),"")))))),
IF(SUMIF(ProductCodes,"S",$CI:$CI)=$CI$42,(IF($A20="S",(SUMIF(#REF!,CW$17,#REF!)*$CG20)*((SUMIF(ProductCodes,"S",$CI:$CI)-SUMIF(ProductCodes,"H",$CH:$CH)-SUMIF(ProductCodes,"R",$CH:$CH)-SUMIF(ProductCodes,"B",$CH:$CH)-(SUMIF(ProductCodes,"C",$CH:$CH)/4))/SUMIF(ProductCodes,"S",$CH:$CH)),
IF($A20="C",(SUMIF(#REF!,CW$17,#REF!)*$CG20)/4,
IF($A20="B",(SUMIF(#REF!,CW$17,#REF!)*$CG20),
IF($A20="R",(SUMIF(#REF!,CW$17,#REF!)*$CG20),
IF($A20="H",(SUMIF(#REF!,CW$17,#REF!)*$CG20),"")))))),
IF($A20="C",(SUMIF(#REF!,CW$17,#REF!)*$CG20)*(SUMIF(ProductCodes,"C",$CI:$CI)/(SUMIF(ProductCodes,"C",$CH:$CH))),
IF($A20="S",(SUMIF(#REF!,CW$17,#REF!)*$CG20)*(SUMIF(ProductCodes,"S",$CI:$CI)/(SUMIF(ProductCodes,"S",$CH:$CH))),
IF($A20="B",(SUMIF(#REF!,CW$17,#REF!)*$CG20)*(SUMIF(ProductCodes,"B",$CI:$CI)/(SUMIF(ProductCodes,"B",$CH:$CH))),
IF($A20="R",(SUMIF(#REF!,CW$17,#REF!)*$CG20)*(SUMIF(ProductCodes,"R",$CI:$CI)/(SUMIF(ProductCodes,"R",$CH:$CH))),
IF($A20="H",(SUMIF(#REF!,CW$17,#REF!)*$CG20)*(SUMIF(ProductCodes,"H",$CI:$CI)/(SUMIF(ProductCodes,"H",$CH:$CH))),""))))))),"Error")</f>
        <v>Error</v>
      </c>
      <c r="CX20" s="194" t="str">
        <f>IFERROR(
IF(SUMIF(ProductCodes,"C",$CI:$CI)=$CI$42,(IF($A20="C",(SUMIF(#REF!,CX$17,#REF!)*$CG20)*((SUMIF(ProductCodes,"C",$CI:$CI)-SUMIF(ProductCodes,"H",$CH:$CH)-SUMIF(ProductCodes,"R",$CH:$CH)-SUMIF(ProductCodes,"B",$CH:$CH)-(SUMIF(ProductCodes,"S",$CH:$CH)/2))/SUMIF(ProductCodes,"C",$CH:$CH)),IF($A20="S",(SUMIF(#REF!,CX$17,#REF!)*$CG20)/2,
IF($A20="B",(SUMIF(#REF!,CX$17,#REF!)*$CG20),
IF($A20="R",(SUMIF(#REF!,CX$17,#REF!)*$CG20),
IF($A20="H",(SUMIF(#REF!,CX$17,#REF!)*$CG20),"")))))),
IF(SUMIF(ProductCodes,"S",$CI:$CI)=$CI$42,(IF($A20="S",(SUMIF(#REF!,CX$17,#REF!)*$CG20)*((SUMIF(ProductCodes,"S",$CI:$CI)-SUMIF(ProductCodes,"H",$CH:$CH)-SUMIF(ProductCodes,"R",$CH:$CH)-SUMIF(ProductCodes,"B",$CH:$CH)-(SUMIF(ProductCodes,"C",$CH:$CH)/4))/SUMIF(ProductCodes,"S",$CH:$CH)),
IF($A20="C",(SUMIF(#REF!,CX$17,#REF!)*$CG20)/4,
IF($A20="B",(SUMIF(#REF!,CX$17,#REF!)*$CG20),
IF($A20="R",(SUMIF(#REF!,CX$17,#REF!)*$CG20),
IF($A20="H",(SUMIF(#REF!,CX$17,#REF!)*$CG20),"")))))),
IF($A20="C",(SUMIF(#REF!,CX$17,#REF!)*$CG20)*(SUMIF(ProductCodes,"C",$CI:$CI)/(SUMIF(ProductCodes,"C",$CH:$CH))),
IF($A20="S",(SUMIF(#REF!,CX$17,#REF!)*$CG20)*(SUMIF(ProductCodes,"S",$CI:$CI)/(SUMIF(ProductCodes,"S",$CH:$CH))),
IF($A20="B",(SUMIF(#REF!,CX$17,#REF!)*$CG20)*(SUMIF(ProductCodes,"B",$CI:$CI)/(SUMIF(ProductCodes,"B",$CH:$CH))),
IF($A20="R",(SUMIF(#REF!,CX$17,#REF!)*$CG20)*(SUMIF(ProductCodes,"R",$CI:$CI)/(SUMIF(ProductCodes,"R",$CH:$CH))),
IF($A20="H",(SUMIF(#REF!,CX$17,#REF!)*$CG20)*(SUMIF(ProductCodes,"H",$CI:$CI)/(SUMIF(ProductCodes,"H",$CH:$CH))),""))))))),"Error")</f>
        <v>Error</v>
      </c>
      <c r="CY20" s="194" t="str">
        <f>IFERROR(
IF(SUMIF(ProductCodes,"C",$CI:$CI)=$CI$42,(IF($A20="C",(SUMIF(#REF!,CY$17,#REF!)*$CG20)*((SUMIF(ProductCodes,"C",$CI:$CI)-SUMIF(ProductCodes,"H",$CH:$CH)-SUMIF(ProductCodes,"R",$CH:$CH)-SUMIF(ProductCodes,"B",$CH:$CH)-(SUMIF(ProductCodes,"S",$CH:$CH)/2))/SUMIF(ProductCodes,"C",$CH:$CH)),IF($A20="S",(SUMIF(#REF!,CY$17,#REF!)*$CG20)/2,
IF($A20="B",(SUMIF(#REF!,CY$17,#REF!)*$CG20),
IF($A20="R",(SUMIF(#REF!,CY$17,#REF!)*$CG20),
IF($A20="H",(SUMIF(#REF!,CY$17,#REF!)*$CG20),"")))))),
IF(SUMIF(ProductCodes,"S",$CI:$CI)=$CI$42,(IF($A20="S",(SUMIF(#REF!,CY$17,#REF!)*$CG20)*((SUMIF(ProductCodes,"S",$CI:$CI)-SUMIF(ProductCodes,"H",$CH:$CH)-SUMIF(ProductCodes,"R",$CH:$CH)-SUMIF(ProductCodes,"B",$CH:$CH)-(SUMIF(ProductCodes,"C",$CH:$CH)/4))/SUMIF(ProductCodes,"S",$CH:$CH)),
IF($A20="C",(SUMIF(#REF!,CY$17,#REF!)*$CG20)/4,
IF($A20="B",(SUMIF(#REF!,CY$17,#REF!)*$CG20),
IF($A20="R",(SUMIF(#REF!,CY$17,#REF!)*$CG20),
IF($A20="H",(SUMIF(#REF!,CY$17,#REF!)*$CG20),"")))))),
IF($A20="C",(SUMIF(#REF!,CY$17,#REF!)*$CG20)*(SUMIF(ProductCodes,"C",$CI:$CI)/(SUMIF(ProductCodes,"C",$CH:$CH))),
IF($A20="S",(SUMIF(#REF!,CY$17,#REF!)*$CG20)*(SUMIF(ProductCodes,"S",$CI:$CI)/(SUMIF(ProductCodes,"S",$CH:$CH))),
IF($A20="B",(SUMIF(#REF!,CY$17,#REF!)*$CG20)*(SUMIF(ProductCodes,"B",$CI:$CI)/(SUMIF(ProductCodes,"B",$CH:$CH))),
IF($A20="R",(SUMIF(#REF!,CY$17,#REF!)*$CG20)*(SUMIF(ProductCodes,"R",$CI:$CI)/(SUMIF(ProductCodes,"R",$CH:$CH))),
IF($A20="H",(SUMIF(#REF!,CY$17,#REF!)*$CG20)*(SUMIF(ProductCodes,"H",$CI:$CI)/(SUMIF(ProductCodes,"H",$CH:$CH))),""))))))),"Error")</f>
        <v>Error</v>
      </c>
      <c r="CZ20" s="194" t="str">
        <f>IFERROR(
IF(SUMIF(ProductCodes,"C",$CI:$CI)=$CI$42,(IF($A20="C",(SUMIF(#REF!,CZ$17,#REF!)*$CG20)*((SUMIF(ProductCodes,"C",$CI:$CI)-SUMIF(ProductCodes,"H",$CH:$CH)-SUMIF(ProductCodes,"R",$CH:$CH)-SUMIF(ProductCodes,"B",$CH:$CH)-(SUMIF(ProductCodes,"S",$CH:$CH)/2))/SUMIF(ProductCodes,"C",$CH:$CH)),IF($A20="S",(SUMIF(#REF!,CZ$17,#REF!)*$CG20)/2,
IF($A20="B",(SUMIF(#REF!,CZ$17,#REF!)*$CG20),
IF($A20="R",(SUMIF(#REF!,CZ$17,#REF!)*$CG20),
IF($A20="H",(SUMIF(#REF!,CZ$17,#REF!)*$CG20),"")))))),
IF(SUMIF(ProductCodes,"S",$CI:$CI)=$CI$42,(IF($A20="S",(SUMIF(#REF!,CZ$17,#REF!)*$CG20)*((SUMIF(ProductCodes,"S",$CI:$CI)-SUMIF(ProductCodes,"H",$CH:$CH)-SUMIF(ProductCodes,"R",$CH:$CH)-SUMIF(ProductCodes,"B",$CH:$CH)-(SUMIF(ProductCodes,"C",$CH:$CH)/4))/SUMIF(ProductCodes,"S",$CH:$CH)),
IF($A20="C",(SUMIF(#REF!,CZ$17,#REF!)*$CG20)/4,
IF($A20="B",(SUMIF(#REF!,CZ$17,#REF!)*$CG20),
IF($A20="R",(SUMIF(#REF!,CZ$17,#REF!)*$CG20),
IF($A20="H",(SUMIF(#REF!,CZ$17,#REF!)*$CG20),"")))))),
IF($A20="C",(SUMIF(#REF!,CZ$17,#REF!)*$CG20)*(SUMIF(ProductCodes,"C",$CI:$CI)/(SUMIF(ProductCodes,"C",$CH:$CH))),
IF($A20="S",(SUMIF(#REF!,CZ$17,#REF!)*$CG20)*(SUMIF(ProductCodes,"S",$CI:$CI)/(SUMIF(ProductCodes,"S",$CH:$CH))),
IF($A20="B",(SUMIF(#REF!,CZ$17,#REF!)*$CG20)*(SUMIF(ProductCodes,"B",$CI:$CI)/(SUMIF(ProductCodes,"B",$CH:$CH))),
IF($A20="R",(SUMIF(#REF!,CZ$17,#REF!)*$CG20)*(SUMIF(ProductCodes,"R",$CI:$CI)/(SUMIF(ProductCodes,"R",$CH:$CH))),
IF($A20="H",(SUMIF(#REF!,CZ$17,#REF!)*$CG20)*(SUMIF(ProductCodes,"H",$CI:$CI)/(SUMIF(ProductCodes,"H",$CH:$CH))),""))))))),"Error")</f>
        <v>Error</v>
      </c>
      <c r="DA20" s="194" t="str">
        <f>IFERROR(
IF(SUMIF(ProductCodes,"C",$CI:$CI)=$CI$42,(IF($A20="C",(SUMIF(#REF!,DA$17,#REF!)*$CG20)*((SUMIF(ProductCodes,"C",$CI:$CI)-SUMIF(ProductCodes,"H",$CH:$CH)-SUMIF(ProductCodes,"R",$CH:$CH)-SUMIF(ProductCodes,"B",$CH:$CH)-(SUMIF(ProductCodes,"S",$CH:$CH)/2))/SUMIF(ProductCodes,"C",$CH:$CH)),IF($A20="S",(SUMIF(#REF!,DA$17,#REF!)*$CG20)/2,
IF($A20="B",(SUMIF(#REF!,DA$17,#REF!)*$CG20),
IF($A20="R",(SUMIF(#REF!,DA$17,#REF!)*$CG20),
IF($A20="H",(SUMIF(#REF!,DA$17,#REF!)*$CG20),"")))))),
IF(SUMIF(ProductCodes,"S",$CI:$CI)=$CI$42,(IF($A20="S",(SUMIF(#REF!,DA$17,#REF!)*$CG20)*((SUMIF(ProductCodes,"S",$CI:$CI)-SUMIF(ProductCodes,"H",$CH:$CH)-SUMIF(ProductCodes,"R",$CH:$CH)-SUMIF(ProductCodes,"B",$CH:$CH)-(SUMIF(ProductCodes,"C",$CH:$CH)/4))/SUMIF(ProductCodes,"S",$CH:$CH)),
IF($A20="C",(SUMIF(#REF!,DA$17,#REF!)*$CG20)/4,
IF($A20="B",(SUMIF(#REF!,DA$17,#REF!)*$CG20),
IF($A20="R",(SUMIF(#REF!,DA$17,#REF!)*$CG20),
IF($A20="H",(SUMIF(#REF!,DA$17,#REF!)*$CG20),"")))))),
IF($A20="C",(SUMIF(#REF!,DA$17,#REF!)*$CG20)*(SUMIF(ProductCodes,"C",$CI:$CI)/(SUMIF(ProductCodes,"C",$CH:$CH))),
IF($A20="S",(SUMIF(#REF!,DA$17,#REF!)*$CG20)*(SUMIF(ProductCodes,"S",$CI:$CI)/(SUMIF(ProductCodes,"S",$CH:$CH))),
IF($A20="B",(SUMIF(#REF!,DA$17,#REF!)*$CG20)*(SUMIF(ProductCodes,"B",$CI:$CI)/(SUMIF(ProductCodes,"B",$CH:$CH))),
IF($A20="R",(SUMIF(#REF!,DA$17,#REF!)*$CG20)*(SUMIF(ProductCodes,"R",$CI:$CI)/(SUMIF(ProductCodes,"R",$CH:$CH))),
IF($A20="H",(SUMIF(#REF!,DA$17,#REF!)*$CG20)*(SUMIF(ProductCodes,"H",$CI:$CI)/(SUMIF(ProductCodes,"H",$CH:$CH))),""))))))),"Error")</f>
        <v>Error</v>
      </c>
      <c r="DB20" s="194" t="str">
        <f>IFERROR(
IF(SUMIF(ProductCodes,"C",$CI:$CI)=$CI$42,(IF($A20="C",(SUMIF(#REF!,DB$17,#REF!)*$CG20)*((SUMIF(ProductCodes,"C",$CI:$CI)-SUMIF(ProductCodes,"H",$CH:$CH)-SUMIF(ProductCodes,"R",$CH:$CH)-SUMIF(ProductCodes,"B",$CH:$CH)-(SUMIF(ProductCodes,"S",$CH:$CH)/2))/SUMIF(ProductCodes,"C",$CH:$CH)),IF($A20="S",(SUMIF(#REF!,DB$17,#REF!)*$CG20)/2,
IF($A20="B",(SUMIF(#REF!,DB$17,#REF!)*$CG20),
IF($A20="R",(SUMIF(#REF!,DB$17,#REF!)*$CG20),
IF($A20="H",(SUMIF(#REF!,DB$17,#REF!)*$CG20),"")))))),
IF(SUMIF(ProductCodes,"S",$CI:$CI)=$CI$42,(IF($A20="S",(SUMIF(#REF!,DB$17,#REF!)*$CG20)*((SUMIF(ProductCodes,"S",$CI:$CI)-SUMIF(ProductCodes,"H",$CH:$CH)-SUMIF(ProductCodes,"R",$CH:$CH)-SUMIF(ProductCodes,"B",$CH:$CH)-(SUMIF(ProductCodes,"C",$CH:$CH)/4))/SUMIF(ProductCodes,"S",$CH:$CH)),
IF($A20="C",(SUMIF(#REF!,DB$17,#REF!)*$CG20)/4,
IF($A20="B",(SUMIF(#REF!,DB$17,#REF!)*$CG20),
IF($A20="R",(SUMIF(#REF!,DB$17,#REF!)*$CG20),
IF($A20="H",(SUMIF(#REF!,DB$17,#REF!)*$CG20),"")))))),
IF($A20="C",(SUMIF(#REF!,DB$17,#REF!)*$CG20)*(SUMIF(ProductCodes,"C",$CI:$CI)/(SUMIF(ProductCodes,"C",$CH:$CH))),
IF($A20="S",(SUMIF(#REF!,DB$17,#REF!)*$CG20)*(SUMIF(ProductCodes,"S",$CI:$CI)/(SUMIF(ProductCodes,"S",$CH:$CH))),
IF($A20="B",(SUMIF(#REF!,DB$17,#REF!)*$CG20)*(SUMIF(ProductCodes,"B",$CI:$CI)/(SUMIF(ProductCodes,"B",$CH:$CH))),
IF($A20="R",(SUMIF(#REF!,DB$17,#REF!)*$CG20)*(SUMIF(ProductCodes,"R",$CI:$CI)/(SUMIF(ProductCodes,"R",$CH:$CH))),
IF($A20="H",(SUMIF(#REF!,DB$17,#REF!)*$CG20)*(SUMIF(ProductCodes,"H",$CI:$CI)/(SUMIF(ProductCodes,"H",$CH:$CH))),""))))))),"Error")</f>
        <v>Error</v>
      </c>
      <c r="DC20" s="194" t="str">
        <f>IFERROR(
IF(SUMIF(ProductCodes,"C",$CI:$CI)=$CI$42,(IF($A20="C",(SUMIF(#REF!,DC$17,#REF!)*$CG20)*((SUMIF(ProductCodes,"C",$CI:$CI)-SUMIF(ProductCodes,"H",$CH:$CH)-SUMIF(ProductCodes,"R",$CH:$CH)-SUMIF(ProductCodes,"B",$CH:$CH)-(SUMIF(ProductCodes,"S",$CH:$CH)/2))/SUMIF(ProductCodes,"C",$CH:$CH)),IF($A20="S",(SUMIF(#REF!,DC$17,#REF!)*$CG20)/2,
IF($A20="B",(SUMIF(#REF!,DC$17,#REF!)*$CG20),
IF($A20="R",(SUMIF(#REF!,DC$17,#REF!)*$CG20),
IF($A20="H",(SUMIF(#REF!,DC$17,#REF!)*$CG20),"")))))),
IF(SUMIF(ProductCodes,"S",$CI:$CI)=$CI$42,(IF($A20="S",(SUMIF(#REF!,DC$17,#REF!)*$CG20)*((SUMIF(ProductCodes,"S",$CI:$CI)-SUMIF(ProductCodes,"H",$CH:$CH)-SUMIF(ProductCodes,"R",$CH:$CH)-SUMIF(ProductCodes,"B",$CH:$CH)-(SUMIF(ProductCodes,"C",$CH:$CH)/4))/SUMIF(ProductCodes,"S",$CH:$CH)),
IF($A20="C",(SUMIF(#REF!,DC$17,#REF!)*$CG20)/4,
IF($A20="B",(SUMIF(#REF!,DC$17,#REF!)*$CG20),
IF($A20="R",(SUMIF(#REF!,DC$17,#REF!)*$CG20),
IF($A20="H",(SUMIF(#REF!,DC$17,#REF!)*$CG20),"")))))),
IF($A20="C",(SUMIF(#REF!,DC$17,#REF!)*$CG20)*(SUMIF(ProductCodes,"C",$CI:$CI)/(SUMIF(ProductCodes,"C",$CH:$CH))),
IF($A20="S",(SUMIF(#REF!,DC$17,#REF!)*$CG20)*(SUMIF(ProductCodes,"S",$CI:$CI)/(SUMIF(ProductCodes,"S",$CH:$CH))),
IF($A20="B",(SUMIF(#REF!,DC$17,#REF!)*$CG20)*(SUMIF(ProductCodes,"B",$CI:$CI)/(SUMIF(ProductCodes,"B",$CH:$CH))),
IF($A20="R",(SUMIF(#REF!,DC$17,#REF!)*$CG20)*(SUMIF(ProductCodes,"R",$CI:$CI)/(SUMIF(ProductCodes,"R",$CH:$CH))),
IF($A20="H",(SUMIF(#REF!,DC$17,#REF!)*$CG20)*(SUMIF(ProductCodes,"H",$CI:$CI)/(SUMIF(ProductCodes,"H",$CH:$CH))),""))))))),"Error")</f>
        <v>Error</v>
      </c>
      <c r="DD20" s="194" t="str">
        <f>IFERROR(
IF(SUMIF(ProductCodes,"C",$CI:$CI)=$CI$42,(IF($A20="C",(SUMIF(#REF!,DD$17,#REF!)*$CG20)*((SUMIF(ProductCodes,"C",$CI:$CI)-SUMIF(ProductCodes,"H",$CH:$CH)-SUMIF(ProductCodes,"R",$CH:$CH)-SUMIF(ProductCodes,"B",$CH:$CH)-(SUMIF(ProductCodes,"S",$CH:$CH)/2))/SUMIF(ProductCodes,"C",$CH:$CH)),IF($A20="S",(SUMIF(#REF!,DD$17,#REF!)*$CG20)/2,
IF($A20="B",(SUMIF(#REF!,DD$17,#REF!)*$CG20),
IF($A20="R",(SUMIF(#REF!,DD$17,#REF!)*$CG20),
IF($A20="H",(SUMIF(#REF!,DD$17,#REF!)*$CG20),"")))))),
IF(SUMIF(ProductCodes,"S",$CI:$CI)=$CI$42,(IF($A20="S",(SUMIF(#REF!,DD$17,#REF!)*$CG20)*((SUMIF(ProductCodes,"S",$CI:$CI)-SUMIF(ProductCodes,"H",$CH:$CH)-SUMIF(ProductCodes,"R",$CH:$CH)-SUMIF(ProductCodes,"B",$CH:$CH)-(SUMIF(ProductCodes,"C",$CH:$CH)/4))/SUMIF(ProductCodes,"S",$CH:$CH)),
IF($A20="C",(SUMIF(#REF!,DD$17,#REF!)*$CG20)/4,
IF($A20="B",(SUMIF(#REF!,DD$17,#REF!)*$CG20),
IF($A20="R",(SUMIF(#REF!,DD$17,#REF!)*$CG20),
IF($A20="H",(SUMIF(#REF!,DD$17,#REF!)*$CG20),"")))))),
IF($A20="C",(SUMIF(#REF!,DD$17,#REF!)*$CG20)*(SUMIF(ProductCodes,"C",$CI:$CI)/(SUMIF(ProductCodes,"C",$CH:$CH))),
IF($A20="S",(SUMIF(#REF!,DD$17,#REF!)*$CG20)*(SUMIF(ProductCodes,"S",$CI:$CI)/(SUMIF(ProductCodes,"S",$CH:$CH))),
IF($A20="B",(SUMIF(#REF!,DD$17,#REF!)*$CG20)*(SUMIF(ProductCodes,"B",$CI:$CI)/(SUMIF(ProductCodes,"B",$CH:$CH))),
IF($A20="R",(SUMIF(#REF!,DD$17,#REF!)*$CG20)*(SUMIF(ProductCodes,"R",$CI:$CI)/(SUMIF(ProductCodes,"R",$CH:$CH))),
IF($A20="H",(SUMIF(#REF!,DD$17,#REF!)*$CG20)*(SUMIF(ProductCodes,"H",$CI:$CI)/(SUMIF(ProductCodes,"H",$CH:$CH))),""))))))),"Error")</f>
        <v>Error</v>
      </c>
      <c r="DE20" s="194" t="str">
        <f>IFERROR(
IF(SUMIF(ProductCodes,"C",$CI:$CI)=$CI$42,(IF($A20="C",(SUMIF(#REF!,DE$17,#REF!)*$CG20)*((SUMIF(ProductCodes,"C",$CI:$CI)-SUMIF(ProductCodes,"H",$CH:$CH)-SUMIF(ProductCodes,"R",$CH:$CH)-SUMIF(ProductCodes,"B",$CH:$CH)-(SUMIF(ProductCodes,"S",$CH:$CH)/2))/SUMIF(ProductCodes,"C",$CH:$CH)),IF($A20="S",(SUMIF(#REF!,DE$17,#REF!)*$CG20)/2,
IF($A20="B",(SUMIF(#REF!,DE$17,#REF!)*$CG20),
IF($A20="R",(SUMIF(#REF!,DE$17,#REF!)*$CG20),
IF($A20="H",(SUMIF(#REF!,DE$17,#REF!)*$CG20),"")))))),
IF(SUMIF(ProductCodes,"S",$CI:$CI)=$CI$42,(IF($A20="S",(SUMIF(#REF!,DE$17,#REF!)*$CG20)*((SUMIF(ProductCodes,"S",$CI:$CI)-SUMIF(ProductCodes,"H",$CH:$CH)-SUMIF(ProductCodes,"R",$CH:$CH)-SUMIF(ProductCodes,"B",$CH:$CH)-(SUMIF(ProductCodes,"C",$CH:$CH)/4))/SUMIF(ProductCodes,"S",$CH:$CH)),
IF($A20="C",(SUMIF(#REF!,DE$17,#REF!)*$CG20)/4,
IF($A20="B",(SUMIF(#REF!,DE$17,#REF!)*$CG20),
IF($A20="R",(SUMIF(#REF!,DE$17,#REF!)*$CG20),
IF($A20="H",(SUMIF(#REF!,DE$17,#REF!)*$CG20),"")))))),
IF($A20="C",(SUMIF(#REF!,DE$17,#REF!)*$CG20)*(SUMIF(ProductCodes,"C",$CI:$CI)/(SUMIF(ProductCodes,"C",$CH:$CH))),
IF($A20="S",(SUMIF(#REF!,DE$17,#REF!)*$CG20)*(SUMIF(ProductCodes,"S",$CI:$CI)/(SUMIF(ProductCodes,"S",$CH:$CH))),
IF($A20="B",(SUMIF(#REF!,DE$17,#REF!)*$CG20)*(SUMIF(ProductCodes,"B",$CI:$CI)/(SUMIF(ProductCodes,"B",$CH:$CH))),
IF($A20="R",(SUMIF(#REF!,DE$17,#REF!)*$CG20)*(SUMIF(ProductCodes,"R",$CI:$CI)/(SUMIF(ProductCodes,"R",$CH:$CH))),
IF($A20="H",(SUMIF(#REF!,DE$17,#REF!)*$CG20)*(SUMIF(ProductCodes,"H",$CI:$CI)/(SUMIF(ProductCodes,"H",$CH:$CH))),""))))))),"Error")</f>
        <v>Error</v>
      </c>
      <c r="DF20" s="194" t="str">
        <f>IFERROR(
IF(SUMIF(ProductCodes,"C",$CI:$CI)=$CI$42,(IF($A20="C",(SUMIF(#REF!,DF$17,#REF!)*$CG20)*((SUMIF(ProductCodes,"C",$CI:$CI)-SUMIF(ProductCodes,"H",$CH:$CH)-SUMIF(ProductCodes,"R",$CH:$CH)-SUMIF(ProductCodes,"B",$CH:$CH)-(SUMIF(ProductCodes,"S",$CH:$CH)/2))/SUMIF(ProductCodes,"C",$CH:$CH)),IF($A20="S",(SUMIF(#REF!,DF$17,#REF!)*$CG20)/2,
IF($A20="B",(SUMIF(#REF!,DF$17,#REF!)*$CG20),
IF($A20="R",(SUMIF(#REF!,DF$17,#REF!)*$CG20),
IF($A20="H",(SUMIF(#REF!,DF$17,#REF!)*$CG20),"")))))),
IF(SUMIF(ProductCodes,"S",$CI:$CI)=$CI$42,(IF($A20="S",(SUMIF(#REF!,DF$17,#REF!)*$CG20)*((SUMIF(ProductCodes,"S",$CI:$CI)-SUMIF(ProductCodes,"H",$CH:$CH)-SUMIF(ProductCodes,"R",$CH:$CH)-SUMIF(ProductCodes,"B",$CH:$CH)-(SUMIF(ProductCodes,"C",$CH:$CH)/4))/SUMIF(ProductCodes,"S",$CH:$CH)),
IF($A20="C",(SUMIF(#REF!,DF$17,#REF!)*$CG20)/4,
IF($A20="B",(SUMIF(#REF!,DF$17,#REF!)*$CG20),
IF($A20="R",(SUMIF(#REF!,DF$17,#REF!)*$CG20),
IF($A20="H",(SUMIF(#REF!,DF$17,#REF!)*$CG20),"")))))),
IF($A20="C",(SUMIF(#REF!,DF$17,#REF!)*$CG20)*(SUMIF(ProductCodes,"C",$CI:$CI)/(SUMIF(ProductCodes,"C",$CH:$CH))),
IF($A20="S",(SUMIF(#REF!,DF$17,#REF!)*$CG20)*(SUMIF(ProductCodes,"S",$CI:$CI)/(SUMIF(ProductCodes,"S",$CH:$CH))),
IF($A20="B",(SUMIF(#REF!,DF$17,#REF!)*$CG20)*(SUMIF(ProductCodes,"B",$CI:$CI)/(SUMIF(ProductCodes,"B",$CH:$CH))),
IF($A20="R",(SUMIF(#REF!,DF$17,#REF!)*$CG20)*(SUMIF(ProductCodes,"R",$CI:$CI)/(SUMIF(ProductCodes,"R",$CH:$CH))),
IF($A20="H",(SUMIF(#REF!,DF$17,#REF!)*$CG20)*(SUMIF(ProductCodes,"H",$CI:$CI)/(SUMIF(ProductCodes,"H",$CH:$CH))),""))))))),"Error")</f>
        <v>Error</v>
      </c>
      <c r="DG20" s="194" t="str">
        <f>IFERROR(
IF(SUMIF(ProductCodes,"C",$CI:$CI)=$CI$42,(IF($A20="C",(SUMIF(#REF!,DG$17,#REF!)*$CG20)*((SUMIF(ProductCodes,"C",$CI:$CI)-SUMIF(ProductCodes,"H",$CH:$CH)-SUMIF(ProductCodes,"R",$CH:$CH)-SUMIF(ProductCodes,"B",$CH:$CH)-(SUMIF(ProductCodes,"S",$CH:$CH)/2))/SUMIF(ProductCodes,"C",$CH:$CH)),IF($A20="S",(SUMIF(#REF!,DG$17,#REF!)*$CG20)/2,
IF($A20="B",(SUMIF(#REF!,DG$17,#REF!)*$CG20),
IF($A20="R",(SUMIF(#REF!,DG$17,#REF!)*$CG20),
IF($A20="H",(SUMIF(#REF!,DG$17,#REF!)*$CG20),"")))))),
IF(SUMIF(ProductCodes,"S",$CI:$CI)=$CI$42,(IF($A20="S",(SUMIF(#REF!,DG$17,#REF!)*$CG20)*((SUMIF(ProductCodes,"S",$CI:$CI)-SUMIF(ProductCodes,"H",$CH:$CH)-SUMIF(ProductCodes,"R",$CH:$CH)-SUMIF(ProductCodes,"B",$CH:$CH)-(SUMIF(ProductCodes,"C",$CH:$CH)/4))/SUMIF(ProductCodes,"S",$CH:$CH)),
IF($A20="C",(SUMIF(#REF!,DG$17,#REF!)*$CG20)/4,
IF($A20="B",(SUMIF(#REF!,DG$17,#REF!)*$CG20),
IF($A20="R",(SUMIF(#REF!,DG$17,#REF!)*$CG20),
IF($A20="H",(SUMIF(#REF!,DG$17,#REF!)*$CG20),"")))))),
IF($A20="C",(SUMIF(#REF!,DG$17,#REF!)*$CG20)*(SUMIF(ProductCodes,"C",$CI:$CI)/(SUMIF(ProductCodes,"C",$CH:$CH))),
IF($A20="S",(SUMIF(#REF!,DG$17,#REF!)*$CG20)*(SUMIF(ProductCodes,"S",$CI:$CI)/(SUMIF(ProductCodes,"S",$CH:$CH))),
IF($A20="B",(SUMIF(#REF!,DG$17,#REF!)*$CG20)*(SUMIF(ProductCodes,"B",$CI:$CI)/(SUMIF(ProductCodes,"B",$CH:$CH))),
IF($A20="R",(SUMIF(#REF!,DG$17,#REF!)*$CG20)*(SUMIF(ProductCodes,"R",$CI:$CI)/(SUMIF(ProductCodes,"R",$CH:$CH))),
IF($A20="H",(SUMIF(#REF!,DG$17,#REF!)*$CG20)*(SUMIF(ProductCodes,"H",$CI:$CI)/(SUMIF(ProductCodes,"H",$CH:$CH))),""))))))),"Error")</f>
        <v>Error</v>
      </c>
      <c r="DH20" s="194" t="str">
        <f>IFERROR(
IF(SUMIF(ProductCodes,"C",$CI:$CI)=$CI$42,(IF($A20="C",(SUMIF(#REF!,DH$17,#REF!)*$CG20)*((SUMIF(ProductCodes,"C",$CI:$CI)-SUMIF(ProductCodes,"H",$CH:$CH)-SUMIF(ProductCodes,"R",$CH:$CH)-SUMIF(ProductCodes,"B",$CH:$CH)-(SUMIF(ProductCodes,"S",$CH:$CH)/2))/SUMIF(ProductCodes,"C",$CH:$CH)),IF($A20="S",(SUMIF(#REF!,DH$17,#REF!)*$CG20)/2,
IF($A20="B",(SUMIF(#REF!,DH$17,#REF!)*$CG20),
IF($A20="R",(SUMIF(#REF!,DH$17,#REF!)*$CG20),
IF($A20="H",(SUMIF(#REF!,DH$17,#REF!)*$CG20),"")))))),
IF(SUMIF(ProductCodes,"S",$CI:$CI)=$CI$42,(IF($A20="S",(SUMIF(#REF!,DH$17,#REF!)*$CG20)*((SUMIF(ProductCodes,"S",$CI:$CI)-SUMIF(ProductCodes,"H",$CH:$CH)-SUMIF(ProductCodes,"R",$CH:$CH)-SUMIF(ProductCodes,"B",$CH:$CH)-(SUMIF(ProductCodes,"C",$CH:$CH)/4))/SUMIF(ProductCodes,"S",$CH:$CH)),
IF($A20="C",(SUMIF(#REF!,DH$17,#REF!)*$CG20)/4,
IF($A20="B",(SUMIF(#REF!,DH$17,#REF!)*$CG20),
IF($A20="R",(SUMIF(#REF!,DH$17,#REF!)*$CG20),
IF($A20="H",(SUMIF(#REF!,DH$17,#REF!)*$CG20),"")))))),
IF($A20="C",(SUMIF(#REF!,DH$17,#REF!)*$CG20)*(SUMIF(ProductCodes,"C",$CI:$CI)/(SUMIF(ProductCodes,"C",$CH:$CH))),
IF($A20="S",(SUMIF(#REF!,DH$17,#REF!)*$CG20)*(SUMIF(ProductCodes,"S",$CI:$CI)/(SUMIF(ProductCodes,"S",$CH:$CH))),
IF($A20="B",(SUMIF(#REF!,DH$17,#REF!)*$CG20)*(SUMIF(ProductCodes,"B",$CI:$CI)/(SUMIF(ProductCodes,"B",$CH:$CH))),
IF($A20="R",(SUMIF(#REF!,DH$17,#REF!)*$CG20)*(SUMIF(ProductCodes,"R",$CI:$CI)/(SUMIF(ProductCodes,"R",$CH:$CH))),
IF($A20="H",(SUMIF(#REF!,DH$17,#REF!)*$CG20)*(SUMIF(ProductCodes,"H",$CI:$CI)/(SUMIF(ProductCodes,"H",$CH:$CH))),""))))))),"Error")</f>
        <v>Error</v>
      </c>
      <c r="DI20" s="194" t="str">
        <f>IFERROR(
IF(SUMIF(ProductCodes,"C",$CI:$CI)=$CI$42,(IF($A20="C",(SUMIF(#REF!,DI$17,#REF!)*$CG20)*((SUMIF(ProductCodes,"C",$CI:$CI)-SUMIF(ProductCodes,"H",$CH:$CH)-SUMIF(ProductCodes,"R",$CH:$CH)-SUMIF(ProductCodes,"B",$CH:$CH)-(SUMIF(ProductCodes,"S",$CH:$CH)/2))/SUMIF(ProductCodes,"C",$CH:$CH)),IF($A20="S",(SUMIF(#REF!,DI$17,#REF!)*$CG20)/2,
IF($A20="B",(SUMIF(#REF!,DI$17,#REF!)*$CG20),
IF($A20="R",(SUMIF(#REF!,DI$17,#REF!)*$CG20),
IF($A20="H",(SUMIF(#REF!,DI$17,#REF!)*$CG20),"")))))),
IF(SUMIF(ProductCodes,"S",$CI:$CI)=$CI$42,(IF($A20="S",(SUMIF(#REF!,DI$17,#REF!)*$CG20)*((SUMIF(ProductCodes,"S",$CI:$CI)-SUMIF(ProductCodes,"H",$CH:$CH)-SUMIF(ProductCodes,"R",$CH:$CH)-SUMIF(ProductCodes,"B",$CH:$CH)-(SUMIF(ProductCodes,"C",$CH:$CH)/4))/SUMIF(ProductCodes,"S",$CH:$CH)),
IF($A20="C",(SUMIF(#REF!,DI$17,#REF!)*$CG20)/4,
IF($A20="B",(SUMIF(#REF!,DI$17,#REF!)*$CG20),
IF($A20="R",(SUMIF(#REF!,DI$17,#REF!)*$CG20),
IF($A20="H",(SUMIF(#REF!,DI$17,#REF!)*$CG20),"")))))),
IF($A20="C",(SUMIF(#REF!,DI$17,#REF!)*$CG20)*(SUMIF(ProductCodes,"C",$CI:$CI)/(SUMIF(ProductCodes,"C",$CH:$CH))),
IF($A20="S",(SUMIF(#REF!,DI$17,#REF!)*$CG20)*(SUMIF(ProductCodes,"S",$CI:$CI)/(SUMIF(ProductCodes,"S",$CH:$CH))),
IF($A20="B",(SUMIF(#REF!,DI$17,#REF!)*$CG20)*(SUMIF(ProductCodes,"B",$CI:$CI)/(SUMIF(ProductCodes,"B",$CH:$CH))),
IF($A20="R",(SUMIF(#REF!,DI$17,#REF!)*$CG20)*(SUMIF(ProductCodes,"R",$CI:$CI)/(SUMIF(ProductCodes,"R",$CH:$CH))),
IF($A20="H",(SUMIF(#REF!,DI$17,#REF!)*$CG20)*(SUMIF(ProductCodes,"H",$CI:$CI)/(SUMIF(ProductCodes,"H",$CH:$CH))),""))))))),"Error")</f>
        <v>Error</v>
      </c>
      <c r="DJ20" s="194" t="str">
        <f>IFERROR(
IF(SUMIF(ProductCodes,"C",$CI:$CI)=$CI$42,(IF($A20="C",(SUMIF(#REF!,DJ$17,#REF!)*$CG20)*((SUMIF(ProductCodes,"C",$CI:$CI)-SUMIF(ProductCodes,"H",$CH:$CH)-SUMIF(ProductCodes,"R",$CH:$CH)-SUMIF(ProductCodes,"B",$CH:$CH)-(SUMIF(ProductCodes,"S",$CH:$CH)/2))/SUMIF(ProductCodes,"C",$CH:$CH)),IF($A20="S",(SUMIF(#REF!,DJ$17,#REF!)*$CG20)/2,
IF($A20="B",(SUMIF(#REF!,DJ$17,#REF!)*$CG20),
IF($A20="R",(SUMIF(#REF!,DJ$17,#REF!)*$CG20),
IF($A20="H",(SUMIF(#REF!,DJ$17,#REF!)*$CG20),"")))))),
IF(SUMIF(ProductCodes,"S",$CI:$CI)=$CI$42,(IF($A20="S",(SUMIF(#REF!,DJ$17,#REF!)*$CG20)*((SUMIF(ProductCodes,"S",$CI:$CI)-SUMIF(ProductCodes,"H",$CH:$CH)-SUMIF(ProductCodes,"R",$CH:$CH)-SUMIF(ProductCodes,"B",$CH:$CH)-(SUMIF(ProductCodes,"C",$CH:$CH)/4))/SUMIF(ProductCodes,"S",$CH:$CH)),
IF($A20="C",(SUMIF(#REF!,DJ$17,#REF!)*$CG20)/4,
IF($A20="B",(SUMIF(#REF!,DJ$17,#REF!)*$CG20),
IF($A20="R",(SUMIF(#REF!,DJ$17,#REF!)*$CG20),
IF($A20="H",(SUMIF(#REF!,DJ$17,#REF!)*$CG20),"")))))),
IF($A20="C",(SUMIF(#REF!,DJ$17,#REF!)*$CG20)*(SUMIF(ProductCodes,"C",$CI:$CI)/(SUMIF(ProductCodes,"C",$CH:$CH))),
IF($A20="S",(SUMIF(#REF!,DJ$17,#REF!)*$CG20)*(SUMIF(ProductCodes,"S",$CI:$CI)/(SUMIF(ProductCodes,"S",$CH:$CH))),
IF($A20="B",(SUMIF(#REF!,DJ$17,#REF!)*$CG20)*(SUMIF(ProductCodes,"B",$CI:$CI)/(SUMIF(ProductCodes,"B",$CH:$CH))),
IF($A20="R",(SUMIF(#REF!,DJ$17,#REF!)*$CG20)*(SUMIF(ProductCodes,"R",$CI:$CI)/(SUMIF(ProductCodes,"R",$CH:$CH))),
IF($A20="H",(SUMIF(#REF!,DJ$17,#REF!)*$CG20)*(SUMIF(ProductCodes,"H",$CI:$CI)/(SUMIF(ProductCodes,"H",$CH:$CH))),""))))))),"Error")</f>
        <v>Error</v>
      </c>
      <c r="DK20" s="194" t="str">
        <f>IFERROR(
IF(SUMIF(ProductCodes,"C",$CI:$CI)=$CI$42,(IF($A20="C",(SUMIF(#REF!,DK$17,#REF!)*$CG20)*((SUMIF(ProductCodes,"C",$CI:$CI)-SUMIF(ProductCodes,"H",$CH:$CH)-SUMIF(ProductCodes,"R",$CH:$CH)-SUMIF(ProductCodes,"B",$CH:$CH)-(SUMIF(ProductCodes,"S",$CH:$CH)/2))/SUMIF(ProductCodes,"C",$CH:$CH)),IF($A20="S",(SUMIF(#REF!,DK$17,#REF!)*$CG20)/2,
IF($A20="B",(SUMIF(#REF!,DK$17,#REF!)*$CG20),
IF($A20="R",(SUMIF(#REF!,DK$17,#REF!)*$CG20),
IF($A20="H",(SUMIF(#REF!,DK$17,#REF!)*$CG20),"")))))),
IF(SUMIF(ProductCodes,"S",$CI:$CI)=$CI$42,(IF($A20="S",(SUMIF(#REF!,DK$17,#REF!)*$CG20)*((SUMIF(ProductCodes,"S",$CI:$CI)-SUMIF(ProductCodes,"H",$CH:$CH)-SUMIF(ProductCodes,"R",$CH:$CH)-SUMIF(ProductCodes,"B",$CH:$CH)-(SUMIF(ProductCodes,"C",$CH:$CH)/4))/SUMIF(ProductCodes,"S",$CH:$CH)),
IF($A20="C",(SUMIF(#REF!,DK$17,#REF!)*$CG20)/4,
IF($A20="B",(SUMIF(#REF!,DK$17,#REF!)*$CG20),
IF($A20="R",(SUMIF(#REF!,DK$17,#REF!)*$CG20),
IF($A20="H",(SUMIF(#REF!,DK$17,#REF!)*$CG20),"")))))),
IF($A20="C",(SUMIF(#REF!,DK$17,#REF!)*$CG20)*(SUMIF(ProductCodes,"C",$CI:$CI)/(SUMIF(ProductCodes,"C",$CH:$CH))),
IF($A20="S",(SUMIF(#REF!,DK$17,#REF!)*$CG20)*(SUMIF(ProductCodes,"S",$CI:$CI)/(SUMIF(ProductCodes,"S",$CH:$CH))),
IF($A20="B",(SUMIF(#REF!,DK$17,#REF!)*$CG20)*(SUMIF(ProductCodes,"B",$CI:$CI)/(SUMIF(ProductCodes,"B",$CH:$CH))),
IF($A20="R",(SUMIF(#REF!,DK$17,#REF!)*$CG20)*(SUMIF(ProductCodes,"R",$CI:$CI)/(SUMIF(ProductCodes,"R",$CH:$CH))),
IF($A20="H",(SUMIF(#REF!,DK$17,#REF!)*$CG20)*(SUMIF(ProductCodes,"H",$CI:$CI)/(SUMIF(ProductCodes,"H",$CH:$CH))),""))))))),"Error")</f>
        <v>Error</v>
      </c>
      <c r="DL20" s="194" t="str">
        <f>IFERROR(
IF(SUMIF(ProductCodes,"C",$CI:$CI)=$CI$42,(IF($A20="C",(SUMIF(#REF!,DL$17,#REF!)*$CG20)*((SUMIF(ProductCodes,"C",$CI:$CI)-SUMIF(ProductCodes,"H",$CH:$CH)-SUMIF(ProductCodes,"R",$CH:$CH)-SUMIF(ProductCodes,"B",$CH:$CH)-(SUMIF(ProductCodes,"S",$CH:$CH)/2))/SUMIF(ProductCodes,"C",$CH:$CH)),IF($A20="S",(SUMIF(#REF!,DL$17,#REF!)*$CG20)/2,
IF($A20="B",(SUMIF(#REF!,DL$17,#REF!)*$CG20),
IF($A20="R",(SUMIF(#REF!,DL$17,#REF!)*$CG20),
IF($A20="H",(SUMIF(#REF!,DL$17,#REF!)*$CG20),"")))))),
IF(SUMIF(ProductCodes,"S",$CI:$CI)=$CI$42,(IF($A20="S",(SUMIF(#REF!,DL$17,#REF!)*$CG20)*((SUMIF(ProductCodes,"S",$CI:$CI)-SUMIF(ProductCodes,"H",$CH:$CH)-SUMIF(ProductCodes,"R",$CH:$CH)-SUMIF(ProductCodes,"B",$CH:$CH)-(SUMIF(ProductCodes,"C",$CH:$CH)/4))/SUMIF(ProductCodes,"S",$CH:$CH)),
IF($A20="C",(SUMIF(#REF!,DL$17,#REF!)*$CG20)/4,
IF($A20="B",(SUMIF(#REF!,DL$17,#REF!)*$CG20),
IF($A20="R",(SUMIF(#REF!,DL$17,#REF!)*$CG20),
IF($A20="H",(SUMIF(#REF!,DL$17,#REF!)*$CG20),"")))))),
IF($A20="C",(SUMIF(#REF!,DL$17,#REF!)*$CG20)*(SUMIF(ProductCodes,"C",$CI:$CI)/(SUMIF(ProductCodes,"C",$CH:$CH))),
IF($A20="S",(SUMIF(#REF!,DL$17,#REF!)*$CG20)*(SUMIF(ProductCodes,"S",$CI:$CI)/(SUMIF(ProductCodes,"S",$CH:$CH))),
IF($A20="B",(SUMIF(#REF!,DL$17,#REF!)*$CG20)*(SUMIF(ProductCodes,"B",$CI:$CI)/(SUMIF(ProductCodes,"B",$CH:$CH))),
IF($A20="R",(SUMIF(#REF!,DL$17,#REF!)*$CG20)*(SUMIF(ProductCodes,"R",$CI:$CI)/(SUMIF(ProductCodes,"R",$CH:$CH))),
IF($A20="H",(SUMIF(#REF!,DL$17,#REF!)*$CG20)*(SUMIF(ProductCodes,"H",$CI:$CI)/(SUMIF(ProductCodes,"H",$CH:$CH))),""))))))),"Error")</f>
        <v>Error</v>
      </c>
      <c r="DM20" s="194" t="str">
        <f>IFERROR(
IF(SUMIF(ProductCodes,"C",$CI:$CI)=$CI$42,(IF($A20="C",(SUMIF(#REF!,DM$17,#REF!)*$CG20)*((SUMIF(ProductCodes,"C",$CI:$CI)-SUMIF(ProductCodes,"H",$CH:$CH)-SUMIF(ProductCodes,"R",$CH:$CH)-SUMIF(ProductCodes,"B",$CH:$CH)-(SUMIF(ProductCodes,"S",$CH:$CH)/2))/SUMIF(ProductCodes,"C",$CH:$CH)),IF($A20="S",(SUMIF(#REF!,DM$17,#REF!)*$CG20)/2,
IF($A20="B",(SUMIF(#REF!,DM$17,#REF!)*$CG20),
IF($A20="R",(SUMIF(#REF!,DM$17,#REF!)*$CG20),
IF($A20="H",(SUMIF(#REF!,DM$17,#REF!)*$CG20),"")))))),
IF(SUMIF(ProductCodes,"S",$CI:$CI)=$CI$42,(IF($A20="S",(SUMIF(#REF!,DM$17,#REF!)*$CG20)*((SUMIF(ProductCodes,"S",$CI:$CI)-SUMIF(ProductCodes,"H",$CH:$CH)-SUMIF(ProductCodes,"R",$CH:$CH)-SUMIF(ProductCodes,"B",$CH:$CH)-(SUMIF(ProductCodes,"C",$CH:$CH)/4))/SUMIF(ProductCodes,"S",$CH:$CH)),
IF($A20="C",(SUMIF(#REF!,DM$17,#REF!)*$CG20)/4,
IF($A20="B",(SUMIF(#REF!,DM$17,#REF!)*$CG20),
IF($A20="R",(SUMIF(#REF!,DM$17,#REF!)*$CG20),
IF($A20="H",(SUMIF(#REF!,DM$17,#REF!)*$CG20),"")))))),
IF($A20="C",(SUMIF(#REF!,DM$17,#REF!)*$CG20)*(SUMIF(ProductCodes,"C",$CI:$CI)/(SUMIF(ProductCodes,"C",$CH:$CH))),
IF($A20="S",(SUMIF(#REF!,DM$17,#REF!)*$CG20)*(SUMIF(ProductCodes,"S",$CI:$CI)/(SUMIF(ProductCodes,"S",$CH:$CH))),
IF($A20="B",(SUMIF(#REF!,DM$17,#REF!)*$CG20)*(SUMIF(ProductCodes,"B",$CI:$CI)/(SUMIF(ProductCodes,"B",$CH:$CH))),
IF($A20="R",(SUMIF(#REF!,DM$17,#REF!)*$CG20)*(SUMIF(ProductCodes,"R",$CI:$CI)/(SUMIF(ProductCodes,"R",$CH:$CH))),
IF($A20="H",(SUMIF(#REF!,DM$17,#REF!)*$CG20)*(SUMIF(ProductCodes,"H",$CI:$CI)/(SUMIF(ProductCodes,"H",$CH:$CH))),""))))))),"Error")</f>
        <v>Error</v>
      </c>
      <c r="DN20" s="194" t="str">
        <f>IFERROR(
IF(SUMIF(ProductCodes,"C",$CI:$CI)=$CI$42,(IF($A20="C",(SUMIF(#REF!,DN$17,#REF!)*$CG20)*((SUMIF(ProductCodes,"C",$CI:$CI)-SUMIF(ProductCodes,"H",$CH:$CH)-SUMIF(ProductCodes,"R",$CH:$CH)-SUMIF(ProductCodes,"B",$CH:$CH)-(SUMIF(ProductCodes,"S",$CH:$CH)/2))/SUMIF(ProductCodes,"C",$CH:$CH)),IF($A20="S",(SUMIF(#REF!,DN$17,#REF!)*$CG20)/2,
IF($A20="B",(SUMIF(#REF!,DN$17,#REF!)*$CG20),
IF($A20="R",(SUMIF(#REF!,DN$17,#REF!)*$CG20),
IF($A20="H",(SUMIF(#REF!,DN$17,#REF!)*$CG20),"")))))),
IF(SUMIF(ProductCodes,"S",$CI:$CI)=$CI$42,(IF($A20="S",(SUMIF(#REF!,DN$17,#REF!)*$CG20)*((SUMIF(ProductCodes,"S",$CI:$CI)-SUMIF(ProductCodes,"H",$CH:$CH)-SUMIF(ProductCodes,"R",$CH:$CH)-SUMIF(ProductCodes,"B",$CH:$CH)-(SUMIF(ProductCodes,"C",$CH:$CH)/4))/SUMIF(ProductCodes,"S",$CH:$CH)),
IF($A20="C",(SUMIF(#REF!,DN$17,#REF!)*$CG20)/4,
IF($A20="B",(SUMIF(#REF!,DN$17,#REF!)*$CG20),
IF($A20="R",(SUMIF(#REF!,DN$17,#REF!)*$CG20),
IF($A20="H",(SUMIF(#REF!,DN$17,#REF!)*$CG20),"")))))),
IF($A20="C",(SUMIF(#REF!,DN$17,#REF!)*$CG20)*(SUMIF(ProductCodes,"C",$CI:$CI)/(SUMIF(ProductCodes,"C",$CH:$CH))),
IF($A20="S",(SUMIF(#REF!,DN$17,#REF!)*$CG20)*(SUMIF(ProductCodes,"S",$CI:$CI)/(SUMIF(ProductCodes,"S",$CH:$CH))),
IF($A20="B",(SUMIF(#REF!,DN$17,#REF!)*$CG20)*(SUMIF(ProductCodes,"B",$CI:$CI)/(SUMIF(ProductCodes,"B",$CH:$CH))),
IF($A20="R",(SUMIF(#REF!,DN$17,#REF!)*$CG20)*(SUMIF(ProductCodes,"R",$CI:$CI)/(SUMIF(ProductCodes,"R",$CH:$CH))),
IF($A20="H",(SUMIF(#REF!,DN$17,#REF!)*$CG20)*(SUMIF(ProductCodes,"H",$CI:$CI)/(SUMIF(ProductCodes,"H",$CH:$CH))),""))))))),"Error")</f>
        <v>Error</v>
      </c>
      <c r="DO20" s="194" t="str">
        <f>IFERROR(
IF(SUMIF(ProductCodes,"C",$CI:$CI)=$CI$42,(IF($A20="C",(SUMIF(#REF!,DO$17,#REF!)*$CG20)*((SUMIF(ProductCodes,"C",$CI:$CI)-SUMIF(ProductCodes,"H",$CH:$CH)-SUMIF(ProductCodes,"R",$CH:$CH)-SUMIF(ProductCodes,"B",$CH:$CH)-(SUMIF(ProductCodes,"S",$CH:$CH)/2))/SUMIF(ProductCodes,"C",$CH:$CH)),IF($A20="S",(SUMIF(#REF!,DO$17,#REF!)*$CG20)/2,
IF($A20="B",(SUMIF(#REF!,DO$17,#REF!)*$CG20),
IF($A20="R",(SUMIF(#REF!,DO$17,#REF!)*$CG20),
IF($A20="H",(SUMIF(#REF!,DO$17,#REF!)*$CG20),"")))))),
IF(SUMIF(ProductCodes,"S",$CI:$CI)=$CI$42,(IF($A20="S",(SUMIF(#REF!,DO$17,#REF!)*$CG20)*((SUMIF(ProductCodes,"S",$CI:$CI)-SUMIF(ProductCodes,"H",$CH:$CH)-SUMIF(ProductCodes,"R",$CH:$CH)-SUMIF(ProductCodes,"B",$CH:$CH)-(SUMIF(ProductCodes,"C",$CH:$CH)/4))/SUMIF(ProductCodes,"S",$CH:$CH)),
IF($A20="C",(SUMIF(#REF!,DO$17,#REF!)*$CG20)/4,
IF($A20="B",(SUMIF(#REF!,DO$17,#REF!)*$CG20),
IF($A20="R",(SUMIF(#REF!,DO$17,#REF!)*$CG20),
IF($A20="H",(SUMIF(#REF!,DO$17,#REF!)*$CG20),"")))))),
IF($A20="C",(SUMIF(#REF!,DO$17,#REF!)*$CG20)*(SUMIF(ProductCodes,"C",$CI:$CI)/(SUMIF(ProductCodes,"C",$CH:$CH))),
IF($A20="S",(SUMIF(#REF!,DO$17,#REF!)*$CG20)*(SUMIF(ProductCodes,"S",$CI:$CI)/(SUMIF(ProductCodes,"S",$CH:$CH))),
IF($A20="B",(SUMIF(#REF!,DO$17,#REF!)*$CG20)*(SUMIF(ProductCodes,"B",$CI:$CI)/(SUMIF(ProductCodes,"B",$CH:$CH))),
IF($A20="R",(SUMIF(#REF!,DO$17,#REF!)*$CG20)*(SUMIF(ProductCodes,"R",$CI:$CI)/(SUMIF(ProductCodes,"R",$CH:$CH))),
IF($A20="H",(SUMIF(#REF!,DO$17,#REF!)*$CG20)*(SUMIF(ProductCodes,"H",$CI:$CI)/(SUMIF(ProductCodes,"H",$CH:$CH))),""))))))),"Error")</f>
        <v>Error</v>
      </c>
      <c r="DP20" s="195" t="str">
        <f>IFERROR(
IF(SUMIF(ProductCodes,"C",$CI:$CI)=$CI$42,(IF($A20="C",(SUMIF(#REF!,DP$17,#REF!)*$CG20)*((SUMIF(ProductCodes,"C",$CI:$CI)-SUMIF(ProductCodes,"H",$CH:$CH)-SUMIF(ProductCodes,"R",$CH:$CH)-SUMIF(ProductCodes,"B",$CH:$CH)-(SUMIF(ProductCodes,"S",$CH:$CH)/2))/SUMIF(ProductCodes,"C",$CH:$CH)),IF($A20="S",(SUMIF(#REF!,DP$17,#REF!)*$CG20)/2,
IF($A20="B",(SUMIF(#REF!,DP$17,#REF!)*$CG20),
IF($A20="R",(SUMIF(#REF!,DP$17,#REF!)*$CG20),
IF($A20="H",(SUMIF(#REF!,DP$17,#REF!)*$CG20),"")))))),
IF(SUMIF(ProductCodes,"S",$CI:$CI)=$CI$42,(IF($A20="S",(SUMIF(#REF!,DP$17,#REF!)*$CG20)*((SUMIF(ProductCodes,"S",$CI:$CI)-SUMIF(ProductCodes,"H",$CH:$CH)-SUMIF(ProductCodes,"R",$CH:$CH)-SUMIF(ProductCodes,"B",$CH:$CH)-(SUMIF(ProductCodes,"C",$CH:$CH)/4))/SUMIF(ProductCodes,"S",$CH:$CH)),
IF($A20="C",(SUMIF(#REF!,DP$17,#REF!)*$CG20)/4,
IF($A20="B",(SUMIF(#REF!,DP$17,#REF!)*$CG20),
IF($A20="R",(SUMIF(#REF!,DP$17,#REF!)*$CG20),
IF($A20="H",(SUMIF(#REF!,DP$17,#REF!)*$CG20),"")))))),
IF($A20="C",(SUMIF(#REF!,DP$17,#REF!)*$CG20)*(SUMIF(ProductCodes,"C",$CI:$CI)/(SUMIF(ProductCodes,"C",$CH:$CH))),
IF($A20="S",(SUMIF(#REF!,DP$17,#REF!)*$CG20)*(SUMIF(ProductCodes,"S",$CI:$CI)/(SUMIF(ProductCodes,"S",$CH:$CH))),
IF($A20="B",(SUMIF(#REF!,DP$17,#REF!)*$CG20)*(SUMIF(ProductCodes,"B",$CI:$CI)/(SUMIF(ProductCodes,"B",$CH:$CH))),
IF($A20="R",(SUMIF(#REF!,DP$17,#REF!)*$CG20)*(SUMIF(ProductCodes,"R",$CI:$CI)/(SUMIF(ProductCodes,"R",$CH:$CH))),
IF($A20="H",(SUMIF(#REF!,DP$17,#REF!)*$CG20)*(SUMIF(ProductCodes,"H",$CI:$CI)/(SUMIF(ProductCodes,"H",$CH:$CH))),""))))))),"Error")</f>
        <v>Error</v>
      </c>
      <c r="DQ20" s="196"/>
      <c r="DR20" s="196"/>
      <c r="DS20" s="197"/>
      <c r="DT20" s="197"/>
      <c r="DU20" s="197"/>
      <c r="DV20" s="197"/>
      <c r="DW20" s="197"/>
      <c r="DX20" s="197"/>
      <c r="DY20" s="197"/>
      <c r="DZ20" s="197"/>
      <c r="EA20" s="197"/>
      <c r="EB20" s="197"/>
      <c r="EC20" s="197"/>
      <c r="ED20" s="197"/>
    </row>
    <row r="21" spans="1:134" s="86" customFormat="1" ht="60" customHeight="1" thickBot="1" x14ac:dyDescent="0.4">
      <c r="A21" s="186" t="s">
        <v>43</v>
      </c>
      <c r="B21" s="107" t="s">
        <v>71</v>
      </c>
      <c r="C21" s="107" t="s">
        <v>44</v>
      </c>
      <c r="D21" s="107" t="s">
        <v>45</v>
      </c>
      <c r="E21" s="96"/>
      <c r="F21" s="96"/>
      <c r="G21" s="99"/>
      <c r="H21" s="97"/>
      <c r="I21" s="95"/>
      <c r="J21" s="96"/>
      <c r="K21" s="96"/>
      <c r="L21" s="97"/>
      <c r="M21" s="98"/>
      <c r="N21" s="96"/>
      <c r="O21" s="96"/>
      <c r="P21" s="99"/>
      <c r="Q21" s="98"/>
      <c r="R21" s="96"/>
      <c r="S21" s="96"/>
      <c r="T21" s="99"/>
      <c r="U21" s="97"/>
      <c r="V21" s="98"/>
      <c r="W21" s="96"/>
      <c r="X21" s="96"/>
      <c r="Y21" s="97"/>
      <c r="Z21" s="98"/>
      <c r="AA21" s="96"/>
      <c r="AB21" s="96"/>
      <c r="AC21" s="96"/>
      <c r="AD21" s="235">
        <v>15</v>
      </c>
      <c r="AE21" s="236"/>
      <c r="AF21" s="236"/>
      <c r="AG21" s="236"/>
      <c r="AH21" s="237"/>
      <c r="AI21" s="290">
        <v>10</v>
      </c>
      <c r="AJ21" s="236"/>
      <c r="AK21" s="236"/>
      <c r="AL21" s="237"/>
      <c r="AM21" s="235">
        <v>15</v>
      </c>
      <c r="AN21" s="236"/>
      <c r="AO21" s="236"/>
      <c r="AP21" s="236"/>
      <c r="AQ21" s="237"/>
      <c r="AR21" s="290">
        <v>10</v>
      </c>
      <c r="AS21" s="236"/>
      <c r="AT21" s="236"/>
      <c r="AU21" s="237"/>
      <c r="AV21" s="290">
        <v>10</v>
      </c>
      <c r="AW21" s="236"/>
      <c r="AX21" s="236"/>
      <c r="AY21" s="237"/>
      <c r="AZ21" s="235">
        <v>15</v>
      </c>
      <c r="BA21" s="236"/>
      <c r="BB21" s="236"/>
      <c r="BC21" s="236"/>
      <c r="BD21" s="237"/>
      <c r="BE21" s="290">
        <v>10</v>
      </c>
      <c r="BF21" s="236"/>
      <c r="BG21" s="236"/>
      <c r="BH21" s="237"/>
      <c r="BI21" s="290">
        <v>10</v>
      </c>
      <c r="BJ21" s="236"/>
      <c r="BK21" s="236"/>
      <c r="BL21" s="237"/>
      <c r="BM21" s="235">
        <v>15</v>
      </c>
      <c r="BN21" s="236"/>
      <c r="BO21" s="236"/>
      <c r="BP21" s="236"/>
      <c r="BQ21" s="237"/>
      <c r="BR21" s="290">
        <v>10</v>
      </c>
      <c r="BS21" s="236"/>
      <c r="BT21" s="236"/>
      <c r="BU21" s="237"/>
      <c r="BV21" s="290">
        <v>10</v>
      </c>
      <c r="BW21" s="236"/>
      <c r="BX21" s="236"/>
      <c r="BY21" s="237"/>
      <c r="BZ21" s="290">
        <v>10</v>
      </c>
      <c r="CA21" s="236"/>
      <c r="CB21" s="236"/>
      <c r="CC21" s="237"/>
      <c r="CD21" s="187">
        <v>1</v>
      </c>
      <c r="CE21" s="188">
        <f t="shared" ref="CE21:CE41" si="33">SUM(E21:CC21)</f>
        <v>140</v>
      </c>
      <c r="CF21" s="188">
        <f t="shared" si="31"/>
        <v>140</v>
      </c>
      <c r="CG21" s="189">
        <v>70</v>
      </c>
      <c r="CH21" s="212">
        <f t="shared" si="32"/>
        <v>9800</v>
      </c>
      <c r="CI21" s="240"/>
      <c r="CJ21" s="190"/>
      <c r="CK21" s="190"/>
      <c r="CL21" s="190"/>
      <c r="CM21" s="191"/>
      <c r="CN21" s="191">
        <f>CM21*CE21</f>
        <v>0</v>
      </c>
      <c r="CO21" s="190"/>
      <c r="CP21" s="192"/>
      <c r="CQ21" s="192"/>
      <c r="CR21" s="193"/>
      <c r="CS21" s="194" t="str">
        <f>IFERROR(
IF(SUMIF(ProductCodes,"C",$CI:$CI)=$CI$42,(IF($A21="C",(SUMIF(#REF!,CS$17,#REF!)*$CG21)*((SUMIF(ProductCodes,"C",$CI:$CI)-SUMIF(ProductCodes,"H",$CH:$CH)-SUMIF(ProductCodes,"R",$CH:$CH)-SUMIF(ProductCodes,"B",$CH:$CH)-(SUMIF(ProductCodes,"S",$CH:$CH)/2))/SUMIF(ProductCodes,"C",$CH:$CH)),IF($A21="S",(SUMIF(#REF!,CS$17,#REF!)*$CG21)/2,
IF($A21="B",(SUMIF(#REF!,CS$17,#REF!)*$CG21),
IF($A21="R",(SUMIF(#REF!,CS$17,#REF!)*$CG21),
IF($A21="H",(SUMIF(#REF!,CS$17,#REF!)*$CG21),"")))))),
IF(SUMIF(ProductCodes,"S",$CI:$CI)=$CI$42,(IF($A21="S",(SUMIF(#REF!,CS$17,#REF!)*$CG21)*((SUMIF(ProductCodes,"S",$CI:$CI)-SUMIF(ProductCodes,"H",$CH:$CH)-SUMIF(ProductCodes,"R",$CH:$CH)-SUMIF(ProductCodes,"B",$CH:$CH)-(SUMIF(ProductCodes,"C",$CH:$CH)/4))/SUMIF(ProductCodes,"S",$CH:$CH)),
IF($A21="C",(SUMIF(#REF!,CS$17,#REF!)*$CG21)/4,
IF($A21="B",(SUMIF(#REF!,CS$17,#REF!)*$CG21),
IF($A21="R",(SUMIF(#REF!,CS$17,#REF!)*$CG21),
IF($A21="H",(SUMIF(#REF!,CS$17,#REF!)*$CG21),"")))))),
IF($A21="C",(SUMIF(#REF!,CS$17,#REF!)*$CG21)*(SUMIF(ProductCodes,"C",$CI:$CI)/(SUMIF(ProductCodes,"C",$CH:$CH))),
IF($A21="S",(SUMIF(#REF!,CS$17,#REF!)*$CG21)*(SUMIF(ProductCodes,"S",$CI:$CI)/(SUMIF(ProductCodes,"S",$CH:$CH))),
IF($A21="B",(SUMIF(#REF!,CS$17,#REF!)*$CG21)*(SUMIF(ProductCodes,"B",$CI:$CI)/(SUMIF(ProductCodes,"B",$CH:$CH))),
IF($A21="R",(SUMIF(#REF!,CS$17,#REF!)*$CG21)*(SUMIF(ProductCodes,"R",$CI:$CI)/(SUMIF(ProductCodes,"R",$CH:$CH))),
IF($A21="H",(SUMIF(#REF!,CS$17,#REF!)*$CG21)*(SUMIF(ProductCodes,"H",$CI:$CI)/(SUMIF(ProductCodes,"H",$CH:$CH))),""))))))),"Error")</f>
        <v>Error</v>
      </c>
      <c r="CT21" s="194" t="str">
        <f>IFERROR(
IF(SUMIF(ProductCodes,"C",$CI:$CI)=$CI$42,(IF($A21="C",(SUMIF(#REF!,CT$17,#REF!)*$CG21)*((SUMIF(ProductCodes,"C",$CI:$CI)-SUMIF(ProductCodes,"H",$CH:$CH)-SUMIF(ProductCodes,"R",$CH:$CH)-SUMIF(ProductCodes,"B",$CH:$CH)-(SUMIF(ProductCodes,"S",$CH:$CH)/2))/SUMIF(ProductCodes,"C",$CH:$CH)),IF($A21="S",(SUMIF(#REF!,CT$17,#REF!)*$CG21)/2,
IF($A21="B",(SUMIF(#REF!,CT$17,#REF!)*$CG21),
IF($A21="R",(SUMIF(#REF!,CT$17,#REF!)*$CG21),
IF($A21="H",(SUMIF(#REF!,CT$17,#REF!)*$CG21),"")))))),
IF(SUMIF(ProductCodes,"S",$CI:$CI)=$CI$42,(IF($A21="S",(SUMIF(#REF!,CT$17,#REF!)*$CG21)*((SUMIF(ProductCodes,"S",$CI:$CI)-SUMIF(ProductCodes,"H",$CH:$CH)-SUMIF(ProductCodes,"R",$CH:$CH)-SUMIF(ProductCodes,"B",$CH:$CH)-(SUMIF(ProductCodes,"C",$CH:$CH)/4))/SUMIF(ProductCodes,"S",$CH:$CH)),
IF($A21="C",(SUMIF(#REF!,CT$17,#REF!)*$CG21)/4,
IF($A21="B",(SUMIF(#REF!,CT$17,#REF!)*$CG21),
IF($A21="R",(SUMIF(#REF!,CT$17,#REF!)*$CG21),
IF($A21="H",(SUMIF(#REF!,CT$17,#REF!)*$CG21),"")))))),
IF($A21="C",(SUMIF(#REF!,CT$17,#REF!)*$CG21)*(SUMIF(ProductCodes,"C",$CI:$CI)/(SUMIF(ProductCodes,"C",$CH:$CH))),
IF($A21="S",(SUMIF(#REF!,CT$17,#REF!)*$CG21)*(SUMIF(ProductCodes,"S",$CI:$CI)/(SUMIF(ProductCodes,"S",$CH:$CH))),
IF($A21="B",(SUMIF(#REF!,CT$17,#REF!)*$CG21)*(SUMIF(ProductCodes,"B",$CI:$CI)/(SUMIF(ProductCodes,"B",$CH:$CH))),
IF($A21="R",(SUMIF(#REF!,CT$17,#REF!)*$CG21)*(SUMIF(ProductCodes,"R",$CI:$CI)/(SUMIF(ProductCodes,"R",$CH:$CH))),
IF($A21="H",(SUMIF(#REF!,CT$17,#REF!)*$CG21)*(SUMIF(ProductCodes,"H",$CI:$CI)/(SUMIF(ProductCodes,"H",$CH:$CH))),""))))))),"Error")</f>
        <v>Error</v>
      </c>
      <c r="CU21" s="194" t="str">
        <f>IFERROR(
IF(SUMIF(ProductCodes,"C",$CI:$CI)=$CI$42,(IF($A21="C",(SUMIF(#REF!,CU$17,#REF!)*$CG21)*((SUMIF(ProductCodes,"C",$CI:$CI)-SUMIF(ProductCodes,"H",$CH:$CH)-SUMIF(ProductCodes,"R",$CH:$CH)-SUMIF(ProductCodes,"B",$CH:$CH)-(SUMIF(ProductCodes,"S",$CH:$CH)/2))/SUMIF(ProductCodes,"C",$CH:$CH)),IF($A21="S",(SUMIF(#REF!,CU$17,#REF!)*$CG21)/2,
IF($A21="B",(SUMIF(#REF!,CU$17,#REF!)*$CG21),
IF($A21="R",(SUMIF(#REF!,CU$17,#REF!)*$CG21),
IF($A21="H",(SUMIF(#REF!,CU$17,#REF!)*$CG21),"")))))),
IF(SUMIF(ProductCodes,"S",$CI:$CI)=$CI$42,(IF($A21="S",(SUMIF(#REF!,CU$17,#REF!)*$CG21)*((SUMIF(ProductCodes,"S",$CI:$CI)-SUMIF(ProductCodes,"H",$CH:$CH)-SUMIF(ProductCodes,"R",$CH:$CH)-SUMIF(ProductCodes,"B",$CH:$CH)-(SUMIF(ProductCodes,"C",$CH:$CH)/4))/SUMIF(ProductCodes,"S",$CH:$CH)),
IF($A21="C",(SUMIF(#REF!,CU$17,#REF!)*$CG21)/4,
IF($A21="B",(SUMIF(#REF!,CU$17,#REF!)*$CG21),
IF($A21="R",(SUMIF(#REF!,CU$17,#REF!)*$CG21),
IF($A21="H",(SUMIF(#REF!,CU$17,#REF!)*$CG21),"")))))),
IF($A21="C",(SUMIF(#REF!,CU$17,#REF!)*$CG21)*(SUMIF(ProductCodes,"C",$CI:$CI)/(SUMIF(ProductCodes,"C",$CH:$CH))),
IF($A21="S",(SUMIF(#REF!,CU$17,#REF!)*$CG21)*(SUMIF(ProductCodes,"S",$CI:$CI)/(SUMIF(ProductCodes,"S",$CH:$CH))),
IF($A21="B",(SUMIF(#REF!,CU$17,#REF!)*$CG21)*(SUMIF(ProductCodes,"B",$CI:$CI)/(SUMIF(ProductCodes,"B",$CH:$CH))),
IF($A21="R",(SUMIF(#REF!,CU$17,#REF!)*$CG21)*(SUMIF(ProductCodes,"R",$CI:$CI)/(SUMIF(ProductCodes,"R",$CH:$CH))),
IF($A21="H",(SUMIF(#REF!,CU$17,#REF!)*$CG21)*(SUMIF(ProductCodes,"H",$CI:$CI)/(SUMIF(ProductCodes,"H",$CH:$CH))),""))))))),"Error")</f>
        <v>Error</v>
      </c>
      <c r="CV21" s="194" t="str">
        <f>IFERROR(
IF(SUMIF(ProductCodes,"C",$CI:$CI)=$CI$42,(IF($A21="C",(SUMIF(#REF!,CV$17,#REF!)*$CG21)*((SUMIF(ProductCodes,"C",$CI:$CI)-SUMIF(ProductCodes,"H",$CH:$CH)-SUMIF(ProductCodes,"R",$CH:$CH)-SUMIF(ProductCodes,"B",$CH:$CH)-(SUMIF(ProductCodes,"S",$CH:$CH)/2))/SUMIF(ProductCodes,"C",$CH:$CH)),IF($A21="S",(SUMIF(#REF!,CV$17,#REF!)*$CG21)/2,
IF($A21="B",(SUMIF(#REF!,CV$17,#REF!)*$CG21),
IF($A21="R",(SUMIF(#REF!,CV$17,#REF!)*$CG21),
IF($A21="H",(SUMIF(#REF!,CV$17,#REF!)*$CG21),"")))))),
IF(SUMIF(ProductCodes,"S",$CI:$CI)=$CI$42,(IF($A21="S",(SUMIF(#REF!,CV$17,#REF!)*$CG21)*((SUMIF(ProductCodes,"S",$CI:$CI)-SUMIF(ProductCodes,"H",$CH:$CH)-SUMIF(ProductCodes,"R",$CH:$CH)-SUMIF(ProductCodes,"B",$CH:$CH)-(SUMIF(ProductCodes,"C",$CH:$CH)/4))/SUMIF(ProductCodes,"S",$CH:$CH)),
IF($A21="C",(SUMIF(#REF!,CV$17,#REF!)*$CG21)/4,
IF($A21="B",(SUMIF(#REF!,CV$17,#REF!)*$CG21),
IF($A21="R",(SUMIF(#REF!,CV$17,#REF!)*$CG21),
IF($A21="H",(SUMIF(#REF!,CV$17,#REF!)*$CG21),"")))))),
IF($A21="C",(SUMIF(#REF!,CV$17,#REF!)*$CG21)*(SUMIF(ProductCodes,"C",$CI:$CI)/(SUMIF(ProductCodes,"C",$CH:$CH))),
IF($A21="S",(SUMIF(#REF!,CV$17,#REF!)*$CG21)*(SUMIF(ProductCodes,"S",$CI:$CI)/(SUMIF(ProductCodes,"S",$CH:$CH))),
IF($A21="B",(SUMIF(#REF!,CV$17,#REF!)*$CG21)*(SUMIF(ProductCodes,"B",$CI:$CI)/(SUMIF(ProductCodes,"B",$CH:$CH))),
IF($A21="R",(SUMIF(#REF!,CV$17,#REF!)*$CG21)*(SUMIF(ProductCodes,"R",$CI:$CI)/(SUMIF(ProductCodes,"R",$CH:$CH))),
IF($A21="H",(SUMIF(#REF!,CV$17,#REF!)*$CG21)*(SUMIF(ProductCodes,"H",$CI:$CI)/(SUMIF(ProductCodes,"H",$CH:$CH))),""))))))),"Error")</f>
        <v>Error</v>
      </c>
      <c r="CW21" s="194" t="str">
        <f>IFERROR(
IF(SUMIF(ProductCodes,"C",$CI:$CI)=$CI$42,(IF($A21="C",(SUMIF(#REF!,CW$17,#REF!)*$CG21)*((SUMIF(ProductCodes,"C",$CI:$CI)-SUMIF(ProductCodes,"H",$CH:$CH)-SUMIF(ProductCodes,"R",$CH:$CH)-SUMIF(ProductCodes,"B",$CH:$CH)-(SUMIF(ProductCodes,"S",$CH:$CH)/2))/SUMIF(ProductCodes,"C",$CH:$CH)),IF($A21="S",(SUMIF(#REF!,CW$17,#REF!)*$CG21)/2,
IF($A21="B",(SUMIF(#REF!,CW$17,#REF!)*$CG21),
IF($A21="R",(SUMIF(#REF!,CW$17,#REF!)*$CG21),
IF($A21="H",(SUMIF(#REF!,CW$17,#REF!)*$CG21),"")))))),
IF(SUMIF(ProductCodes,"S",$CI:$CI)=$CI$42,(IF($A21="S",(SUMIF(#REF!,CW$17,#REF!)*$CG21)*((SUMIF(ProductCodes,"S",$CI:$CI)-SUMIF(ProductCodes,"H",$CH:$CH)-SUMIF(ProductCodes,"R",$CH:$CH)-SUMIF(ProductCodes,"B",$CH:$CH)-(SUMIF(ProductCodes,"C",$CH:$CH)/4))/SUMIF(ProductCodes,"S",$CH:$CH)),
IF($A21="C",(SUMIF(#REF!,CW$17,#REF!)*$CG21)/4,
IF($A21="B",(SUMIF(#REF!,CW$17,#REF!)*$CG21),
IF($A21="R",(SUMIF(#REF!,CW$17,#REF!)*$CG21),
IF($A21="H",(SUMIF(#REF!,CW$17,#REF!)*$CG21),"")))))),
IF($A21="C",(SUMIF(#REF!,CW$17,#REF!)*$CG21)*(SUMIF(ProductCodes,"C",$CI:$CI)/(SUMIF(ProductCodes,"C",$CH:$CH))),
IF($A21="S",(SUMIF(#REF!,CW$17,#REF!)*$CG21)*(SUMIF(ProductCodes,"S",$CI:$CI)/(SUMIF(ProductCodes,"S",$CH:$CH))),
IF($A21="B",(SUMIF(#REF!,CW$17,#REF!)*$CG21)*(SUMIF(ProductCodes,"B",$CI:$CI)/(SUMIF(ProductCodes,"B",$CH:$CH))),
IF($A21="R",(SUMIF(#REF!,CW$17,#REF!)*$CG21)*(SUMIF(ProductCodes,"R",$CI:$CI)/(SUMIF(ProductCodes,"R",$CH:$CH))),
IF($A21="H",(SUMIF(#REF!,CW$17,#REF!)*$CG21)*(SUMIF(ProductCodes,"H",$CI:$CI)/(SUMIF(ProductCodes,"H",$CH:$CH))),""))))))),"Error")</f>
        <v>Error</v>
      </c>
      <c r="CX21" s="194" t="str">
        <f>IFERROR(
IF(SUMIF(ProductCodes,"C",$CI:$CI)=$CI$42,(IF($A21="C",(SUMIF(#REF!,CX$17,#REF!)*$CG21)*((SUMIF(ProductCodes,"C",$CI:$CI)-SUMIF(ProductCodes,"H",$CH:$CH)-SUMIF(ProductCodes,"R",$CH:$CH)-SUMIF(ProductCodes,"B",$CH:$CH)-(SUMIF(ProductCodes,"S",$CH:$CH)/2))/SUMIF(ProductCodes,"C",$CH:$CH)),IF($A21="S",(SUMIF(#REF!,CX$17,#REF!)*$CG21)/2,
IF($A21="B",(SUMIF(#REF!,CX$17,#REF!)*$CG21),
IF($A21="R",(SUMIF(#REF!,CX$17,#REF!)*$CG21),
IF($A21="H",(SUMIF(#REF!,CX$17,#REF!)*$CG21),"")))))),
IF(SUMIF(ProductCodes,"S",$CI:$CI)=$CI$42,(IF($A21="S",(SUMIF(#REF!,CX$17,#REF!)*$CG21)*((SUMIF(ProductCodes,"S",$CI:$CI)-SUMIF(ProductCodes,"H",$CH:$CH)-SUMIF(ProductCodes,"R",$CH:$CH)-SUMIF(ProductCodes,"B",$CH:$CH)-(SUMIF(ProductCodes,"C",$CH:$CH)/4))/SUMIF(ProductCodes,"S",$CH:$CH)),
IF($A21="C",(SUMIF(#REF!,CX$17,#REF!)*$CG21)/4,
IF($A21="B",(SUMIF(#REF!,CX$17,#REF!)*$CG21),
IF($A21="R",(SUMIF(#REF!,CX$17,#REF!)*$CG21),
IF($A21="H",(SUMIF(#REF!,CX$17,#REF!)*$CG21),"")))))),
IF($A21="C",(SUMIF(#REF!,CX$17,#REF!)*$CG21)*(SUMIF(ProductCodes,"C",$CI:$CI)/(SUMIF(ProductCodes,"C",$CH:$CH))),
IF($A21="S",(SUMIF(#REF!,CX$17,#REF!)*$CG21)*(SUMIF(ProductCodes,"S",$CI:$CI)/(SUMIF(ProductCodes,"S",$CH:$CH))),
IF($A21="B",(SUMIF(#REF!,CX$17,#REF!)*$CG21)*(SUMIF(ProductCodes,"B",$CI:$CI)/(SUMIF(ProductCodes,"B",$CH:$CH))),
IF($A21="R",(SUMIF(#REF!,CX$17,#REF!)*$CG21)*(SUMIF(ProductCodes,"R",$CI:$CI)/(SUMIF(ProductCodes,"R",$CH:$CH))),
IF($A21="H",(SUMIF(#REF!,CX$17,#REF!)*$CG21)*(SUMIF(ProductCodes,"H",$CI:$CI)/(SUMIF(ProductCodes,"H",$CH:$CH))),""))))))),"Error")</f>
        <v>Error</v>
      </c>
      <c r="CY21" s="194" t="str">
        <f>IFERROR(
IF(SUMIF(ProductCodes,"C",$CI:$CI)=$CI$42,(IF($A21="C",(SUMIF(#REF!,CY$17,#REF!)*$CG21)*((SUMIF(ProductCodes,"C",$CI:$CI)-SUMIF(ProductCodes,"H",$CH:$CH)-SUMIF(ProductCodes,"R",$CH:$CH)-SUMIF(ProductCodes,"B",$CH:$CH)-(SUMIF(ProductCodes,"S",$CH:$CH)/2))/SUMIF(ProductCodes,"C",$CH:$CH)),IF($A21="S",(SUMIF(#REF!,CY$17,#REF!)*$CG21)/2,
IF($A21="B",(SUMIF(#REF!,CY$17,#REF!)*$CG21),
IF($A21="R",(SUMIF(#REF!,CY$17,#REF!)*$CG21),
IF($A21="H",(SUMIF(#REF!,CY$17,#REF!)*$CG21),"")))))),
IF(SUMIF(ProductCodes,"S",$CI:$CI)=$CI$42,(IF($A21="S",(SUMIF(#REF!,CY$17,#REF!)*$CG21)*((SUMIF(ProductCodes,"S",$CI:$CI)-SUMIF(ProductCodes,"H",$CH:$CH)-SUMIF(ProductCodes,"R",$CH:$CH)-SUMIF(ProductCodes,"B",$CH:$CH)-(SUMIF(ProductCodes,"C",$CH:$CH)/4))/SUMIF(ProductCodes,"S",$CH:$CH)),
IF($A21="C",(SUMIF(#REF!,CY$17,#REF!)*$CG21)/4,
IF($A21="B",(SUMIF(#REF!,CY$17,#REF!)*$CG21),
IF($A21="R",(SUMIF(#REF!,CY$17,#REF!)*$CG21),
IF($A21="H",(SUMIF(#REF!,CY$17,#REF!)*$CG21),"")))))),
IF($A21="C",(SUMIF(#REF!,CY$17,#REF!)*$CG21)*(SUMIF(ProductCodes,"C",$CI:$CI)/(SUMIF(ProductCodes,"C",$CH:$CH))),
IF($A21="S",(SUMIF(#REF!,CY$17,#REF!)*$CG21)*(SUMIF(ProductCodes,"S",$CI:$CI)/(SUMIF(ProductCodes,"S",$CH:$CH))),
IF($A21="B",(SUMIF(#REF!,CY$17,#REF!)*$CG21)*(SUMIF(ProductCodes,"B",$CI:$CI)/(SUMIF(ProductCodes,"B",$CH:$CH))),
IF($A21="R",(SUMIF(#REF!,CY$17,#REF!)*$CG21)*(SUMIF(ProductCodes,"R",$CI:$CI)/(SUMIF(ProductCodes,"R",$CH:$CH))),
IF($A21="H",(SUMIF(#REF!,CY$17,#REF!)*$CG21)*(SUMIF(ProductCodes,"H",$CI:$CI)/(SUMIF(ProductCodes,"H",$CH:$CH))),""))))))),"Error")</f>
        <v>Error</v>
      </c>
      <c r="CZ21" s="194" t="str">
        <f>IFERROR(
IF(SUMIF(ProductCodes,"C",$CI:$CI)=$CI$42,(IF($A21="C",(SUMIF(#REF!,CZ$17,#REF!)*$CG21)*((SUMIF(ProductCodes,"C",$CI:$CI)-SUMIF(ProductCodes,"H",$CH:$CH)-SUMIF(ProductCodes,"R",$CH:$CH)-SUMIF(ProductCodes,"B",$CH:$CH)-(SUMIF(ProductCodes,"S",$CH:$CH)/2))/SUMIF(ProductCodes,"C",$CH:$CH)),IF($A21="S",(SUMIF(#REF!,CZ$17,#REF!)*$CG21)/2,
IF($A21="B",(SUMIF(#REF!,CZ$17,#REF!)*$CG21),
IF($A21="R",(SUMIF(#REF!,CZ$17,#REF!)*$CG21),
IF($A21="H",(SUMIF(#REF!,CZ$17,#REF!)*$CG21),"")))))),
IF(SUMIF(ProductCodes,"S",$CI:$CI)=$CI$42,(IF($A21="S",(SUMIF(#REF!,CZ$17,#REF!)*$CG21)*((SUMIF(ProductCodes,"S",$CI:$CI)-SUMIF(ProductCodes,"H",$CH:$CH)-SUMIF(ProductCodes,"R",$CH:$CH)-SUMIF(ProductCodes,"B",$CH:$CH)-(SUMIF(ProductCodes,"C",$CH:$CH)/4))/SUMIF(ProductCodes,"S",$CH:$CH)),
IF($A21="C",(SUMIF(#REF!,CZ$17,#REF!)*$CG21)/4,
IF($A21="B",(SUMIF(#REF!,CZ$17,#REF!)*$CG21),
IF($A21="R",(SUMIF(#REF!,CZ$17,#REF!)*$CG21),
IF($A21="H",(SUMIF(#REF!,CZ$17,#REF!)*$CG21),"")))))),
IF($A21="C",(SUMIF(#REF!,CZ$17,#REF!)*$CG21)*(SUMIF(ProductCodes,"C",$CI:$CI)/(SUMIF(ProductCodes,"C",$CH:$CH))),
IF($A21="S",(SUMIF(#REF!,CZ$17,#REF!)*$CG21)*(SUMIF(ProductCodes,"S",$CI:$CI)/(SUMIF(ProductCodes,"S",$CH:$CH))),
IF($A21="B",(SUMIF(#REF!,CZ$17,#REF!)*$CG21)*(SUMIF(ProductCodes,"B",$CI:$CI)/(SUMIF(ProductCodes,"B",$CH:$CH))),
IF($A21="R",(SUMIF(#REF!,CZ$17,#REF!)*$CG21)*(SUMIF(ProductCodes,"R",$CI:$CI)/(SUMIF(ProductCodes,"R",$CH:$CH))),
IF($A21="H",(SUMIF(#REF!,CZ$17,#REF!)*$CG21)*(SUMIF(ProductCodes,"H",$CI:$CI)/(SUMIF(ProductCodes,"H",$CH:$CH))),""))))))),"Error")</f>
        <v>Error</v>
      </c>
      <c r="DA21" s="194" t="str">
        <f>IFERROR(
IF(SUMIF(ProductCodes,"C",$CI:$CI)=$CI$42,(IF($A21="C",(SUMIF(#REF!,DA$17,#REF!)*$CG21)*((SUMIF(ProductCodes,"C",$CI:$CI)-SUMIF(ProductCodes,"H",$CH:$CH)-SUMIF(ProductCodes,"R",$CH:$CH)-SUMIF(ProductCodes,"B",$CH:$CH)-(SUMIF(ProductCodes,"S",$CH:$CH)/2))/SUMIF(ProductCodes,"C",$CH:$CH)),IF($A21="S",(SUMIF(#REF!,DA$17,#REF!)*$CG21)/2,
IF($A21="B",(SUMIF(#REF!,DA$17,#REF!)*$CG21),
IF($A21="R",(SUMIF(#REF!,DA$17,#REF!)*$CG21),
IF($A21="H",(SUMIF(#REF!,DA$17,#REF!)*$CG21),"")))))),
IF(SUMIF(ProductCodes,"S",$CI:$CI)=$CI$42,(IF($A21="S",(SUMIF(#REF!,DA$17,#REF!)*$CG21)*((SUMIF(ProductCodes,"S",$CI:$CI)-SUMIF(ProductCodes,"H",$CH:$CH)-SUMIF(ProductCodes,"R",$CH:$CH)-SUMIF(ProductCodes,"B",$CH:$CH)-(SUMIF(ProductCodes,"C",$CH:$CH)/4))/SUMIF(ProductCodes,"S",$CH:$CH)),
IF($A21="C",(SUMIF(#REF!,DA$17,#REF!)*$CG21)/4,
IF($A21="B",(SUMIF(#REF!,DA$17,#REF!)*$CG21),
IF($A21="R",(SUMIF(#REF!,DA$17,#REF!)*$CG21),
IF($A21="H",(SUMIF(#REF!,DA$17,#REF!)*$CG21),"")))))),
IF($A21="C",(SUMIF(#REF!,DA$17,#REF!)*$CG21)*(SUMIF(ProductCodes,"C",$CI:$CI)/(SUMIF(ProductCodes,"C",$CH:$CH))),
IF($A21="S",(SUMIF(#REF!,DA$17,#REF!)*$CG21)*(SUMIF(ProductCodes,"S",$CI:$CI)/(SUMIF(ProductCodes,"S",$CH:$CH))),
IF($A21="B",(SUMIF(#REF!,DA$17,#REF!)*$CG21)*(SUMIF(ProductCodes,"B",$CI:$CI)/(SUMIF(ProductCodes,"B",$CH:$CH))),
IF($A21="R",(SUMIF(#REF!,DA$17,#REF!)*$CG21)*(SUMIF(ProductCodes,"R",$CI:$CI)/(SUMIF(ProductCodes,"R",$CH:$CH))),
IF($A21="H",(SUMIF(#REF!,DA$17,#REF!)*$CG21)*(SUMIF(ProductCodes,"H",$CI:$CI)/(SUMIF(ProductCodes,"H",$CH:$CH))),""))))))),"Error")</f>
        <v>Error</v>
      </c>
      <c r="DB21" s="194" t="str">
        <f>IFERROR(
IF(SUMIF(ProductCodes,"C",$CI:$CI)=$CI$42,(IF($A21="C",(SUMIF(#REF!,DB$17,#REF!)*$CG21)*((SUMIF(ProductCodes,"C",$CI:$CI)-SUMIF(ProductCodes,"H",$CH:$CH)-SUMIF(ProductCodes,"R",$CH:$CH)-SUMIF(ProductCodes,"B",$CH:$CH)-(SUMIF(ProductCodes,"S",$CH:$CH)/2))/SUMIF(ProductCodes,"C",$CH:$CH)),IF($A21="S",(SUMIF(#REF!,DB$17,#REF!)*$CG21)/2,
IF($A21="B",(SUMIF(#REF!,DB$17,#REF!)*$CG21),
IF($A21="R",(SUMIF(#REF!,DB$17,#REF!)*$CG21),
IF($A21="H",(SUMIF(#REF!,DB$17,#REF!)*$CG21),"")))))),
IF(SUMIF(ProductCodes,"S",$CI:$CI)=$CI$42,(IF($A21="S",(SUMIF(#REF!,DB$17,#REF!)*$CG21)*((SUMIF(ProductCodes,"S",$CI:$CI)-SUMIF(ProductCodes,"H",$CH:$CH)-SUMIF(ProductCodes,"R",$CH:$CH)-SUMIF(ProductCodes,"B",$CH:$CH)-(SUMIF(ProductCodes,"C",$CH:$CH)/4))/SUMIF(ProductCodes,"S",$CH:$CH)),
IF($A21="C",(SUMIF(#REF!,DB$17,#REF!)*$CG21)/4,
IF($A21="B",(SUMIF(#REF!,DB$17,#REF!)*$CG21),
IF($A21="R",(SUMIF(#REF!,DB$17,#REF!)*$CG21),
IF($A21="H",(SUMIF(#REF!,DB$17,#REF!)*$CG21),"")))))),
IF($A21="C",(SUMIF(#REF!,DB$17,#REF!)*$CG21)*(SUMIF(ProductCodes,"C",$CI:$CI)/(SUMIF(ProductCodes,"C",$CH:$CH))),
IF($A21="S",(SUMIF(#REF!,DB$17,#REF!)*$CG21)*(SUMIF(ProductCodes,"S",$CI:$CI)/(SUMIF(ProductCodes,"S",$CH:$CH))),
IF($A21="B",(SUMIF(#REF!,DB$17,#REF!)*$CG21)*(SUMIF(ProductCodes,"B",$CI:$CI)/(SUMIF(ProductCodes,"B",$CH:$CH))),
IF($A21="R",(SUMIF(#REF!,DB$17,#REF!)*$CG21)*(SUMIF(ProductCodes,"R",$CI:$CI)/(SUMIF(ProductCodes,"R",$CH:$CH))),
IF($A21="H",(SUMIF(#REF!,DB$17,#REF!)*$CG21)*(SUMIF(ProductCodes,"H",$CI:$CI)/(SUMIF(ProductCodes,"H",$CH:$CH))),""))))))),"Error")</f>
        <v>Error</v>
      </c>
      <c r="DC21" s="194" t="str">
        <f>IFERROR(
IF(SUMIF(ProductCodes,"C",$CI:$CI)=$CI$42,(IF($A21="C",(SUMIF(#REF!,DC$17,#REF!)*$CG21)*((SUMIF(ProductCodes,"C",$CI:$CI)-SUMIF(ProductCodes,"H",$CH:$CH)-SUMIF(ProductCodes,"R",$CH:$CH)-SUMIF(ProductCodes,"B",$CH:$CH)-(SUMIF(ProductCodes,"S",$CH:$CH)/2))/SUMIF(ProductCodes,"C",$CH:$CH)),IF($A21="S",(SUMIF(#REF!,DC$17,#REF!)*$CG21)/2,
IF($A21="B",(SUMIF(#REF!,DC$17,#REF!)*$CG21),
IF($A21="R",(SUMIF(#REF!,DC$17,#REF!)*$CG21),
IF($A21="H",(SUMIF(#REF!,DC$17,#REF!)*$CG21),"")))))),
IF(SUMIF(ProductCodes,"S",$CI:$CI)=$CI$42,(IF($A21="S",(SUMIF(#REF!,DC$17,#REF!)*$CG21)*((SUMIF(ProductCodes,"S",$CI:$CI)-SUMIF(ProductCodes,"H",$CH:$CH)-SUMIF(ProductCodes,"R",$CH:$CH)-SUMIF(ProductCodes,"B",$CH:$CH)-(SUMIF(ProductCodes,"C",$CH:$CH)/4))/SUMIF(ProductCodes,"S",$CH:$CH)),
IF($A21="C",(SUMIF(#REF!,DC$17,#REF!)*$CG21)/4,
IF($A21="B",(SUMIF(#REF!,DC$17,#REF!)*$CG21),
IF($A21="R",(SUMIF(#REF!,DC$17,#REF!)*$CG21),
IF($A21="H",(SUMIF(#REF!,DC$17,#REF!)*$CG21),"")))))),
IF($A21="C",(SUMIF(#REF!,DC$17,#REF!)*$CG21)*(SUMIF(ProductCodes,"C",$CI:$CI)/(SUMIF(ProductCodes,"C",$CH:$CH))),
IF($A21="S",(SUMIF(#REF!,DC$17,#REF!)*$CG21)*(SUMIF(ProductCodes,"S",$CI:$CI)/(SUMIF(ProductCodes,"S",$CH:$CH))),
IF($A21="B",(SUMIF(#REF!,DC$17,#REF!)*$CG21)*(SUMIF(ProductCodes,"B",$CI:$CI)/(SUMIF(ProductCodes,"B",$CH:$CH))),
IF($A21="R",(SUMIF(#REF!,DC$17,#REF!)*$CG21)*(SUMIF(ProductCodes,"R",$CI:$CI)/(SUMIF(ProductCodes,"R",$CH:$CH))),
IF($A21="H",(SUMIF(#REF!,DC$17,#REF!)*$CG21)*(SUMIF(ProductCodes,"H",$CI:$CI)/(SUMIF(ProductCodes,"H",$CH:$CH))),""))))))),"Error")</f>
        <v>Error</v>
      </c>
      <c r="DD21" s="194" t="str">
        <f>IFERROR(
IF(SUMIF(ProductCodes,"C",$CI:$CI)=$CI$42,(IF($A21="C",(SUMIF(#REF!,DD$17,#REF!)*$CG21)*((SUMIF(ProductCodes,"C",$CI:$CI)-SUMIF(ProductCodes,"H",$CH:$CH)-SUMIF(ProductCodes,"R",$CH:$CH)-SUMIF(ProductCodes,"B",$CH:$CH)-(SUMIF(ProductCodes,"S",$CH:$CH)/2))/SUMIF(ProductCodes,"C",$CH:$CH)),IF($A21="S",(SUMIF(#REF!,DD$17,#REF!)*$CG21)/2,
IF($A21="B",(SUMIF(#REF!,DD$17,#REF!)*$CG21),
IF($A21="R",(SUMIF(#REF!,DD$17,#REF!)*$CG21),
IF($A21="H",(SUMIF(#REF!,DD$17,#REF!)*$CG21),"")))))),
IF(SUMIF(ProductCodes,"S",$CI:$CI)=$CI$42,(IF($A21="S",(SUMIF(#REF!,DD$17,#REF!)*$CG21)*((SUMIF(ProductCodes,"S",$CI:$CI)-SUMIF(ProductCodes,"H",$CH:$CH)-SUMIF(ProductCodes,"R",$CH:$CH)-SUMIF(ProductCodes,"B",$CH:$CH)-(SUMIF(ProductCodes,"C",$CH:$CH)/4))/SUMIF(ProductCodes,"S",$CH:$CH)),
IF($A21="C",(SUMIF(#REF!,DD$17,#REF!)*$CG21)/4,
IF($A21="B",(SUMIF(#REF!,DD$17,#REF!)*$CG21),
IF($A21="R",(SUMIF(#REF!,DD$17,#REF!)*$CG21),
IF($A21="H",(SUMIF(#REF!,DD$17,#REF!)*$CG21),"")))))),
IF($A21="C",(SUMIF(#REF!,DD$17,#REF!)*$CG21)*(SUMIF(ProductCodes,"C",$CI:$CI)/(SUMIF(ProductCodes,"C",$CH:$CH))),
IF($A21="S",(SUMIF(#REF!,DD$17,#REF!)*$CG21)*(SUMIF(ProductCodes,"S",$CI:$CI)/(SUMIF(ProductCodes,"S",$CH:$CH))),
IF($A21="B",(SUMIF(#REF!,DD$17,#REF!)*$CG21)*(SUMIF(ProductCodes,"B",$CI:$CI)/(SUMIF(ProductCodes,"B",$CH:$CH))),
IF($A21="R",(SUMIF(#REF!,DD$17,#REF!)*$CG21)*(SUMIF(ProductCodes,"R",$CI:$CI)/(SUMIF(ProductCodes,"R",$CH:$CH))),
IF($A21="H",(SUMIF(#REF!,DD$17,#REF!)*$CG21)*(SUMIF(ProductCodes,"H",$CI:$CI)/(SUMIF(ProductCodes,"H",$CH:$CH))),""))))))),"Error")</f>
        <v>Error</v>
      </c>
      <c r="DE21" s="194" t="str">
        <f>IFERROR(
IF(SUMIF(ProductCodes,"C",$CI:$CI)=$CI$42,(IF($A21="C",(SUMIF(#REF!,DE$17,#REF!)*$CG21)*((SUMIF(ProductCodes,"C",$CI:$CI)-SUMIF(ProductCodes,"H",$CH:$CH)-SUMIF(ProductCodes,"R",$CH:$CH)-SUMIF(ProductCodes,"B",$CH:$CH)-(SUMIF(ProductCodes,"S",$CH:$CH)/2))/SUMIF(ProductCodes,"C",$CH:$CH)),IF($A21="S",(SUMIF(#REF!,DE$17,#REF!)*$CG21)/2,
IF($A21="B",(SUMIF(#REF!,DE$17,#REF!)*$CG21),
IF($A21="R",(SUMIF(#REF!,DE$17,#REF!)*$CG21),
IF($A21="H",(SUMIF(#REF!,DE$17,#REF!)*$CG21),"")))))),
IF(SUMIF(ProductCodes,"S",$CI:$CI)=$CI$42,(IF($A21="S",(SUMIF(#REF!,DE$17,#REF!)*$CG21)*((SUMIF(ProductCodes,"S",$CI:$CI)-SUMIF(ProductCodes,"H",$CH:$CH)-SUMIF(ProductCodes,"R",$CH:$CH)-SUMIF(ProductCodes,"B",$CH:$CH)-(SUMIF(ProductCodes,"C",$CH:$CH)/4))/SUMIF(ProductCodes,"S",$CH:$CH)),
IF($A21="C",(SUMIF(#REF!,DE$17,#REF!)*$CG21)/4,
IF($A21="B",(SUMIF(#REF!,DE$17,#REF!)*$CG21),
IF($A21="R",(SUMIF(#REF!,DE$17,#REF!)*$CG21),
IF($A21="H",(SUMIF(#REF!,DE$17,#REF!)*$CG21),"")))))),
IF($A21="C",(SUMIF(#REF!,DE$17,#REF!)*$CG21)*(SUMIF(ProductCodes,"C",$CI:$CI)/(SUMIF(ProductCodes,"C",$CH:$CH))),
IF($A21="S",(SUMIF(#REF!,DE$17,#REF!)*$CG21)*(SUMIF(ProductCodes,"S",$CI:$CI)/(SUMIF(ProductCodes,"S",$CH:$CH))),
IF($A21="B",(SUMIF(#REF!,DE$17,#REF!)*$CG21)*(SUMIF(ProductCodes,"B",$CI:$CI)/(SUMIF(ProductCodes,"B",$CH:$CH))),
IF($A21="R",(SUMIF(#REF!,DE$17,#REF!)*$CG21)*(SUMIF(ProductCodes,"R",$CI:$CI)/(SUMIF(ProductCodes,"R",$CH:$CH))),
IF($A21="H",(SUMIF(#REF!,DE$17,#REF!)*$CG21)*(SUMIF(ProductCodes,"H",$CI:$CI)/(SUMIF(ProductCodes,"H",$CH:$CH))),""))))))),"Error")</f>
        <v>Error</v>
      </c>
      <c r="DF21" s="194" t="str">
        <f>IFERROR(
IF(SUMIF(ProductCodes,"C",$CI:$CI)=$CI$42,(IF($A21="C",(SUMIF(#REF!,DF$17,#REF!)*$CG21)*((SUMIF(ProductCodes,"C",$CI:$CI)-SUMIF(ProductCodes,"H",$CH:$CH)-SUMIF(ProductCodes,"R",$CH:$CH)-SUMIF(ProductCodes,"B",$CH:$CH)-(SUMIF(ProductCodes,"S",$CH:$CH)/2))/SUMIF(ProductCodes,"C",$CH:$CH)),IF($A21="S",(SUMIF(#REF!,DF$17,#REF!)*$CG21)/2,
IF($A21="B",(SUMIF(#REF!,DF$17,#REF!)*$CG21),
IF($A21="R",(SUMIF(#REF!,DF$17,#REF!)*$CG21),
IF($A21="H",(SUMIF(#REF!,DF$17,#REF!)*$CG21),"")))))),
IF(SUMIF(ProductCodes,"S",$CI:$CI)=$CI$42,(IF($A21="S",(SUMIF(#REF!,DF$17,#REF!)*$CG21)*((SUMIF(ProductCodes,"S",$CI:$CI)-SUMIF(ProductCodes,"H",$CH:$CH)-SUMIF(ProductCodes,"R",$CH:$CH)-SUMIF(ProductCodes,"B",$CH:$CH)-(SUMIF(ProductCodes,"C",$CH:$CH)/4))/SUMIF(ProductCodes,"S",$CH:$CH)),
IF($A21="C",(SUMIF(#REF!,DF$17,#REF!)*$CG21)/4,
IF($A21="B",(SUMIF(#REF!,DF$17,#REF!)*$CG21),
IF($A21="R",(SUMIF(#REF!,DF$17,#REF!)*$CG21),
IF($A21="H",(SUMIF(#REF!,DF$17,#REF!)*$CG21),"")))))),
IF($A21="C",(SUMIF(#REF!,DF$17,#REF!)*$CG21)*(SUMIF(ProductCodes,"C",$CI:$CI)/(SUMIF(ProductCodes,"C",$CH:$CH))),
IF($A21="S",(SUMIF(#REF!,DF$17,#REF!)*$CG21)*(SUMIF(ProductCodes,"S",$CI:$CI)/(SUMIF(ProductCodes,"S",$CH:$CH))),
IF($A21="B",(SUMIF(#REF!,DF$17,#REF!)*$CG21)*(SUMIF(ProductCodes,"B",$CI:$CI)/(SUMIF(ProductCodes,"B",$CH:$CH))),
IF($A21="R",(SUMIF(#REF!,DF$17,#REF!)*$CG21)*(SUMIF(ProductCodes,"R",$CI:$CI)/(SUMIF(ProductCodes,"R",$CH:$CH))),
IF($A21="H",(SUMIF(#REF!,DF$17,#REF!)*$CG21)*(SUMIF(ProductCodes,"H",$CI:$CI)/(SUMIF(ProductCodes,"H",$CH:$CH))),""))))))),"Error")</f>
        <v>Error</v>
      </c>
      <c r="DG21" s="194" t="str">
        <f>IFERROR(
IF(SUMIF(ProductCodes,"C",$CI:$CI)=$CI$42,(IF($A21="C",(SUMIF(#REF!,DG$17,#REF!)*$CG21)*((SUMIF(ProductCodes,"C",$CI:$CI)-SUMIF(ProductCodes,"H",$CH:$CH)-SUMIF(ProductCodes,"R",$CH:$CH)-SUMIF(ProductCodes,"B",$CH:$CH)-(SUMIF(ProductCodes,"S",$CH:$CH)/2))/SUMIF(ProductCodes,"C",$CH:$CH)),IF($A21="S",(SUMIF(#REF!,DG$17,#REF!)*$CG21)/2,
IF($A21="B",(SUMIF(#REF!,DG$17,#REF!)*$CG21),
IF($A21="R",(SUMIF(#REF!,DG$17,#REF!)*$CG21),
IF($A21="H",(SUMIF(#REF!,DG$17,#REF!)*$CG21),"")))))),
IF(SUMIF(ProductCodes,"S",$CI:$CI)=$CI$42,(IF($A21="S",(SUMIF(#REF!,DG$17,#REF!)*$CG21)*((SUMIF(ProductCodes,"S",$CI:$CI)-SUMIF(ProductCodes,"H",$CH:$CH)-SUMIF(ProductCodes,"R",$CH:$CH)-SUMIF(ProductCodes,"B",$CH:$CH)-(SUMIF(ProductCodes,"C",$CH:$CH)/4))/SUMIF(ProductCodes,"S",$CH:$CH)),
IF($A21="C",(SUMIF(#REF!,DG$17,#REF!)*$CG21)/4,
IF($A21="B",(SUMIF(#REF!,DG$17,#REF!)*$CG21),
IF($A21="R",(SUMIF(#REF!,DG$17,#REF!)*$CG21),
IF($A21="H",(SUMIF(#REF!,DG$17,#REF!)*$CG21),"")))))),
IF($A21="C",(SUMIF(#REF!,DG$17,#REF!)*$CG21)*(SUMIF(ProductCodes,"C",$CI:$CI)/(SUMIF(ProductCodes,"C",$CH:$CH))),
IF($A21="S",(SUMIF(#REF!,DG$17,#REF!)*$CG21)*(SUMIF(ProductCodes,"S",$CI:$CI)/(SUMIF(ProductCodes,"S",$CH:$CH))),
IF($A21="B",(SUMIF(#REF!,DG$17,#REF!)*$CG21)*(SUMIF(ProductCodes,"B",$CI:$CI)/(SUMIF(ProductCodes,"B",$CH:$CH))),
IF($A21="R",(SUMIF(#REF!,DG$17,#REF!)*$CG21)*(SUMIF(ProductCodes,"R",$CI:$CI)/(SUMIF(ProductCodes,"R",$CH:$CH))),
IF($A21="H",(SUMIF(#REF!,DG$17,#REF!)*$CG21)*(SUMIF(ProductCodes,"H",$CI:$CI)/(SUMIF(ProductCodes,"H",$CH:$CH))),""))))))),"Error")</f>
        <v>Error</v>
      </c>
      <c r="DH21" s="194" t="str">
        <f>IFERROR(
IF(SUMIF(ProductCodes,"C",$CI:$CI)=$CI$42,(IF($A21="C",(SUMIF(#REF!,DH$17,#REF!)*$CG21)*((SUMIF(ProductCodes,"C",$CI:$CI)-SUMIF(ProductCodes,"H",$CH:$CH)-SUMIF(ProductCodes,"R",$CH:$CH)-SUMIF(ProductCodes,"B",$CH:$CH)-(SUMIF(ProductCodes,"S",$CH:$CH)/2))/SUMIF(ProductCodes,"C",$CH:$CH)),IF($A21="S",(SUMIF(#REF!,DH$17,#REF!)*$CG21)/2,
IF($A21="B",(SUMIF(#REF!,DH$17,#REF!)*$CG21),
IF($A21="R",(SUMIF(#REF!,DH$17,#REF!)*$CG21),
IF($A21="H",(SUMIF(#REF!,DH$17,#REF!)*$CG21),"")))))),
IF(SUMIF(ProductCodes,"S",$CI:$CI)=$CI$42,(IF($A21="S",(SUMIF(#REF!,DH$17,#REF!)*$CG21)*((SUMIF(ProductCodes,"S",$CI:$CI)-SUMIF(ProductCodes,"H",$CH:$CH)-SUMIF(ProductCodes,"R",$CH:$CH)-SUMIF(ProductCodes,"B",$CH:$CH)-(SUMIF(ProductCodes,"C",$CH:$CH)/4))/SUMIF(ProductCodes,"S",$CH:$CH)),
IF($A21="C",(SUMIF(#REF!,DH$17,#REF!)*$CG21)/4,
IF($A21="B",(SUMIF(#REF!,DH$17,#REF!)*$CG21),
IF($A21="R",(SUMIF(#REF!,DH$17,#REF!)*$CG21),
IF($A21="H",(SUMIF(#REF!,DH$17,#REF!)*$CG21),"")))))),
IF($A21="C",(SUMIF(#REF!,DH$17,#REF!)*$CG21)*(SUMIF(ProductCodes,"C",$CI:$CI)/(SUMIF(ProductCodes,"C",$CH:$CH))),
IF($A21="S",(SUMIF(#REF!,DH$17,#REF!)*$CG21)*(SUMIF(ProductCodes,"S",$CI:$CI)/(SUMIF(ProductCodes,"S",$CH:$CH))),
IF($A21="B",(SUMIF(#REF!,DH$17,#REF!)*$CG21)*(SUMIF(ProductCodes,"B",$CI:$CI)/(SUMIF(ProductCodes,"B",$CH:$CH))),
IF($A21="R",(SUMIF(#REF!,DH$17,#REF!)*$CG21)*(SUMIF(ProductCodes,"R",$CI:$CI)/(SUMIF(ProductCodes,"R",$CH:$CH))),
IF($A21="H",(SUMIF(#REF!,DH$17,#REF!)*$CG21)*(SUMIF(ProductCodes,"H",$CI:$CI)/(SUMIF(ProductCodes,"H",$CH:$CH))),""))))))),"Error")</f>
        <v>Error</v>
      </c>
      <c r="DI21" s="194" t="str">
        <f>IFERROR(
IF(SUMIF(ProductCodes,"C",$CI:$CI)=$CI$42,(IF($A21="C",(SUMIF(#REF!,DI$17,#REF!)*$CG21)*((SUMIF(ProductCodes,"C",$CI:$CI)-SUMIF(ProductCodes,"H",$CH:$CH)-SUMIF(ProductCodes,"R",$CH:$CH)-SUMIF(ProductCodes,"B",$CH:$CH)-(SUMIF(ProductCodes,"S",$CH:$CH)/2))/SUMIF(ProductCodes,"C",$CH:$CH)),IF($A21="S",(SUMIF(#REF!,DI$17,#REF!)*$CG21)/2,
IF($A21="B",(SUMIF(#REF!,DI$17,#REF!)*$CG21),
IF($A21="R",(SUMIF(#REF!,DI$17,#REF!)*$CG21),
IF($A21="H",(SUMIF(#REF!,DI$17,#REF!)*$CG21),"")))))),
IF(SUMIF(ProductCodes,"S",$CI:$CI)=$CI$42,(IF($A21="S",(SUMIF(#REF!,DI$17,#REF!)*$CG21)*((SUMIF(ProductCodes,"S",$CI:$CI)-SUMIF(ProductCodes,"H",$CH:$CH)-SUMIF(ProductCodes,"R",$CH:$CH)-SUMIF(ProductCodes,"B",$CH:$CH)-(SUMIF(ProductCodes,"C",$CH:$CH)/4))/SUMIF(ProductCodes,"S",$CH:$CH)),
IF($A21="C",(SUMIF(#REF!,DI$17,#REF!)*$CG21)/4,
IF($A21="B",(SUMIF(#REF!,DI$17,#REF!)*$CG21),
IF($A21="R",(SUMIF(#REF!,DI$17,#REF!)*$CG21),
IF($A21="H",(SUMIF(#REF!,DI$17,#REF!)*$CG21),"")))))),
IF($A21="C",(SUMIF(#REF!,DI$17,#REF!)*$CG21)*(SUMIF(ProductCodes,"C",$CI:$CI)/(SUMIF(ProductCodes,"C",$CH:$CH))),
IF($A21="S",(SUMIF(#REF!,DI$17,#REF!)*$CG21)*(SUMIF(ProductCodes,"S",$CI:$CI)/(SUMIF(ProductCodes,"S",$CH:$CH))),
IF($A21="B",(SUMIF(#REF!,DI$17,#REF!)*$CG21)*(SUMIF(ProductCodes,"B",$CI:$CI)/(SUMIF(ProductCodes,"B",$CH:$CH))),
IF($A21="R",(SUMIF(#REF!,DI$17,#REF!)*$CG21)*(SUMIF(ProductCodes,"R",$CI:$CI)/(SUMIF(ProductCodes,"R",$CH:$CH))),
IF($A21="H",(SUMIF(#REF!,DI$17,#REF!)*$CG21)*(SUMIF(ProductCodes,"H",$CI:$CI)/(SUMIF(ProductCodes,"H",$CH:$CH))),""))))))),"Error")</f>
        <v>Error</v>
      </c>
      <c r="DJ21" s="194" t="str">
        <f>IFERROR(
IF(SUMIF(ProductCodes,"C",$CI:$CI)=$CI$42,(IF($A21="C",(SUMIF(#REF!,DJ$17,#REF!)*$CG21)*((SUMIF(ProductCodes,"C",$CI:$CI)-SUMIF(ProductCodes,"H",$CH:$CH)-SUMIF(ProductCodes,"R",$CH:$CH)-SUMIF(ProductCodes,"B",$CH:$CH)-(SUMIF(ProductCodes,"S",$CH:$CH)/2))/SUMIF(ProductCodes,"C",$CH:$CH)),IF($A21="S",(SUMIF(#REF!,DJ$17,#REF!)*$CG21)/2,
IF($A21="B",(SUMIF(#REF!,DJ$17,#REF!)*$CG21),
IF($A21="R",(SUMIF(#REF!,DJ$17,#REF!)*$CG21),
IF($A21="H",(SUMIF(#REF!,DJ$17,#REF!)*$CG21),"")))))),
IF(SUMIF(ProductCodes,"S",$CI:$CI)=$CI$42,(IF($A21="S",(SUMIF(#REF!,DJ$17,#REF!)*$CG21)*((SUMIF(ProductCodes,"S",$CI:$CI)-SUMIF(ProductCodes,"H",$CH:$CH)-SUMIF(ProductCodes,"R",$CH:$CH)-SUMIF(ProductCodes,"B",$CH:$CH)-(SUMIF(ProductCodes,"C",$CH:$CH)/4))/SUMIF(ProductCodes,"S",$CH:$CH)),
IF($A21="C",(SUMIF(#REF!,DJ$17,#REF!)*$CG21)/4,
IF($A21="B",(SUMIF(#REF!,DJ$17,#REF!)*$CG21),
IF($A21="R",(SUMIF(#REF!,DJ$17,#REF!)*$CG21),
IF($A21="H",(SUMIF(#REF!,DJ$17,#REF!)*$CG21),"")))))),
IF($A21="C",(SUMIF(#REF!,DJ$17,#REF!)*$CG21)*(SUMIF(ProductCodes,"C",$CI:$CI)/(SUMIF(ProductCodes,"C",$CH:$CH))),
IF($A21="S",(SUMIF(#REF!,DJ$17,#REF!)*$CG21)*(SUMIF(ProductCodes,"S",$CI:$CI)/(SUMIF(ProductCodes,"S",$CH:$CH))),
IF($A21="B",(SUMIF(#REF!,DJ$17,#REF!)*$CG21)*(SUMIF(ProductCodes,"B",$CI:$CI)/(SUMIF(ProductCodes,"B",$CH:$CH))),
IF($A21="R",(SUMIF(#REF!,DJ$17,#REF!)*$CG21)*(SUMIF(ProductCodes,"R",$CI:$CI)/(SUMIF(ProductCodes,"R",$CH:$CH))),
IF($A21="H",(SUMIF(#REF!,DJ$17,#REF!)*$CG21)*(SUMIF(ProductCodes,"H",$CI:$CI)/(SUMIF(ProductCodes,"H",$CH:$CH))),""))))))),"Error")</f>
        <v>Error</v>
      </c>
      <c r="DK21" s="194" t="str">
        <f>IFERROR(
IF(SUMIF(ProductCodes,"C",$CI:$CI)=$CI$42,(IF($A21="C",(SUMIF(#REF!,DK$17,#REF!)*$CG21)*((SUMIF(ProductCodes,"C",$CI:$CI)-SUMIF(ProductCodes,"H",$CH:$CH)-SUMIF(ProductCodes,"R",$CH:$CH)-SUMIF(ProductCodes,"B",$CH:$CH)-(SUMIF(ProductCodes,"S",$CH:$CH)/2))/SUMIF(ProductCodes,"C",$CH:$CH)),IF($A21="S",(SUMIF(#REF!,DK$17,#REF!)*$CG21)/2,
IF($A21="B",(SUMIF(#REF!,DK$17,#REF!)*$CG21),
IF($A21="R",(SUMIF(#REF!,DK$17,#REF!)*$CG21),
IF($A21="H",(SUMIF(#REF!,DK$17,#REF!)*$CG21),"")))))),
IF(SUMIF(ProductCodes,"S",$CI:$CI)=$CI$42,(IF($A21="S",(SUMIF(#REF!,DK$17,#REF!)*$CG21)*((SUMIF(ProductCodes,"S",$CI:$CI)-SUMIF(ProductCodes,"H",$CH:$CH)-SUMIF(ProductCodes,"R",$CH:$CH)-SUMIF(ProductCodes,"B",$CH:$CH)-(SUMIF(ProductCodes,"C",$CH:$CH)/4))/SUMIF(ProductCodes,"S",$CH:$CH)),
IF($A21="C",(SUMIF(#REF!,DK$17,#REF!)*$CG21)/4,
IF($A21="B",(SUMIF(#REF!,DK$17,#REF!)*$CG21),
IF($A21="R",(SUMIF(#REF!,DK$17,#REF!)*$CG21),
IF($A21="H",(SUMIF(#REF!,DK$17,#REF!)*$CG21),"")))))),
IF($A21="C",(SUMIF(#REF!,DK$17,#REF!)*$CG21)*(SUMIF(ProductCodes,"C",$CI:$CI)/(SUMIF(ProductCodes,"C",$CH:$CH))),
IF($A21="S",(SUMIF(#REF!,DK$17,#REF!)*$CG21)*(SUMIF(ProductCodes,"S",$CI:$CI)/(SUMIF(ProductCodes,"S",$CH:$CH))),
IF($A21="B",(SUMIF(#REF!,DK$17,#REF!)*$CG21)*(SUMIF(ProductCodes,"B",$CI:$CI)/(SUMIF(ProductCodes,"B",$CH:$CH))),
IF($A21="R",(SUMIF(#REF!,DK$17,#REF!)*$CG21)*(SUMIF(ProductCodes,"R",$CI:$CI)/(SUMIF(ProductCodes,"R",$CH:$CH))),
IF($A21="H",(SUMIF(#REF!,DK$17,#REF!)*$CG21)*(SUMIF(ProductCodes,"H",$CI:$CI)/(SUMIF(ProductCodes,"H",$CH:$CH))),""))))))),"Error")</f>
        <v>Error</v>
      </c>
      <c r="DL21" s="194" t="str">
        <f>IFERROR(
IF(SUMIF(ProductCodes,"C",$CI:$CI)=$CI$42,(IF($A21="C",(SUMIF(#REF!,DL$17,#REF!)*$CG21)*((SUMIF(ProductCodes,"C",$CI:$CI)-SUMIF(ProductCodes,"H",$CH:$CH)-SUMIF(ProductCodes,"R",$CH:$CH)-SUMIF(ProductCodes,"B",$CH:$CH)-(SUMIF(ProductCodes,"S",$CH:$CH)/2))/SUMIF(ProductCodes,"C",$CH:$CH)),IF($A21="S",(SUMIF(#REF!,DL$17,#REF!)*$CG21)/2,
IF($A21="B",(SUMIF(#REF!,DL$17,#REF!)*$CG21),
IF($A21="R",(SUMIF(#REF!,DL$17,#REF!)*$CG21),
IF($A21="H",(SUMIF(#REF!,DL$17,#REF!)*$CG21),"")))))),
IF(SUMIF(ProductCodes,"S",$CI:$CI)=$CI$42,(IF($A21="S",(SUMIF(#REF!,DL$17,#REF!)*$CG21)*((SUMIF(ProductCodes,"S",$CI:$CI)-SUMIF(ProductCodes,"H",$CH:$CH)-SUMIF(ProductCodes,"R",$CH:$CH)-SUMIF(ProductCodes,"B",$CH:$CH)-(SUMIF(ProductCodes,"C",$CH:$CH)/4))/SUMIF(ProductCodes,"S",$CH:$CH)),
IF($A21="C",(SUMIF(#REF!,DL$17,#REF!)*$CG21)/4,
IF($A21="B",(SUMIF(#REF!,DL$17,#REF!)*$CG21),
IF($A21="R",(SUMIF(#REF!,DL$17,#REF!)*$CG21),
IF($A21="H",(SUMIF(#REF!,DL$17,#REF!)*$CG21),"")))))),
IF($A21="C",(SUMIF(#REF!,DL$17,#REF!)*$CG21)*(SUMIF(ProductCodes,"C",$CI:$CI)/(SUMIF(ProductCodes,"C",$CH:$CH))),
IF($A21="S",(SUMIF(#REF!,DL$17,#REF!)*$CG21)*(SUMIF(ProductCodes,"S",$CI:$CI)/(SUMIF(ProductCodes,"S",$CH:$CH))),
IF($A21="B",(SUMIF(#REF!,DL$17,#REF!)*$CG21)*(SUMIF(ProductCodes,"B",$CI:$CI)/(SUMIF(ProductCodes,"B",$CH:$CH))),
IF($A21="R",(SUMIF(#REF!,DL$17,#REF!)*$CG21)*(SUMIF(ProductCodes,"R",$CI:$CI)/(SUMIF(ProductCodes,"R",$CH:$CH))),
IF($A21="H",(SUMIF(#REF!,DL$17,#REF!)*$CG21)*(SUMIF(ProductCodes,"H",$CI:$CI)/(SUMIF(ProductCodes,"H",$CH:$CH))),""))))))),"Error")</f>
        <v>Error</v>
      </c>
      <c r="DM21" s="194" t="str">
        <f>IFERROR(
IF(SUMIF(ProductCodes,"C",$CI:$CI)=$CI$42,(IF($A21="C",(SUMIF(#REF!,DM$17,#REF!)*$CG21)*((SUMIF(ProductCodes,"C",$CI:$CI)-SUMIF(ProductCodes,"H",$CH:$CH)-SUMIF(ProductCodes,"R",$CH:$CH)-SUMIF(ProductCodes,"B",$CH:$CH)-(SUMIF(ProductCodes,"S",$CH:$CH)/2))/SUMIF(ProductCodes,"C",$CH:$CH)),IF($A21="S",(SUMIF(#REF!,DM$17,#REF!)*$CG21)/2,
IF($A21="B",(SUMIF(#REF!,DM$17,#REF!)*$CG21),
IF($A21="R",(SUMIF(#REF!,DM$17,#REF!)*$CG21),
IF($A21="H",(SUMIF(#REF!,DM$17,#REF!)*$CG21),"")))))),
IF(SUMIF(ProductCodes,"S",$CI:$CI)=$CI$42,(IF($A21="S",(SUMIF(#REF!,DM$17,#REF!)*$CG21)*((SUMIF(ProductCodes,"S",$CI:$CI)-SUMIF(ProductCodes,"H",$CH:$CH)-SUMIF(ProductCodes,"R",$CH:$CH)-SUMIF(ProductCodes,"B",$CH:$CH)-(SUMIF(ProductCodes,"C",$CH:$CH)/4))/SUMIF(ProductCodes,"S",$CH:$CH)),
IF($A21="C",(SUMIF(#REF!,DM$17,#REF!)*$CG21)/4,
IF($A21="B",(SUMIF(#REF!,DM$17,#REF!)*$CG21),
IF($A21="R",(SUMIF(#REF!,DM$17,#REF!)*$CG21),
IF($A21="H",(SUMIF(#REF!,DM$17,#REF!)*$CG21),"")))))),
IF($A21="C",(SUMIF(#REF!,DM$17,#REF!)*$CG21)*(SUMIF(ProductCodes,"C",$CI:$CI)/(SUMIF(ProductCodes,"C",$CH:$CH))),
IF($A21="S",(SUMIF(#REF!,DM$17,#REF!)*$CG21)*(SUMIF(ProductCodes,"S",$CI:$CI)/(SUMIF(ProductCodes,"S",$CH:$CH))),
IF($A21="B",(SUMIF(#REF!,DM$17,#REF!)*$CG21)*(SUMIF(ProductCodes,"B",$CI:$CI)/(SUMIF(ProductCodes,"B",$CH:$CH))),
IF($A21="R",(SUMIF(#REF!,DM$17,#REF!)*$CG21)*(SUMIF(ProductCodes,"R",$CI:$CI)/(SUMIF(ProductCodes,"R",$CH:$CH))),
IF($A21="H",(SUMIF(#REF!,DM$17,#REF!)*$CG21)*(SUMIF(ProductCodes,"H",$CI:$CI)/(SUMIF(ProductCodes,"H",$CH:$CH))),""))))))),"Error")</f>
        <v>Error</v>
      </c>
      <c r="DN21" s="194" t="str">
        <f>IFERROR(
IF(SUMIF(ProductCodes,"C",$CI:$CI)=$CI$42,(IF($A21="C",(SUMIF(#REF!,DN$17,#REF!)*$CG21)*((SUMIF(ProductCodes,"C",$CI:$CI)-SUMIF(ProductCodes,"H",$CH:$CH)-SUMIF(ProductCodes,"R",$CH:$CH)-SUMIF(ProductCodes,"B",$CH:$CH)-(SUMIF(ProductCodes,"S",$CH:$CH)/2))/SUMIF(ProductCodes,"C",$CH:$CH)),IF($A21="S",(SUMIF(#REF!,DN$17,#REF!)*$CG21)/2,
IF($A21="B",(SUMIF(#REF!,DN$17,#REF!)*$CG21),
IF($A21="R",(SUMIF(#REF!,DN$17,#REF!)*$CG21),
IF($A21="H",(SUMIF(#REF!,DN$17,#REF!)*$CG21),"")))))),
IF(SUMIF(ProductCodes,"S",$CI:$CI)=$CI$42,(IF($A21="S",(SUMIF(#REF!,DN$17,#REF!)*$CG21)*((SUMIF(ProductCodes,"S",$CI:$CI)-SUMIF(ProductCodes,"H",$CH:$CH)-SUMIF(ProductCodes,"R",$CH:$CH)-SUMIF(ProductCodes,"B",$CH:$CH)-(SUMIF(ProductCodes,"C",$CH:$CH)/4))/SUMIF(ProductCodes,"S",$CH:$CH)),
IF($A21="C",(SUMIF(#REF!,DN$17,#REF!)*$CG21)/4,
IF($A21="B",(SUMIF(#REF!,DN$17,#REF!)*$CG21),
IF($A21="R",(SUMIF(#REF!,DN$17,#REF!)*$CG21),
IF($A21="H",(SUMIF(#REF!,DN$17,#REF!)*$CG21),"")))))),
IF($A21="C",(SUMIF(#REF!,DN$17,#REF!)*$CG21)*(SUMIF(ProductCodes,"C",$CI:$CI)/(SUMIF(ProductCodes,"C",$CH:$CH))),
IF($A21="S",(SUMIF(#REF!,DN$17,#REF!)*$CG21)*(SUMIF(ProductCodes,"S",$CI:$CI)/(SUMIF(ProductCodes,"S",$CH:$CH))),
IF($A21="B",(SUMIF(#REF!,DN$17,#REF!)*$CG21)*(SUMIF(ProductCodes,"B",$CI:$CI)/(SUMIF(ProductCodes,"B",$CH:$CH))),
IF($A21="R",(SUMIF(#REF!,DN$17,#REF!)*$CG21)*(SUMIF(ProductCodes,"R",$CI:$CI)/(SUMIF(ProductCodes,"R",$CH:$CH))),
IF($A21="H",(SUMIF(#REF!,DN$17,#REF!)*$CG21)*(SUMIF(ProductCodes,"H",$CI:$CI)/(SUMIF(ProductCodes,"H",$CH:$CH))),""))))))),"Error")</f>
        <v>Error</v>
      </c>
      <c r="DO21" s="194" t="str">
        <f>IFERROR(
IF(SUMIF(ProductCodes,"C",$CI:$CI)=$CI$42,(IF($A21="C",(SUMIF(#REF!,DO$17,#REF!)*$CG21)*((SUMIF(ProductCodes,"C",$CI:$CI)-SUMIF(ProductCodes,"H",$CH:$CH)-SUMIF(ProductCodes,"R",$CH:$CH)-SUMIF(ProductCodes,"B",$CH:$CH)-(SUMIF(ProductCodes,"S",$CH:$CH)/2))/SUMIF(ProductCodes,"C",$CH:$CH)),IF($A21="S",(SUMIF(#REF!,DO$17,#REF!)*$CG21)/2,
IF($A21="B",(SUMIF(#REF!,DO$17,#REF!)*$CG21),
IF($A21="R",(SUMIF(#REF!,DO$17,#REF!)*$CG21),
IF($A21="H",(SUMIF(#REF!,DO$17,#REF!)*$CG21),"")))))),
IF(SUMIF(ProductCodes,"S",$CI:$CI)=$CI$42,(IF($A21="S",(SUMIF(#REF!,DO$17,#REF!)*$CG21)*((SUMIF(ProductCodes,"S",$CI:$CI)-SUMIF(ProductCodes,"H",$CH:$CH)-SUMIF(ProductCodes,"R",$CH:$CH)-SUMIF(ProductCodes,"B",$CH:$CH)-(SUMIF(ProductCodes,"C",$CH:$CH)/4))/SUMIF(ProductCodes,"S",$CH:$CH)),
IF($A21="C",(SUMIF(#REF!,DO$17,#REF!)*$CG21)/4,
IF($A21="B",(SUMIF(#REF!,DO$17,#REF!)*$CG21),
IF($A21="R",(SUMIF(#REF!,DO$17,#REF!)*$CG21),
IF($A21="H",(SUMIF(#REF!,DO$17,#REF!)*$CG21),"")))))),
IF($A21="C",(SUMIF(#REF!,DO$17,#REF!)*$CG21)*(SUMIF(ProductCodes,"C",$CI:$CI)/(SUMIF(ProductCodes,"C",$CH:$CH))),
IF($A21="S",(SUMIF(#REF!,DO$17,#REF!)*$CG21)*(SUMIF(ProductCodes,"S",$CI:$CI)/(SUMIF(ProductCodes,"S",$CH:$CH))),
IF($A21="B",(SUMIF(#REF!,DO$17,#REF!)*$CG21)*(SUMIF(ProductCodes,"B",$CI:$CI)/(SUMIF(ProductCodes,"B",$CH:$CH))),
IF($A21="R",(SUMIF(#REF!,DO$17,#REF!)*$CG21)*(SUMIF(ProductCodes,"R",$CI:$CI)/(SUMIF(ProductCodes,"R",$CH:$CH))),
IF($A21="H",(SUMIF(#REF!,DO$17,#REF!)*$CG21)*(SUMIF(ProductCodes,"H",$CI:$CI)/(SUMIF(ProductCodes,"H",$CH:$CH))),""))))))),"Error")</f>
        <v>Error</v>
      </c>
      <c r="DP21" s="195" t="str">
        <f>IFERROR(
IF(SUMIF(ProductCodes,"C",$CI:$CI)=$CI$42,(IF($A21="C",(SUMIF(#REF!,DP$17,#REF!)*$CG21)*((SUMIF(ProductCodes,"C",$CI:$CI)-SUMIF(ProductCodes,"H",$CH:$CH)-SUMIF(ProductCodes,"R",$CH:$CH)-SUMIF(ProductCodes,"B",$CH:$CH)-(SUMIF(ProductCodes,"S",$CH:$CH)/2))/SUMIF(ProductCodes,"C",$CH:$CH)),IF($A21="S",(SUMIF(#REF!,DP$17,#REF!)*$CG21)/2,
IF($A21="B",(SUMIF(#REF!,DP$17,#REF!)*$CG21),
IF($A21="R",(SUMIF(#REF!,DP$17,#REF!)*$CG21),
IF($A21="H",(SUMIF(#REF!,DP$17,#REF!)*$CG21),"")))))),
IF(SUMIF(ProductCodes,"S",$CI:$CI)=$CI$42,(IF($A21="S",(SUMIF(#REF!,DP$17,#REF!)*$CG21)*((SUMIF(ProductCodes,"S",$CI:$CI)-SUMIF(ProductCodes,"H",$CH:$CH)-SUMIF(ProductCodes,"R",$CH:$CH)-SUMIF(ProductCodes,"B",$CH:$CH)-(SUMIF(ProductCodes,"C",$CH:$CH)/4))/SUMIF(ProductCodes,"S",$CH:$CH)),
IF($A21="C",(SUMIF(#REF!,DP$17,#REF!)*$CG21)/4,
IF($A21="B",(SUMIF(#REF!,DP$17,#REF!)*$CG21),
IF($A21="R",(SUMIF(#REF!,DP$17,#REF!)*$CG21),
IF($A21="H",(SUMIF(#REF!,DP$17,#REF!)*$CG21),"")))))),
IF($A21="C",(SUMIF(#REF!,DP$17,#REF!)*$CG21)*(SUMIF(ProductCodes,"C",$CI:$CI)/(SUMIF(ProductCodes,"C",$CH:$CH))),
IF($A21="S",(SUMIF(#REF!,DP$17,#REF!)*$CG21)*(SUMIF(ProductCodes,"S",$CI:$CI)/(SUMIF(ProductCodes,"S",$CH:$CH))),
IF($A21="B",(SUMIF(#REF!,DP$17,#REF!)*$CG21)*(SUMIF(ProductCodes,"B",$CI:$CI)/(SUMIF(ProductCodes,"B",$CH:$CH))),
IF($A21="R",(SUMIF(#REF!,DP$17,#REF!)*$CG21)*(SUMIF(ProductCodes,"R",$CI:$CI)/(SUMIF(ProductCodes,"R",$CH:$CH))),
IF($A21="H",(SUMIF(#REF!,DP$17,#REF!)*$CG21)*(SUMIF(ProductCodes,"H",$CI:$CI)/(SUMIF(ProductCodes,"H",$CH:$CH))),""))))))),"Error")</f>
        <v>Error</v>
      </c>
      <c r="DQ21" s="196"/>
      <c r="DR21" s="196"/>
      <c r="DS21" s="197"/>
      <c r="DT21" s="197"/>
      <c r="DU21" s="197"/>
      <c r="DV21" s="197"/>
      <c r="DW21" s="197"/>
      <c r="DX21" s="197"/>
      <c r="DY21" s="197"/>
      <c r="DZ21" s="197"/>
      <c r="EA21" s="197"/>
      <c r="EB21" s="197"/>
      <c r="EC21" s="197"/>
      <c r="ED21" s="197"/>
    </row>
    <row r="22" spans="1:134" s="86" customFormat="1" ht="60" customHeight="1" thickBot="1" x14ac:dyDescent="0.4">
      <c r="A22" s="186" t="s">
        <v>43</v>
      </c>
      <c r="B22" s="107" t="s">
        <v>72</v>
      </c>
      <c r="C22" s="110" t="s">
        <v>44</v>
      </c>
      <c r="D22" s="107" t="s">
        <v>45</v>
      </c>
      <c r="E22" s="96"/>
      <c r="F22" s="96"/>
      <c r="G22" s="99"/>
      <c r="H22" s="97"/>
      <c r="I22" s="95"/>
      <c r="J22" s="96"/>
      <c r="K22" s="96"/>
      <c r="L22" s="97"/>
      <c r="M22" s="98"/>
      <c r="N22" s="96"/>
      <c r="O22" s="96"/>
      <c r="P22" s="99"/>
      <c r="Q22" s="98"/>
      <c r="R22" s="96"/>
      <c r="S22" s="96"/>
      <c r="T22" s="99"/>
      <c r="U22" s="97"/>
      <c r="V22" s="98"/>
      <c r="W22" s="96"/>
      <c r="X22" s="96"/>
      <c r="Y22" s="97"/>
      <c r="Z22" s="98"/>
      <c r="AA22" s="96"/>
      <c r="AB22" s="96"/>
      <c r="AC22" s="96"/>
      <c r="AD22" s="235">
        <v>15</v>
      </c>
      <c r="AE22" s="236"/>
      <c r="AF22" s="236"/>
      <c r="AG22" s="236"/>
      <c r="AH22" s="237"/>
      <c r="AI22" s="290">
        <v>10</v>
      </c>
      <c r="AJ22" s="236"/>
      <c r="AK22" s="236"/>
      <c r="AL22" s="237"/>
      <c r="AM22" s="235">
        <v>15</v>
      </c>
      <c r="AN22" s="236"/>
      <c r="AO22" s="236"/>
      <c r="AP22" s="236"/>
      <c r="AQ22" s="237"/>
      <c r="AR22" s="290">
        <v>10</v>
      </c>
      <c r="AS22" s="236"/>
      <c r="AT22" s="236"/>
      <c r="AU22" s="237"/>
      <c r="AV22" s="290">
        <v>10</v>
      </c>
      <c r="AW22" s="236"/>
      <c r="AX22" s="236"/>
      <c r="AY22" s="237"/>
      <c r="AZ22" s="235">
        <v>15</v>
      </c>
      <c r="BA22" s="236"/>
      <c r="BB22" s="236"/>
      <c r="BC22" s="236"/>
      <c r="BD22" s="237"/>
      <c r="BE22" s="290">
        <v>10</v>
      </c>
      <c r="BF22" s="236"/>
      <c r="BG22" s="236"/>
      <c r="BH22" s="237"/>
      <c r="BI22" s="290">
        <v>10</v>
      </c>
      <c r="BJ22" s="236"/>
      <c r="BK22" s="236"/>
      <c r="BL22" s="237"/>
      <c r="BM22" s="235">
        <v>15</v>
      </c>
      <c r="BN22" s="236"/>
      <c r="BO22" s="236"/>
      <c r="BP22" s="236"/>
      <c r="BQ22" s="237"/>
      <c r="BR22" s="290">
        <v>10</v>
      </c>
      <c r="BS22" s="236"/>
      <c r="BT22" s="236"/>
      <c r="BU22" s="237"/>
      <c r="BV22" s="290">
        <v>10</v>
      </c>
      <c r="BW22" s="236"/>
      <c r="BX22" s="236"/>
      <c r="BY22" s="237"/>
      <c r="BZ22" s="290">
        <v>10</v>
      </c>
      <c r="CA22" s="236"/>
      <c r="CB22" s="236"/>
      <c r="CC22" s="237"/>
      <c r="CD22" s="187">
        <v>1</v>
      </c>
      <c r="CE22" s="188">
        <f t="shared" si="33"/>
        <v>140</v>
      </c>
      <c r="CF22" s="188">
        <f t="shared" si="31"/>
        <v>140</v>
      </c>
      <c r="CG22" s="189">
        <v>50</v>
      </c>
      <c r="CH22" s="213">
        <f t="shared" si="32"/>
        <v>7000</v>
      </c>
      <c r="CI22" s="240"/>
      <c r="CJ22" s="189"/>
      <c r="CK22" s="189"/>
      <c r="CL22" s="189"/>
      <c r="CM22" s="204"/>
      <c r="CN22" s="204">
        <f>CM22*CE22</f>
        <v>0</v>
      </c>
      <c r="CO22" s="189"/>
      <c r="CP22" s="192"/>
      <c r="CQ22" s="192"/>
      <c r="CR22" s="193"/>
      <c r="CS22" s="194" t="str">
        <f>IFERROR(
IF(SUMIF(ProductCodes,"C",$CI:$CI)=$CI$42,(IF($A22="C",(SUMIF(#REF!,CS$17,#REF!)*$CG22)*((SUMIF(ProductCodes,"C",$CI:$CI)-SUMIF(ProductCodes,"H",$CH:$CH)-SUMIF(ProductCodes,"R",$CH:$CH)-SUMIF(ProductCodes,"B",$CH:$CH)-(SUMIF(ProductCodes,"S",$CH:$CH)/2))/SUMIF(ProductCodes,"C",$CH:$CH)),IF($A22="S",(SUMIF(#REF!,CS$17,#REF!)*$CG22)/2,
IF($A22="B",(SUMIF(#REF!,CS$17,#REF!)*$CG22),
IF($A22="R",(SUMIF(#REF!,CS$17,#REF!)*$CG22),
IF($A22="H",(SUMIF(#REF!,CS$17,#REF!)*$CG22),"")))))),
IF(SUMIF(ProductCodes,"S",$CI:$CI)=$CI$42,(IF($A22="S",(SUMIF(#REF!,CS$17,#REF!)*$CG22)*((SUMIF(ProductCodes,"S",$CI:$CI)-SUMIF(ProductCodes,"H",$CH:$CH)-SUMIF(ProductCodes,"R",$CH:$CH)-SUMIF(ProductCodes,"B",$CH:$CH)-(SUMIF(ProductCodes,"C",$CH:$CH)/4))/SUMIF(ProductCodes,"S",$CH:$CH)),
IF($A22="C",(SUMIF(#REF!,CS$17,#REF!)*$CG22)/4,
IF($A22="B",(SUMIF(#REF!,CS$17,#REF!)*$CG22),
IF($A22="R",(SUMIF(#REF!,CS$17,#REF!)*$CG22),
IF($A22="H",(SUMIF(#REF!,CS$17,#REF!)*$CG22),"")))))),
IF($A22="C",(SUMIF(#REF!,CS$17,#REF!)*$CG22)*(SUMIF(ProductCodes,"C",$CI:$CI)/(SUMIF(ProductCodes,"C",$CH:$CH))),
IF($A22="S",(SUMIF(#REF!,CS$17,#REF!)*$CG22)*(SUMIF(ProductCodes,"S",$CI:$CI)/(SUMIF(ProductCodes,"S",$CH:$CH))),
IF($A22="B",(SUMIF(#REF!,CS$17,#REF!)*$CG22)*(SUMIF(ProductCodes,"B",$CI:$CI)/(SUMIF(ProductCodes,"B",$CH:$CH))),
IF($A22="R",(SUMIF(#REF!,CS$17,#REF!)*$CG22)*(SUMIF(ProductCodes,"R",$CI:$CI)/(SUMIF(ProductCodes,"R",$CH:$CH))),
IF($A22="H",(SUMIF(#REF!,CS$17,#REF!)*$CG22)*(SUMIF(ProductCodes,"H",$CI:$CI)/(SUMIF(ProductCodes,"H",$CH:$CH))),""))))))),"Error")</f>
        <v>Error</v>
      </c>
      <c r="CT22" s="194" t="str">
        <f>IFERROR(
IF(SUMIF(ProductCodes,"C",$CI:$CI)=$CI$42,(IF($A22="C",(SUMIF(#REF!,CT$17,#REF!)*$CG22)*((SUMIF(ProductCodes,"C",$CI:$CI)-SUMIF(ProductCodes,"H",$CH:$CH)-SUMIF(ProductCodes,"R",$CH:$CH)-SUMIF(ProductCodes,"B",$CH:$CH)-(SUMIF(ProductCodes,"S",$CH:$CH)/2))/SUMIF(ProductCodes,"C",$CH:$CH)),IF($A22="S",(SUMIF(#REF!,CT$17,#REF!)*$CG22)/2,
IF($A22="B",(SUMIF(#REF!,CT$17,#REF!)*$CG22),
IF($A22="R",(SUMIF(#REF!,CT$17,#REF!)*$CG22),
IF($A22="H",(SUMIF(#REF!,CT$17,#REF!)*$CG22),"")))))),
IF(SUMIF(ProductCodes,"S",$CI:$CI)=$CI$42,(IF($A22="S",(SUMIF(#REF!,CT$17,#REF!)*$CG22)*((SUMIF(ProductCodes,"S",$CI:$CI)-SUMIF(ProductCodes,"H",$CH:$CH)-SUMIF(ProductCodes,"R",$CH:$CH)-SUMIF(ProductCodes,"B",$CH:$CH)-(SUMIF(ProductCodes,"C",$CH:$CH)/4))/SUMIF(ProductCodes,"S",$CH:$CH)),
IF($A22="C",(SUMIF(#REF!,CT$17,#REF!)*$CG22)/4,
IF($A22="B",(SUMIF(#REF!,CT$17,#REF!)*$CG22),
IF($A22="R",(SUMIF(#REF!,CT$17,#REF!)*$CG22),
IF($A22="H",(SUMIF(#REF!,CT$17,#REF!)*$CG22),"")))))),
IF($A22="C",(SUMIF(#REF!,CT$17,#REF!)*$CG22)*(SUMIF(ProductCodes,"C",$CI:$CI)/(SUMIF(ProductCodes,"C",$CH:$CH))),
IF($A22="S",(SUMIF(#REF!,CT$17,#REF!)*$CG22)*(SUMIF(ProductCodes,"S",$CI:$CI)/(SUMIF(ProductCodes,"S",$CH:$CH))),
IF($A22="B",(SUMIF(#REF!,CT$17,#REF!)*$CG22)*(SUMIF(ProductCodes,"B",$CI:$CI)/(SUMIF(ProductCodes,"B",$CH:$CH))),
IF($A22="R",(SUMIF(#REF!,CT$17,#REF!)*$CG22)*(SUMIF(ProductCodes,"R",$CI:$CI)/(SUMIF(ProductCodes,"R",$CH:$CH))),
IF($A22="H",(SUMIF(#REF!,CT$17,#REF!)*$CG22)*(SUMIF(ProductCodes,"H",$CI:$CI)/(SUMIF(ProductCodes,"H",$CH:$CH))),""))))))),"Error")</f>
        <v>Error</v>
      </c>
      <c r="CU22" s="194" t="str">
        <f>IFERROR(
IF(SUMIF(ProductCodes,"C",$CI:$CI)=$CI$42,(IF($A22="C",(SUMIF(#REF!,CU$17,#REF!)*$CG22)*((SUMIF(ProductCodes,"C",$CI:$CI)-SUMIF(ProductCodes,"H",$CH:$CH)-SUMIF(ProductCodes,"R",$CH:$CH)-SUMIF(ProductCodes,"B",$CH:$CH)-(SUMIF(ProductCodes,"S",$CH:$CH)/2))/SUMIF(ProductCodes,"C",$CH:$CH)),IF($A22="S",(SUMIF(#REF!,CU$17,#REF!)*$CG22)/2,
IF($A22="B",(SUMIF(#REF!,CU$17,#REF!)*$CG22),
IF($A22="R",(SUMIF(#REF!,CU$17,#REF!)*$CG22),
IF($A22="H",(SUMIF(#REF!,CU$17,#REF!)*$CG22),"")))))),
IF(SUMIF(ProductCodes,"S",$CI:$CI)=$CI$42,(IF($A22="S",(SUMIF(#REF!,CU$17,#REF!)*$CG22)*((SUMIF(ProductCodes,"S",$CI:$CI)-SUMIF(ProductCodes,"H",$CH:$CH)-SUMIF(ProductCodes,"R",$CH:$CH)-SUMIF(ProductCodes,"B",$CH:$CH)-(SUMIF(ProductCodes,"C",$CH:$CH)/4))/SUMIF(ProductCodes,"S",$CH:$CH)),
IF($A22="C",(SUMIF(#REF!,CU$17,#REF!)*$CG22)/4,
IF($A22="B",(SUMIF(#REF!,CU$17,#REF!)*$CG22),
IF($A22="R",(SUMIF(#REF!,CU$17,#REF!)*$CG22),
IF($A22="H",(SUMIF(#REF!,CU$17,#REF!)*$CG22),"")))))),
IF($A22="C",(SUMIF(#REF!,CU$17,#REF!)*$CG22)*(SUMIF(ProductCodes,"C",$CI:$CI)/(SUMIF(ProductCodes,"C",$CH:$CH))),
IF($A22="S",(SUMIF(#REF!,CU$17,#REF!)*$CG22)*(SUMIF(ProductCodes,"S",$CI:$CI)/(SUMIF(ProductCodes,"S",$CH:$CH))),
IF($A22="B",(SUMIF(#REF!,CU$17,#REF!)*$CG22)*(SUMIF(ProductCodes,"B",$CI:$CI)/(SUMIF(ProductCodes,"B",$CH:$CH))),
IF($A22="R",(SUMIF(#REF!,CU$17,#REF!)*$CG22)*(SUMIF(ProductCodes,"R",$CI:$CI)/(SUMIF(ProductCodes,"R",$CH:$CH))),
IF($A22="H",(SUMIF(#REF!,CU$17,#REF!)*$CG22)*(SUMIF(ProductCodes,"H",$CI:$CI)/(SUMIF(ProductCodes,"H",$CH:$CH))),""))))))),"Error")</f>
        <v>Error</v>
      </c>
      <c r="CV22" s="194" t="str">
        <f>IFERROR(
IF(SUMIF(ProductCodes,"C",$CI:$CI)=$CI$42,(IF($A22="C",(SUMIF(#REF!,CV$17,#REF!)*$CG22)*((SUMIF(ProductCodes,"C",$CI:$CI)-SUMIF(ProductCodes,"H",$CH:$CH)-SUMIF(ProductCodes,"R",$CH:$CH)-SUMIF(ProductCodes,"B",$CH:$CH)-(SUMIF(ProductCodes,"S",$CH:$CH)/2))/SUMIF(ProductCodes,"C",$CH:$CH)),IF($A22="S",(SUMIF(#REF!,CV$17,#REF!)*$CG22)/2,
IF($A22="B",(SUMIF(#REF!,CV$17,#REF!)*$CG22),
IF($A22="R",(SUMIF(#REF!,CV$17,#REF!)*$CG22),
IF($A22="H",(SUMIF(#REF!,CV$17,#REF!)*$CG22),"")))))),
IF(SUMIF(ProductCodes,"S",$CI:$CI)=$CI$42,(IF($A22="S",(SUMIF(#REF!,CV$17,#REF!)*$CG22)*((SUMIF(ProductCodes,"S",$CI:$CI)-SUMIF(ProductCodes,"H",$CH:$CH)-SUMIF(ProductCodes,"R",$CH:$CH)-SUMIF(ProductCodes,"B",$CH:$CH)-(SUMIF(ProductCodes,"C",$CH:$CH)/4))/SUMIF(ProductCodes,"S",$CH:$CH)),
IF($A22="C",(SUMIF(#REF!,CV$17,#REF!)*$CG22)/4,
IF($A22="B",(SUMIF(#REF!,CV$17,#REF!)*$CG22),
IF($A22="R",(SUMIF(#REF!,CV$17,#REF!)*$CG22),
IF($A22="H",(SUMIF(#REF!,CV$17,#REF!)*$CG22),"")))))),
IF($A22="C",(SUMIF(#REF!,CV$17,#REF!)*$CG22)*(SUMIF(ProductCodes,"C",$CI:$CI)/(SUMIF(ProductCodes,"C",$CH:$CH))),
IF($A22="S",(SUMIF(#REF!,CV$17,#REF!)*$CG22)*(SUMIF(ProductCodes,"S",$CI:$CI)/(SUMIF(ProductCodes,"S",$CH:$CH))),
IF($A22="B",(SUMIF(#REF!,CV$17,#REF!)*$CG22)*(SUMIF(ProductCodes,"B",$CI:$CI)/(SUMIF(ProductCodes,"B",$CH:$CH))),
IF($A22="R",(SUMIF(#REF!,CV$17,#REF!)*$CG22)*(SUMIF(ProductCodes,"R",$CI:$CI)/(SUMIF(ProductCodes,"R",$CH:$CH))),
IF($A22="H",(SUMIF(#REF!,CV$17,#REF!)*$CG22)*(SUMIF(ProductCodes,"H",$CI:$CI)/(SUMIF(ProductCodes,"H",$CH:$CH))),""))))))),"Error")</f>
        <v>Error</v>
      </c>
      <c r="CW22" s="194" t="str">
        <f>IFERROR(
IF(SUMIF(ProductCodes,"C",$CI:$CI)=$CI$42,(IF($A22="C",(SUMIF(#REF!,CW$17,#REF!)*$CG22)*((SUMIF(ProductCodes,"C",$CI:$CI)-SUMIF(ProductCodes,"H",$CH:$CH)-SUMIF(ProductCodes,"R",$CH:$CH)-SUMIF(ProductCodes,"B",$CH:$CH)-(SUMIF(ProductCodes,"S",$CH:$CH)/2))/SUMIF(ProductCodes,"C",$CH:$CH)),IF($A22="S",(SUMIF(#REF!,CW$17,#REF!)*$CG22)/2,
IF($A22="B",(SUMIF(#REF!,CW$17,#REF!)*$CG22),
IF($A22="R",(SUMIF(#REF!,CW$17,#REF!)*$CG22),
IF($A22="H",(SUMIF(#REF!,CW$17,#REF!)*$CG22),"")))))),
IF(SUMIF(ProductCodes,"S",$CI:$CI)=$CI$42,(IF($A22="S",(SUMIF(#REF!,CW$17,#REF!)*$CG22)*((SUMIF(ProductCodes,"S",$CI:$CI)-SUMIF(ProductCodes,"H",$CH:$CH)-SUMIF(ProductCodes,"R",$CH:$CH)-SUMIF(ProductCodes,"B",$CH:$CH)-(SUMIF(ProductCodes,"C",$CH:$CH)/4))/SUMIF(ProductCodes,"S",$CH:$CH)),
IF($A22="C",(SUMIF(#REF!,CW$17,#REF!)*$CG22)/4,
IF($A22="B",(SUMIF(#REF!,CW$17,#REF!)*$CG22),
IF($A22="R",(SUMIF(#REF!,CW$17,#REF!)*$CG22),
IF($A22="H",(SUMIF(#REF!,CW$17,#REF!)*$CG22),"")))))),
IF($A22="C",(SUMIF(#REF!,CW$17,#REF!)*$CG22)*(SUMIF(ProductCodes,"C",$CI:$CI)/(SUMIF(ProductCodes,"C",$CH:$CH))),
IF($A22="S",(SUMIF(#REF!,CW$17,#REF!)*$CG22)*(SUMIF(ProductCodes,"S",$CI:$CI)/(SUMIF(ProductCodes,"S",$CH:$CH))),
IF($A22="B",(SUMIF(#REF!,CW$17,#REF!)*$CG22)*(SUMIF(ProductCodes,"B",$CI:$CI)/(SUMIF(ProductCodes,"B",$CH:$CH))),
IF($A22="R",(SUMIF(#REF!,CW$17,#REF!)*$CG22)*(SUMIF(ProductCodes,"R",$CI:$CI)/(SUMIF(ProductCodes,"R",$CH:$CH))),
IF($A22="H",(SUMIF(#REF!,CW$17,#REF!)*$CG22)*(SUMIF(ProductCodes,"H",$CI:$CI)/(SUMIF(ProductCodes,"H",$CH:$CH))),""))))))),"Error")</f>
        <v>Error</v>
      </c>
      <c r="CX22" s="194" t="str">
        <f>IFERROR(
IF(SUMIF(ProductCodes,"C",$CI:$CI)=$CI$42,(IF($A22="C",(SUMIF(#REF!,CX$17,#REF!)*$CG22)*((SUMIF(ProductCodes,"C",$CI:$CI)-SUMIF(ProductCodes,"H",$CH:$CH)-SUMIF(ProductCodes,"R",$CH:$CH)-SUMIF(ProductCodes,"B",$CH:$CH)-(SUMIF(ProductCodes,"S",$CH:$CH)/2))/SUMIF(ProductCodes,"C",$CH:$CH)),IF($A22="S",(SUMIF(#REF!,CX$17,#REF!)*$CG22)/2,
IF($A22="B",(SUMIF(#REF!,CX$17,#REF!)*$CG22),
IF($A22="R",(SUMIF(#REF!,CX$17,#REF!)*$CG22),
IF($A22="H",(SUMIF(#REF!,CX$17,#REF!)*$CG22),"")))))),
IF(SUMIF(ProductCodes,"S",$CI:$CI)=$CI$42,(IF($A22="S",(SUMIF(#REF!,CX$17,#REF!)*$CG22)*((SUMIF(ProductCodes,"S",$CI:$CI)-SUMIF(ProductCodes,"H",$CH:$CH)-SUMIF(ProductCodes,"R",$CH:$CH)-SUMIF(ProductCodes,"B",$CH:$CH)-(SUMIF(ProductCodes,"C",$CH:$CH)/4))/SUMIF(ProductCodes,"S",$CH:$CH)),
IF($A22="C",(SUMIF(#REF!,CX$17,#REF!)*$CG22)/4,
IF($A22="B",(SUMIF(#REF!,CX$17,#REF!)*$CG22),
IF($A22="R",(SUMIF(#REF!,CX$17,#REF!)*$CG22),
IF($A22="H",(SUMIF(#REF!,CX$17,#REF!)*$CG22),"")))))),
IF($A22="C",(SUMIF(#REF!,CX$17,#REF!)*$CG22)*(SUMIF(ProductCodes,"C",$CI:$CI)/(SUMIF(ProductCodes,"C",$CH:$CH))),
IF($A22="S",(SUMIF(#REF!,CX$17,#REF!)*$CG22)*(SUMIF(ProductCodes,"S",$CI:$CI)/(SUMIF(ProductCodes,"S",$CH:$CH))),
IF($A22="B",(SUMIF(#REF!,CX$17,#REF!)*$CG22)*(SUMIF(ProductCodes,"B",$CI:$CI)/(SUMIF(ProductCodes,"B",$CH:$CH))),
IF($A22="R",(SUMIF(#REF!,CX$17,#REF!)*$CG22)*(SUMIF(ProductCodes,"R",$CI:$CI)/(SUMIF(ProductCodes,"R",$CH:$CH))),
IF($A22="H",(SUMIF(#REF!,CX$17,#REF!)*$CG22)*(SUMIF(ProductCodes,"H",$CI:$CI)/(SUMIF(ProductCodes,"H",$CH:$CH))),""))))))),"Error")</f>
        <v>Error</v>
      </c>
      <c r="CY22" s="194" t="str">
        <f>IFERROR(
IF(SUMIF(ProductCodes,"C",$CI:$CI)=$CI$42,(IF($A22="C",(SUMIF(#REF!,CY$17,#REF!)*$CG22)*((SUMIF(ProductCodes,"C",$CI:$CI)-SUMIF(ProductCodes,"H",$CH:$CH)-SUMIF(ProductCodes,"R",$CH:$CH)-SUMIF(ProductCodes,"B",$CH:$CH)-(SUMIF(ProductCodes,"S",$CH:$CH)/2))/SUMIF(ProductCodes,"C",$CH:$CH)),IF($A22="S",(SUMIF(#REF!,CY$17,#REF!)*$CG22)/2,
IF($A22="B",(SUMIF(#REF!,CY$17,#REF!)*$CG22),
IF($A22="R",(SUMIF(#REF!,CY$17,#REF!)*$CG22),
IF($A22="H",(SUMIF(#REF!,CY$17,#REF!)*$CG22),"")))))),
IF(SUMIF(ProductCodes,"S",$CI:$CI)=$CI$42,(IF($A22="S",(SUMIF(#REF!,CY$17,#REF!)*$CG22)*((SUMIF(ProductCodes,"S",$CI:$CI)-SUMIF(ProductCodes,"H",$CH:$CH)-SUMIF(ProductCodes,"R",$CH:$CH)-SUMIF(ProductCodes,"B",$CH:$CH)-(SUMIF(ProductCodes,"C",$CH:$CH)/4))/SUMIF(ProductCodes,"S",$CH:$CH)),
IF($A22="C",(SUMIF(#REF!,CY$17,#REF!)*$CG22)/4,
IF($A22="B",(SUMIF(#REF!,CY$17,#REF!)*$CG22),
IF($A22="R",(SUMIF(#REF!,CY$17,#REF!)*$CG22),
IF($A22="H",(SUMIF(#REF!,CY$17,#REF!)*$CG22),"")))))),
IF($A22="C",(SUMIF(#REF!,CY$17,#REF!)*$CG22)*(SUMIF(ProductCodes,"C",$CI:$CI)/(SUMIF(ProductCodes,"C",$CH:$CH))),
IF($A22="S",(SUMIF(#REF!,CY$17,#REF!)*$CG22)*(SUMIF(ProductCodes,"S",$CI:$CI)/(SUMIF(ProductCodes,"S",$CH:$CH))),
IF($A22="B",(SUMIF(#REF!,CY$17,#REF!)*$CG22)*(SUMIF(ProductCodes,"B",$CI:$CI)/(SUMIF(ProductCodes,"B",$CH:$CH))),
IF($A22="R",(SUMIF(#REF!,CY$17,#REF!)*$CG22)*(SUMIF(ProductCodes,"R",$CI:$CI)/(SUMIF(ProductCodes,"R",$CH:$CH))),
IF($A22="H",(SUMIF(#REF!,CY$17,#REF!)*$CG22)*(SUMIF(ProductCodes,"H",$CI:$CI)/(SUMIF(ProductCodes,"H",$CH:$CH))),""))))))),"Error")</f>
        <v>Error</v>
      </c>
      <c r="CZ22" s="194" t="str">
        <f>IFERROR(
IF(SUMIF(ProductCodes,"C",$CI:$CI)=$CI$42,(IF($A22="C",(SUMIF(#REF!,CZ$17,#REF!)*$CG22)*((SUMIF(ProductCodes,"C",$CI:$CI)-SUMIF(ProductCodes,"H",$CH:$CH)-SUMIF(ProductCodes,"R",$CH:$CH)-SUMIF(ProductCodes,"B",$CH:$CH)-(SUMIF(ProductCodes,"S",$CH:$CH)/2))/SUMIF(ProductCodes,"C",$CH:$CH)),IF($A22="S",(SUMIF(#REF!,CZ$17,#REF!)*$CG22)/2,
IF($A22="B",(SUMIF(#REF!,CZ$17,#REF!)*$CG22),
IF($A22="R",(SUMIF(#REF!,CZ$17,#REF!)*$CG22),
IF($A22="H",(SUMIF(#REF!,CZ$17,#REF!)*$CG22),"")))))),
IF(SUMIF(ProductCodes,"S",$CI:$CI)=$CI$42,(IF($A22="S",(SUMIF(#REF!,CZ$17,#REF!)*$CG22)*((SUMIF(ProductCodes,"S",$CI:$CI)-SUMIF(ProductCodes,"H",$CH:$CH)-SUMIF(ProductCodes,"R",$CH:$CH)-SUMIF(ProductCodes,"B",$CH:$CH)-(SUMIF(ProductCodes,"C",$CH:$CH)/4))/SUMIF(ProductCodes,"S",$CH:$CH)),
IF($A22="C",(SUMIF(#REF!,CZ$17,#REF!)*$CG22)/4,
IF($A22="B",(SUMIF(#REF!,CZ$17,#REF!)*$CG22),
IF($A22="R",(SUMIF(#REF!,CZ$17,#REF!)*$CG22),
IF($A22="H",(SUMIF(#REF!,CZ$17,#REF!)*$CG22),"")))))),
IF($A22="C",(SUMIF(#REF!,CZ$17,#REF!)*$CG22)*(SUMIF(ProductCodes,"C",$CI:$CI)/(SUMIF(ProductCodes,"C",$CH:$CH))),
IF($A22="S",(SUMIF(#REF!,CZ$17,#REF!)*$CG22)*(SUMIF(ProductCodes,"S",$CI:$CI)/(SUMIF(ProductCodes,"S",$CH:$CH))),
IF($A22="B",(SUMIF(#REF!,CZ$17,#REF!)*$CG22)*(SUMIF(ProductCodes,"B",$CI:$CI)/(SUMIF(ProductCodes,"B",$CH:$CH))),
IF($A22="R",(SUMIF(#REF!,CZ$17,#REF!)*$CG22)*(SUMIF(ProductCodes,"R",$CI:$CI)/(SUMIF(ProductCodes,"R",$CH:$CH))),
IF($A22="H",(SUMIF(#REF!,CZ$17,#REF!)*$CG22)*(SUMIF(ProductCodes,"H",$CI:$CI)/(SUMIF(ProductCodes,"H",$CH:$CH))),""))))))),"Error")</f>
        <v>Error</v>
      </c>
      <c r="DA22" s="194" t="str">
        <f>IFERROR(
IF(SUMIF(ProductCodes,"C",$CI:$CI)=$CI$42,(IF($A22="C",(SUMIF(#REF!,DA$17,#REF!)*$CG22)*((SUMIF(ProductCodes,"C",$CI:$CI)-SUMIF(ProductCodes,"H",$CH:$CH)-SUMIF(ProductCodes,"R",$CH:$CH)-SUMIF(ProductCodes,"B",$CH:$CH)-(SUMIF(ProductCodes,"S",$CH:$CH)/2))/SUMIF(ProductCodes,"C",$CH:$CH)),IF($A22="S",(SUMIF(#REF!,DA$17,#REF!)*$CG22)/2,
IF($A22="B",(SUMIF(#REF!,DA$17,#REF!)*$CG22),
IF($A22="R",(SUMIF(#REF!,DA$17,#REF!)*$CG22),
IF($A22="H",(SUMIF(#REF!,DA$17,#REF!)*$CG22),"")))))),
IF(SUMIF(ProductCodes,"S",$CI:$CI)=$CI$42,(IF($A22="S",(SUMIF(#REF!,DA$17,#REF!)*$CG22)*((SUMIF(ProductCodes,"S",$CI:$CI)-SUMIF(ProductCodes,"H",$CH:$CH)-SUMIF(ProductCodes,"R",$CH:$CH)-SUMIF(ProductCodes,"B",$CH:$CH)-(SUMIF(ProductCodes,"C",$CH:$CH)/4))/SUMIF(ProductCodes,"S",$CH:$CH)),
IF($A22="C",(SUMIF(#REF!,DA$17,#REF!)*$CG22)/4,
IF($A22="B",(SUMIF(#REF!,DA$17,#REF!)*$CG22),
IF($A22="R",(SUMIF(#REF!,DA$17,#REF!)*$CG22),
IF($A22="H",(SUMIF(#REF!,DA$17,#REF!)*$CG22),"")))))),
IF($A22="C",(SUMIF(#REF!,DA$17,#REF!)*$CG22)*(SUMIF(ProductCodes,"C",$CI:$CI)/(SUMIF(ProductCodes,"C",$CH:$CH))),
IF($A22="S",(SUMIF(#REF!,DA$17,#REF!)*$CG22)*(SUMIF(ProductCodes,"S",$CI:$CI)/(SUMIF(ProductCodes,"S",$CH:$CH))),
IF($A22="B",(SUMIF(#REF!,DA$17,#REF!)*$CG22)*(SUMIF(ProductCodes,"B",$CI:$CI)/(SUMIF(ProductCodes,"B",$CH:$CH))),
IF($A22="R",(SUMIF(#REF!,DA$17,#REF!)*$CG22)*(SUMIF(ProductCodes,"R",$CI:$CI)/(SUMIF(ProductCodes,"R",$CH:$CH))),
IF($A22="H",(SUMIF(#REF!,DA$17,#REF!)*$CG22)*(SUMIF(ProductCodes,"H",$CI:$CI)/(SUMIF(ProductCodes,"H",$CH:$CH))),""))))))),"Error")</f>
        <v>Error</v>
      </c>
      <c r="DB22" s="194" t="str">
        <f>IFERROR(
IF(SUMIF(ProductCodes,"C",$CI:$CI)=$CI$42,(IF($A22="C",(SUMIF(#REF!,DB$17,#REF!)*$CG22)*((SUMIF(ProductCodes,"C",$CI:$CI)-SUMIF(ProductCodes,"H",$CH:$CH)-SUMIF(ProductCodes,"R",$CH:$CH)-SUMIF(ProductCodes,"B",$CH:$CH)-(SUMIF(ProductCodes,"S",$CH:$CH)/2))/SUMIF(ProductCodes,"C",$CH:$CH)),IF($A22="S",(SUMIF(#REF!,DB$17,#REF!)*$CG22)/2,
IF($A22="B",(SUMIF(#REF!,DB$17,#REF!)*$CG22),
IF($A22="R",(SUMIF(#REF!,DB$17,#REF!)*$CG22),
IF($A22="H",(SUMIF(#REF!,DB$17,#REF!)*$CG22),"")))))),
IF(SUMIF(ProductCodes,"S",$CI:$CI)=$CI$42,(IF($A22="S",(SUMIF(#REF!,DB$17,#REF!)*$CG22)*((SUMIF(ProductCodes,"S",$CI:$CI)-SUMIF(ProductCodes,"H",$CH:$CH)-SUMIF(ProductCodes,"R",$CH:$CH)-SUMIF(ProductCodes,"B",$CH:$CH)-(SUMIF(ProductCodes,"C",$CH:$CH)/4))/SUMIF(ProductCodes,"S",$CH:$CH)),
IF($A22="C",(SUMIF(#REF!,DB$17,#REF!)*$CG22)/4,
IF($A22="B",(SUMIF(#REF!,DB$17,#REF!)*$CG22),
IF($A22="R",(SUMIF(#REF!,DB$17,#REF!)*$CG22),
IF($A22="H",(SUMIF(#REF!,DB$17,#REF!)*$CG22),"")))))),
IF($A22="C",(SUMIF(#REF!,DB$17,#REF!)*$CG22)*(SUMIF(ProductCodes,"C",$CI:$CI)/(SUMIF(ProductCodes,"C",$CH:$CH))),
IF($A22="S",(SUMIF(#REF!,DB$17,#REF!)*$CG22)*(SUMIF(ProductCodes,"S",$CI:$CI)/(SUMIF(ProductCodes,"S",$CH:$CH))),
IF($A22="B",(SUMIF(#REF!,DB$17,#REF!)*$CG22)*(SUMIF(ProductCodes,"B",$CI:$CI)/(SUMIF(ProductCodes,"B",$CH:$CH))),
IF($A22="R",(SUMIF(#REF!,DB$17,#REF!)*$CG22)*(SUMIF(ProductCodes,"R",$CI:$CI)/(SUMIF(ProductCodes,"R",$CH:$CH))),
IF($A22="H",(SUMIF(#REF!,DB$17,#REF!)*$CG22)*(SUMIF(ProductCodes,"H",$CI:$CI)/(SUMIF(ProductCodes,"H",$CH:$CH))),""))))))),"Error")</f>
        <v>Error</v>
      </c>
      <c r="DC22" s="194" t="str">
        <f>IFERROR(
IF(SUMIF(ProductCodes,"C",$CI:$CI)=$CI$42,(IF($A22="C",(SUMIF(#REF!,DC$17,#REF!)*$CG22)*((SUMIF(ProductCodes,"C",$CI:$CI)-SUMIF(ProductCodes,"H",$CH:$CH)-SUMIF(ProductCodes,"R",$CH:$CH)-SUMIF(ProductCodes,"B",$CH:$CH)-(SUMIF(ProductCodes,"S",$CH:$CH)/2))/SUMIF(ProductCodes,"C",$CH:$CH)),IF($A22="S",(SUMIF(#REF!,DC$17,#REF!)*$CG22)/2,
IF($A22="B",(SUMIF(#REF!,DC$17,#REF!)*$CG22),
IF($A22="R",(SUMIF(#REF!,DC$17,#REF!)*$CG22),
IF($A22="H",(SUMIF(#REF!,DC$17,#REF!)*$CG22),"")))))),
IF(SUMIF(ProductCodes,"S",$CI:$CI)=$CI$42,(IF($A22="S",(SUMIF(#REF!,DC$17,#REF!)*$CG22)*((SUMIF(ProductCodes,"S",$CI:$CI)-SUMIF(ProductCodes,"H",$CH:$CH)-SUMIF(ProductCodes,"R",$CH:$CH)-SUMIF(ProductCodes,"B",$CH:$CH)-(SUMIF(ProductCodes,"C",$CH:$CH)/4))/SUMIF(ProductCodes,"S",$CH:$CH)),
IF($A22="C",(SUMIF(#REF!,DC$17,#REF!)*$CG22)/4,
IF($A22="B",(SUMIF(#REF!,DC$17,#REF!)*$CG22),
IF($A22="R",(SUMIF(#REF!,DC$17,#REF!)*$CG22),
IF($A22="H",(SUMIF(#REF!,DC$17,#REF!)*$CG22),"")))))),
IF($A22="C",(SUMIF(#REF!,DC$17,#REF!)*$CG22)*(SUMIF(ProductCodes,"C",$CI:$CI)/(SUMIF(ProductCodes,"C",$CH:$CH))),
IF($A22="S",(SUMIF(#REF!,DC$17,#REF!)*$CG22)*(SUMIF(ProductCodes,"S",$CI:$CI)/(SUMIF(ProductCodes,"S",$CH:$CH))),
IF($A22="B",(SUMIF(#REF!,DC$17,#REF!)*$CG22)*(SUMIF(ProductCodes,"B",$CI:$CI)/(SUMIF(ProductCodes,"B",$CH:$CH))),
IF($A22="R",(SUMIF(#REF!,DC$17,#REF!)*$CG22)*(SUMIF(ProductCodes,"R",$CI:$CI)/(SUMIF(ProductCodes,"R",$CH:$CH))),
IF($A22="H",(SUMIF(#REF!,DC$17,#REF!)*$CG22)*(SUMIF(ProductCodes,"H",$CI:$CI)/(SUMIF(ProductCodes,"H",$CH:$CH))),""))))))),"Error")</f>
        <v>Error</v>
      </c>
      <c r="DD22" s="194" t="str">
        <f>IFERROR(
IF(SUMIF(ProductCodes,"C",$CI:$CI)=$CI$42,(IF($A22="C",(SUMIF(#REF!,DD$17,#REF!)*$CG22)*((SUMIF(ProductCodes,"C",$CI:$CI)-SUMIF(ProductCodes,"H",$CH:$CH)-SUMIF(ProductCodes,"R",$CH:$CH)-SUMIF(ProductCodes,"B",$CH:$CH)-(SUMIF(ProductCodes,"S",$CH:$CH)/2))/SUMIF(ProductCodes,"C",$CH:$CH)),IF($A22="S",(SUMIF(#REF!,DD$17,#REF!)*$CG22)/2,
IF($A22="B",(SUMIF(#REF!,DD$17,#REF!)*$CG22),
IF($A22="R",(SUMIF(#REF!,DD$17,#REF!)*$CG22),
IF($A22="H",(SUMIF(#REF!,DD$17,#REF!)*$CG22),"")))))),
IF(SUMIF(ProductCodes,"S",$CI:$CI)=$CI$42,(IF($A22="S",(SUMIF(#REF!,DD$17,#REF!)*$CG22)*((SUMIF(ProductCodes,"S",$CI:$CI)-SUMIF(ProductCodes,"H",$CH:$CH)-SUMIF(ProductCodes,"R",$CH:$CH)-SUMIF(ProductCodes,"B",$CH:$CH)-(SUMIF(ProductCodes,"C",$CH:$CH)/4))/SUMIF(ProductCodes,"S",$CH:$CH)),
IF($A22="C",(SUMIF(#REF!,DD$17,#REF!)*$CG22)/4,
IF($A22="B",(SUMIF(#REF!,DD$17,#REF!)*$CG22),
IF($A22="R",(SUMIF(#REF!,DD$17,#REF!)*$CG22),
IF($A22="H",(SUMIF(#REF!,DD$17,#REF!)*$CG22),"")))))),
IF($A22="C",(SUMIF(#REF!,DD$17,#REF!)*$CG22)*(SUMIF(ProductCodes,"C",$CI:$CI)/(SUMIF(ProductCodes,"C",$CH:$CH))),
IF($A22="S",(SUMIF(#REF!,DD$17,#REF!)*$CG22)*(SUMIF(ProductCodes,"S",$CI:$CI)/(SUMIF(ProductCodes,"S",$CH:$CH))),
IF($A22="B",(SUMIF(#REF!,DD$17,#REF!)*$CG22)*(SUMIF(ProductCodes,"B",$CI:$CI)/(SUMIF(ProductCodes,"B",$CH:$CH))),
IF($A22="R",(SUMIF(#REF!,DD$17,#REF!)*$CG22)*(SUMIF(ProductCodes,"R",$CI:$CI)/(SUMIF(ProductCodes,"R",$CH:$CH))),
IF($A22="H",(SUMIF(#REF!,DD$17,#REF!)*$CG22)*(SUMIF(ProductCodes,"H",$CI:$CI)/(SUMIF(ProductCodes,"H",$CH:$CH))),""))))))),"Error")</f>
        <v>Error</v>
      </c>
      <c r="DE22" s="194" t="str">
        <f>IFERROR(
IF(SUMIF(ProductCodes,"C",$CI:$CI)=$CI$42,(IF($A22="C",(SUMIF(#REF!,DE$17,#REF!)*$CG22)*((SUMIF(ProductCodes,"C",$CI:$CI)-SUMIF(ProductCodes,"H",$CH:$CH)-SUMIF(ProductCodes,"R",$CH:$CH)-SUMIF(ProductCodes,"B",$CH:$CH)-(SUMIF(ProductCodes,"S",$CH:$CH)/2))/SUMIF(ProductCodes,"C",$CH:$CH)),IF($A22="S",(SUMIF(#REF!,DE$17,#REF!)*$CG22)/2,
IF($A22="B",(SUMIF(#REF!,DE$17,#REF!)*$CG22),
IF($A22="R",(SUMIF(#REF!,DE$17,#REF!)*$CG22),
IF($A22="H",(SUMIF(#REF!,DE$17,#REF!)*$CG22),"")))))),
IF(SUMIF(ProductCodes,"S",$CI:$CI)=$CI$42,(IF($A22="S",(SUMIF(#REF!,DE$17,#REF!)*$CG22)*((SUMIF(ProductCodes,"S",$CI:$CI)-SUMIF(ProductCodes,"H",$CH:$CH)-SUMIF(ProductCodes,"R",$CH:$CH)-SUMIF(ProductCodes,"B",$CH:$CH)-(SUMIF(ProductCodes,"C",$CH:$CH)/4))/SUMIF(ProductCodes,"S",$CH:$CH)),
IF($A22="C",(SUMIF(#REF!,DE$17,#REF!)*$CG22)/4,
IF($A22="B",(SUMIF(#REF!,DE$17,#REF!)*$CG22),
IF($A22="R",(SUMIF(#REF!,DE$17,#REF!)*$CG22),
IF($A22="H",(SUMIF(#REF!,DE$17,#REF!)*$CG22),"")))))),
IF($A22="C",(SUMIF(#REF!,DE$17,#REF!)*$CG22)*(SUMIF(ProductCodes,"C",$CI:$CI)/(SUMIF(ProductCodes,"C",$CH:$CH))),
IF($A22="S",(SUMIF(#REF!,DE$17,#REF!)*$CG22)*(SUMIF(ProductCodes,"S",$CI:$CI)/(SUMIF(ProductCodes,"S",$CH:$CH))),
IF($A22="B",(SUMIF(#REF!,DE$17,#REF!)*$CG22)*(SUMIF(ProductCodes,"B",$CI:$CI)/(SUMIF(ProductCodes,"B",$CH:$CH))),
IF($A22="R",(SUMIF(#REF!,DE$17,#REF!)*$CG22)*(SUMIF(ProductCodes,"R",$CI:$CI)/(SUMIF(ProductCodes,"R",$CH:$CH))),
IF($A22="H",(SUMIF(#REF!,DE$17,#REF!)*$CG22)*(SUMIF(ProductCodes,"H",$CI:$CI)/(SUMIF(ProductCodes,"H",$CH:$CH))),""))))))),"Error")</f>
        <v>Error</v>
      </c>
      <c r="DF22" s="194" t="str">
        <f>IFERROR(
IF(SUMIF(ProductCodes,"C",$CI:$CI)=$CI$42,(IF($A22="C",(SUMIF(#REF!,DF$17,#REF!)*$CG22)*((SUMIF(ProductCodes,"C",$CI:$CI)-SUMIF(ProductCodes,"H",$CH:$CH)-SUMIF(ProductCodes,"R",$CH:$CH)-SUMIF(ProductCodes,"B",$CH:$CH)-(SUMIF(ProductCodes,"S",$CH:$CH)/2))/SUMIF(ProductCodes,"C",$CH:$CH)),IF($A22="S",(SUMIF(#REF!,DF$17,#REF!)*$CG22)/2,
IF($A22="B",(SUMIF(#REF!,DF$17,#REF!)*$CG22),
IF($A22="R",(SUMIF(#REF!,DF$17,#REF!)*$CG22),
IF($A22="H",(SUMIF(#REF!,DF$17,#REF!)*$CG22),"")))))),
IF(SUMIF(ProductCodes,"S",$CI:$CI)=$CI$42,(IF($A22="S",(SUMIF(#REF!,DF$17,#REF!)*$CG22)*((SUMIF(ProductCodes,"S",$CI:$CI)-SUMIF(ProductCodes,"H",$CH:$CH)-SUMIF(ProductCodes,"R",$CH:$CH)-SUMIF(ProductCodes,"B",$CH:$CH)-(SUMIF(ProductCodes,"C",$CH:$CH)/4))/SUMIF(ProductCodes,"S",$CH:$CH)),
IF($A22="C",(SUMIF(#REF!,DF$17,#REF!)*$CG22)/4,
IF($A22="B",(SUMIF(#REF!,DF$17,#REF!)*$CG22),
IF($A22="R",(SUMIF(#REF!,DF$17,#REF!)*$CG22),
IF($A22="H",(SUMIF(#REF!,DF$17,#REF!)*$CG22),"")))))),
IF($A22="C",(SUMIF(#REF!,DF$17,#REF!)*$CG22)*(SUMIF(ProductCodes,"C",$CI:$CI)/(SUMIF(ProductCodes,"C",$CH:$CH))),
IF($A22="S",(SUMIF(#REF!,DF$17,#REF!)*$CG22)*(SUMIF(ProductCodes,"S",$CI:$CI)/(SUMIF(ProductCodes,"S",$CH:$CH))),
IF($A22="B",(SUMIF(#REF!,DF$17,#REF!)*$CG22)*(SUMIF(ProductCodes,"B",$CI:$CI)/(SUMIF(ProductCodes,"B",$CH:$CH))),
IF($A22="R",(SUMIF(#REF!,DF$17,#REF!)*$CG22)*(SUMIF(ProductCodes,"R",$CI:$CI)/(SUMIF(ProductCodes,"R",$CH:$CH))),
IF($A22="H",(SUMIF(#REF!,DF$17,#REF!)*$CG22)*(SUMIF(ProductCodes,"H",$CI:$CI)/(SUMIF(ProductCodes,"H",$CH:$CH))),""))))))),"Error")</f>
        <v>Error</v>
      </c>
      <c r="DG22" s="194" t="str">
        <f>IFERROR(
IF(SUMIF(ProductCodes,"C",$CI:$CI)=$CI$42,(IF($A22="C",(SUMIF(#REF!,DG$17,#REF!)*$CG22)*((SUMIF(ProductCodes,"C",$CI:$CI)-SUMIF(ProductCodes,"H",$CH:$CH)-SUMIF(ProductCodes,"R",$CH:$CH)-SUMIF(ProductCodes,"B",$CH:$CH)-(SUMIF(ProductCodes,"S",$CH:$CH)/2))/SUMIF(ProductCodes,"C",$CH:$CH)),IF($A22="S",(SUMIF(#REF!,DG$17,#REF!)*$CG22)/2,
IF($A22="B",(SUMIF(#REF!,DG$17,#REF!)*$CG22),
IF($A22="R",(SUMIF(#REF!,DG$17,#REF!)*$CG22),
IF($A22="H",(SUMIF(#REF!,DG$17,#REF!)*$CG22),"")))))),
IF(SUMIF(ProductCodes,"S",$CI:$CI)=$CI$42,(IF($A22="S",(SUMIF(#REF!,DG$17,#REF!)*$CG22)*((SUMIF(ProductCodes,"S",$CI:$CI)-SUMIF(ProductCodes,"H",$CH:$CH)-SUMIF(ProductCodes,"R",$CH:$CH)-SUMIF(ProductCodes,"B",$CH:$CH)-(SUMIF(ProductCodes,"C",$CH:$CH)/4))/SUMIF(ProductCodes,"S",$CH:$CH)),
IF($A22="C",(SUMIF(#REF!,DG$17,#REF!)*$CG22)/4,
IF($A22="B",(SUMIF(#REF!,DG$17,#REF!)*$CG22),
IF($A22="R",(SUMIF(#REF!,DG$17,#REF!)*$CG22),
IF($A22="H",(SUMIF(#REF!,DG$17,#REF!)*$CG22),"")))))),
IF($A22="C",(SUMIF(#REF!,DG$17,#REF!)*$CG22)*(SUMIF(ProductCodes,"C",$CI:$CI)/(SUMIF(ProductCodes,"C",$CH:$CH))),
IF($A22="S",(SUMIF(#REF!,DG$17,#REF!)*$CG22)*(SUMIF(ProductCodes,"S",$CI:$CI)/(SUMIF(ProductCodes,"S",$CH:$CH))),
IF($A22="B",(SUMIF(#REF!,DG$17,#REF!)*$CG22)*(SUMIF(ProductCodes,"B",$CI:$CI)/(SUMIF(ProductCodes,"B",$CH:$CH))),
IF($A22="R",(SUMIF(#REF!,DG$17,#REF!)*$CG22)*(SUMIF(ProductCodes,"R",$CI:$CI)/(SUMIF(ProductCodes,"R",$CH:$CH))),
IF($A22="H",(SUMIF(#REF!,DG$17,#REF!)*$CG22)*(SUMIF(ProductCodes,"H",$CI:$CI)/(SUMIF(ProductCodes,"H",$CH:$CH))),""))))))),"Error")</f>
        <v>Error</v>
      </c>
      <c r="DH22" s="194" t="str">
        <f>IFERROR(
IF(SUMIF(ProductCodes,"C",$CI:$CI)=$CI$42,(IF($A22="C",(SUMIF(#REF!,DH$17,#REF!)*$CG22)*((SUMIF(ProductCodes,"C",$CI:$CI)-SUMIF(ProductCodes,"H",$CH:$CH)-SUMIF(ProductCodes,"R",$CH:$CH)-SUMIF(ProductCodes,"B",$CH:$CH)-(SUMIF(ProductCodes,"S",$CH:$CH)/2))/SUMIF(ProductCodes,"C",$CH:$CH)),IF($A22="S",(SUMIF(#REF!,DH$17,#REF!)*$CG22)/2,
IF($A22="B",(SUMIF(#REF!,DH$17,#REF!)*$CG22),
IF($A22="R",(SUMIF(#REF!,DH$17,#REF!)*$CG22),
IF($A22="H",(SUMIF(#REF!,DH$17,#REF!)*$CG22),"")))))),
IF(SUMIF(ProductCodes,"S",$CI:$CI)=$CI$42,(IF($A22="S",(SUMIF(#REF!,DH$17,#REF!)*$CG22)*((SUMIF(ProductCodes,"S",$CI:$CI)-SUMIF(ProductCodes,"H",$CH:$CH)-SUMIF(ProductCodes,"R",$CH:$CH)-SUMIF(ProductCodes,"B",$CH:$CH)-(SUMIF(ProductCodes,"C",$CH:$CH)/4))/SUMIF(ProductCodes,"S",$CH:$CH)),
IF($A22="C",(SUMIF(#REF!,DH$17,#REF!)*$CG22)/4,
IF($A22="B",(SUMIF(#REF!,DH$17,#REF!)*$CG22),
IF($A22="R",(SUMIF(#REF!,DH$17,#REF!)*$CG22),
IF($A22="H",(SUMIF(#REF!,DH$17,#REF!)*$CG22),"")))))),
IF($A22="C",(SUMIF(#REF!,DH$17,#REF!)*$CG22)*(SUMIF(ProductCodes,"C",$CI:$CI)/(SUMIF(ProductCodes,"C",$CH:$CH))),
IF($A22="S",(SUMIF(#REF!,DH$17,#REF!)*$CG22)*(SUMIF(ProductCodes,"S",$CI:$CI)/(SUMIF(ProductCodes,"S",$CH:$CH))),
IF($A22="B",(SUMIF(#REF!,DH$17,#REF!)*$CG22)*(SUMIF(ProductCodes,"B",$CI:$CI)/(SUMIF(ProductCodes,"B",$CH:$CH))),
IF($A22="R",(SUMIF(#REF!,DH$17,#REF!)*$CG22)*(SUMIF(ProductCodes,"R",$CI:$CI)/(SUMIF(ProductCodes,"R",$CH:$CH))),
IF($A22="H",(SUMIF(#REF!,DH$17,#REF!)*$CG22)*(SUMIF(ProductCodes,"H",$CI:$CI)/(SUMIF(ProductCodes,"H",$CH:$CH))),""))))))),"Error")</f>
        <v>Error</v>
      </c>
      <c r="DI22" s="194" t="str">
        <f>IFERROR(
IF(SUMIF(ProductCodes,"C",$CI:$CI)=$CI$42,(IF($A22="C",(SUMIF(#REF!,DI$17,#REF!)*$CG22)*((SUMIF(ProductCodes,"C",$CI:$CI)-SUMIF(ProductCodes,"H",$CH:$CH)-SUMIF(ProductCodes,"R",$CH:$CH)-SUMIF(ProductCodes,"B",$CH:$CH)-(SUMIF(ProductCodes,"S",$CH:$CH)/2))/SUMIF(ProductCodes,"C",$CH:$CH)),IF($A22="S",(SUMIF(#REF!,DI$17,#REF!)*$CG22)/2,
IF($A22="B",(SUMIF(#REF!,DI$17,#REF!)*$CG22),
IF($A22="R",(SUMIF(#REF!,DI$17,#REF!)*$CG22),
IF($A22="H",(SUMIF(#REF!,DI$17,#REF!)*$CG22),"")))))),
IF(SUMIF(ProductCodes,"S",$CI:$CI)=$CI$42,(IF($A22="S",(SUMIF(#REF!,DI$17,#REF!)*$CG22)*((SUMIF(ProductCodes,"S",$CI:$CI)-SUMIF(ProductCodes,"H",$CH:$CH)-SUMIF(ProductCodes,"R",$CH:$CH)-SUMIF(ProductCodes,"B",$CH:$CH)-(SUMIF(ProductCodes,"C",$CH:$CH)/4))/SUMIF(ProductCodes,"S",$CH:$CH)),
IF($A22="C",(SUMIF(#REF!,DI$17,#REF!)*$CG22)/4,
IF($A22="B",(SUMIF(#REF!,DI$17,#REF!)*$CG22),
IF($A22="R",(SUMIF(#REF!,DI$17,#REF!)*$CG22),
IF($A22="H",(SUMIF(#REF!,DI$17,#REF!)*$CG22),"")))))),
IF($A22="C",(SUMIF(#REF!,DI$17,#REF!)*$CG22)*(SUMIF(ProductCodes,"C",$CI:$CI)/(SUMIF(ProductCodes,"C",$CH:$CH))),
IF($A22="S",(SUMIF(#REF!,DI$17,#REF!)*$CG22)*(SUMIF(ProductCodes,"S",$CI:$CI)/(SUMIF(ProductCodes,"S",$CH:$CH))),
IF($A22="B",(SUMIF(#REF!,DI$17,#REF!)*$CG22)*(SUMIF(ProductCodes,"B",$CI:$CI)/(SUMIF(ProductCodes,"B",$CH:$CH))),
IF($A22="R",(SUMIF(#REF!,DI$17,#REF!)*$CG22)*(SUMIF(ProductCodes,"R",$CI:$CI)/(SUMIF(ProductCodes,"R",$CH:$CH))),
IF($A22="H",(SUMIF(#REF!,DI$17,#REF!)*$CG22)*(SUMIF(ProductCodes,"H",$CI:$CI)/(SUMIF(ProductCodes,"H",$CH:$CH))),""))))))),"Error")</f>
        <v>Error</v>
      </c>
      <c r="DJ22" s="194" t="str">
        <f>IFERROR(
IF(SUMIF(ProductCodes,"C",$CI:$CI)=$CI$42,(IF($A22="C",(SUMIF(#REF!,DJ$17,#REF!)*$CG22)*((SUMIF(ProductCodes,"C",$CI:$CI)-SUMIF(ProductCodes,"H",$CH:$CH)-SUMIF(ProductCodes,"R",$CH:$CH)-SUMIF(ProductCodes,"B",$CH:$CH)-(SUMIF(ProductCodes,"S",$CH:$CH)/2))/SUMIF(ProductCodes,"C",$CH:$CH)),IF($A22="S",(SUMIF(#REF!,DJ$17,#REF!)*$CG22)/2,
IF($A22="B",(SUMIF(#REF!,DJ$17,#REF!)*$CG22),
IF($A22="R",(SUMIF(#REF!,DJ$17,#REF!)*$CG22),
IF($A22="H",(SUMIF(#REF!,DJ$17,#REF!)*$CG22),"")))))),
IF(SUMIF(ProductCodes,"S",$CI:$CI)=$CI$42,(IF($A22="S",(SUMIF(#REF!,DJ$17,#REF!)*$CG22)*((SUMIF(ProductCodes,"S",$CI:$CI)-SUMIF(ProductCodes,"H",$CH:$CH)-SUMIF(ProductCodes,"R",$CH:$CH)-SUMIF(ProductCodes,"B",$CH:$CH)-(SUMIF(ProductCodes,"C",$CH:$CH)/4))/SUMIF(ProductCodes,"S",$CH:$CH)),
IF($A22="C",(SUMIF(#REF!,DJ$17,#REF!)*$CG22)/4,
IF($A22="B",(SUMIF(#REF!,DJ$17,#REF!)*$CG22),
IF($A22="R",(SUMIF(#REF!,DJ$17,#REF!)*$CG22),
IF($A22="H",(SUMIF(#REF!,DJ$17,#REF!)*$CG22),"")))))),
IF($A22="C",(SUMIF(#REF!,DJ$17,#REF!)*$CG22)*(SUMIF(ProductCodes,"C",$CI:$CI)/(SUMIF(ProductCodes,"C",$CH:$CH))),
IF($A22="S",(SUMIF(#REF!,DJ$17,#REF!)*$CG22)*(SUMIF(ProductCodes,"S",$CI:$CI)/(SUMIF(ProductCodes,"S",$CH:$CH))),
IF($A22="B",(SUMIF(#REF!,DJ$17,#REF!)*$CG22)*(SUMIF(ProductCodes,"B",$CI:$CI)/(SUMIF(ProductCodes,"B",$CH:$CH))),
IF($A22="R",(SUMIF(#REF!,DJ$17,#REF!)*$CG22)*(SUMIF(ProductCodes,"R",$CI:$CI)/(SUMIF(ProductCodes,"R",$CH:$CH))),
IF($A22="H",(SUMIF(#REF!,DJ$17,#REF!)*$CG22)*(SUMIF(ProductCodes,"H",$CI:$CI)/(SUMIF(ProductCodes,"H",$CH:$CH))),""))))))),"Error")</f>
        <v>Error</v>
      </c>
      <c r="DK22" s="194" t="str">
        <f>IFERROR(
IF(SUMIF(ProductCodes,"C",$CI:$CI)=$CI$42,(IF($A22="C",(SUMIF(#REF!,DK$17,#REF!)*$CG22)*((SUMIF(ProductCodes,"C",$CI:$CI)-SUMIF(ProductCodes,"H",$CH:$CH)-SUMIF(ProductCodes,"R",$CH:$CH)-SUMIF(ProductCodes,"B",$CH:$CH)-(SUMIF(ProductCodes,"S",$CH:$CH)/2))/SUMIF(ProductCodes,"C",$CH:$CH)),IF($A22="S",(SUMIF(#REF!,DK$17,#REF!)*$CG22)/2,
IF($A22="B",(SUMIF(#REF!,DK$17,#REF!)*$CG22),
IF($A22="R",(SUMIF(#REF!,DK$17,#REF!)*$CG22),
IF($A22="H",(SUMIF(#REF!,DK$17,#REF!)*$CG22),"")))))),
IF(SUMIF(ProductCodes,"S",$CI:$CI)=$CI$42,(IF($A22="S",(SUMIF(#REF!,DK$17,#REF!)*$CG22)*((SUMIF(ProductCodes,"S",$CI:$CI)-SUMIF(ProductCodes,"H",$CH:$CH)-SUMIF(ProductCodes,"R",$CH:$CH)-SUMIF(ProductCodes,"B",$CH:$CH)-(SUMIF(ProductCodes,"C",$CH:$CH)/4))/SUMIF(ProductCodes,"S",$CH:$CH)),
IF($A22="C",(SUMIF(#REF!,DK$17,#REF!)*$CG22)/4,
IF($A22="B",(SUMIF(#REF!,DK$17,#REF!)*$CG22),
IF($A22="R",(SUMIF(#REF!,DK$17,#REF!)*$CG22),
IF($A22="H",(SUMIF(#REF!,DK$17,#REF!)*$CG22),"")))))),
IF($A22="C",(SUMIF(#REF!,DK$17,#REF!)*$CG22)*(SUMIF(ProductCodes,"C",$CI:$CI)/(SUMIF(ProductCodes,"C",$CH:$CH))),
IF($A22="S",(SUMIF(#REF!,DK$17,#REF!)*$CG22)*(SUMIF(ProductCodes,"S",$CI:$CI)/(SUMIF(ProductCodes,"S",$CH:$CH))),
IF($A22="B",(SUMIF(#REF!,DK$17,#REF!)*$CG22)*(SUMIF(ProductCodes,"B",$CI:$CI)/(SUMIF(ProductCodes,"B",$CH:$CH))),
IF($A22="R",(SUMIF(#REF!,DK$17,#REF!)*$CG22)*(SUMIF(ProductCodes,"R",$CI:$CI)/(SUMIF(ProductCodes,"R",$CH:$CH))),
IF($A22="H",(SUMIF(#REF!,DK$17,#REF!)*$CG22)*(SUMIF(ProductCodes,"H",$CI:$CI)/(SUMIF(ProductCodes,"H",$CH:$CH))),""))))))),"Error")</f>
        <v>Error</v>
      </c>
      <c r="DL22" s="194" t="str">
        <f>IFERROR(
IF(SUMIF(ProductCodes,"C",$CI:$CI)=$CI$42,(IF($A22="C",(SUMIF(#REF!,DL$17,#REF!)*$CG22)*((SUMIF(ProductCodes,"C",$CI:$CI)-SUMIF(ProductCodes,"H",$CH:$CH)-SUMIF(ProductCodes,"R",$CH:$CH)-SUMIF(ProductCodes,"B",$CH:$CH)-(SUMIF(ProductCodes,"S",$CH:$CH)/2))/SUMIF(ProductCodes,"C",$CH:$CH)),IF($A22="S",(SUMIF(#REF!,DL$17,#REF!)*$CG22)/2,
IF($A22="B",(SUMIF(#REF!,DL$17,#REF!)*$CG22),
IF($A22="R",(SUMIF(#REF!,DL$17,#REF!)*$CG22),
IF($A22="H",(SUMIF(#REF!,DL$17,#REF!)*$CG22),"")))))),
IF(SUMIF(ProductCodes,"S",$CI:$CI)=$CI$42,(IF($A22="S",(SUMIF(#REF!,DL$17,#REF!)*$CG22)*((SUMIF(ProductCodes,"S",$CI:$CI)-SUMIF(ProductCodes,"H",$CH:$CH)-SUMIF(ProductCodes,"R",$CH:$CH)-SUMIF(ProductCodes,"B",$CH:$CH)-(SUMIF(ProductCodes,"C",$CH:$CH)/4))/SUMIF(ProductCodes,"S",$CH:$CH)),
IF($A22="C",(SUMIF(#REF!,DL$17,#REF!)*$CG22)/4,
IF($A22="B",(SUMIF(#REF!,DL$17,#REF!)*$CG22),
IF($A22="R",(SUMIF(#REF!,DL$17,#REF!)*$CG22),
IF($A22="H",(SUMIF(#REF!,DL$17,#REF!)*$CG22),"")))))),
IF($A22="C",(SUMIF(#REF!,DL$17,#REF!)*$CG22)*(SUMIF(ProductCodes,"C",$CI:$CI)/(SUMIF(ProductCodes,"C",$CH:$CH))),
IF($A22="S",(SUMIF(#REF!,DL$17,#REF!)*$CG22)*(SUMIF(ProductCodes,"S",$CI:$CI)/(SUMIF(ProductCodes,"S",$CH:$CH))),
IF($A22="B",(SUMIF(#REF!,DL$17,#REF!)*$CG22)*(SUMIF(ProductCodes,"B",$CI:$CI)/(SUMIF(ProductCodes,"B",$CH:$CH))),
IF($A22="R",(SUMIF(#REF!,DL$17,#REF!)*$CG22)*(SUMIF(ProductCodes,"R",$CI:$CI)/(SUMIF(ProductCodes,"R",$CH:$CH))),
IF($A22="H",(SUMIF(#REF!,DL$17,#REF!)*$CG22)*(SUMIF(ProductCodes,"H",$CI:$CI)/(SUMIF(ProductCodes,"H",$CH:$CH))),""))))))),"Error")</f>
        <v>Error</v>
      </c>
      <c r="DM22" s="194" t="str">
        <f>IFERROR(
IF(SUMIF(ProductCodes,"C",$CI:$CI)=$CI$42,(IF($A22="C",(SUMIF(#REF!,DM$17,#REF!)*$CG22)*((SUMIF(ProductCodes,"C",$CI:$CI)-SUMIF(ProductCodes,"H",$CH:$CH)-SUMIF(ProductCodes,"R",$CH:$CH)-SUMIF(ProductCodes,"B",$CH:$CH)-(SUMIF(ProductCodes,"S",$CH:$CH)/2))/SUMIF(ProductCodes,"C",$CH:$CH)),IF($A22="S",(SUMIF(#REF!,DM$17,#REF!)*$CG22)/2,
IF($A22="B",(SUMIF(#REF!,DM$17,#REF!)*$CG22),
IF($A22="R",(SUMIF(#REF!,DM$17,#REF!)*$CG22),
IF($A22="H",(SUMIF(#REF!,DM$17,#REF!)*$CG22),"")))))),
IF(SUMIF(ProductCodes,"S",$CI:$CI)=$CI$42,(IF($A22="S",(SUMIF(#REF!,DM$17,#REF!)*$CG22)*((SUMIF(ProductCodes,"S",$CI:$CI)-SUMIF(ProductCodes,"H",$CH:$CH)-SUMIF(ProductCodes,"R",$CH:$CH)-SUMIF(ProductCodes,"B",$CH:$CH)-(SUMIF(ProductCodes,"C",$CH:$CH)/4))/SUMIF(ProductCodes,"S",$CH:$CH)),
IF($A22="C",(SUMIF(#REF!,DM$17,#REF!)*$CG22)/4,
IF($A22="B",(SUMIF(#REF!,DM$17,#REF!)*$CG22),
IF($A22="R",(SUMIF(#REF!,DM$17,#REF!)*$CG22),
IF($A22="H",(SUMIF(#REF!,DM$17,#REF!)*$CG22),"")))))),
IF($A22="C",(SUMIF(#REF!,DM$17,#REF!)*$CG22)*(SUMIF(ProductCodes,"C",$CI:$CI)/(SUMIF(ProductCodes,"C",$CH:$CH))),
IF($A22="S",(SUMIF(#REF!,DM$17,#REF!)*$CG22)*(SUMIF(ProductCodes,"S",$CI:$CI)/(SUMIF(ProductCodes,"S",$CH:$CH))),
IF($A22="B",(SUMIF(#REF!,DM$17,#REF!)*$CG22)*(SUMIF(ProductCodes,"B",$CI:$CI)/(SUMIF(ProductCodes,"B",$CH:$CH))),
IF($A22="R",(SUMIF(#REF!,DM$17,#REF!)*$CG22)*(SUMIF(ProductCodes,"R",$CI:$CI)/(SUMIF(ProductCodes,"R",$CH:$CH))),
IF($A22="H",(SUMIF(#REF!,DM$17,#REF!)*$CG22)*(SUMIF(ProductCodes,"H",$CI:$CI)/(SUMIF(ProductCodes,"H",$CH:$CH))),""))))))),"Error")</f>
        <v>Error</v>
      </c>
      <c r="DN22" s="194" t="str">
        <f>IFERROR(
IF(SUMIF(ProductCodes,"C",$CI:$CI)=$CI$42,(IF($A22="C",(SUMIF(#REF!,DN$17,#REF!)*$CG22)*((SUMIF(ProductCodes,"C",$CI:$CI)-SUMIF(ProductCodes,"H",$CH:$CH)-SUMIF(ProductCodes,"R",$CH:$CH)-SUMIF(ProductCodes,"B",$CH:$CH)-(SUMIF(ProductCodes,"S",$CH:$CH)/2))/SUMIF(ProductCodes,"C",$CH:$CH)),IF($A22="S",(SUMIF(#REF!,DN$17,#REF!)*$CG22)/2,
IF($A22="B",(SUMIF(#REF!,DN$17,#REF!)*$CG22),
IF($A22="R",(SUMIF(#REF!,DN$17,#REF!)*$CG22),
IF($A22="H",(SUMIF(#REF!,DN$17,#REF!)*$CG22),"")))))),
IF(SUMIF(ProductCodes,"S",$CI:$CI)=$CI$42,(IF($A22="S",(SUMIF(#REF!,DN$17,#REF!)*$CG22)*((SUMIF(ProductCodes,"S",$CI:$CI)-SUMIF(ProductCodes,"H",$CH:$CH)-SUMIF(ProductCodes,"R",$CH:$CH)-SUMIF(ProductCodes,"B",$CH:$CH)-(SUMIF(ProductCodes,"C",$CH:$CH)/4))/SUMIF(ProductCodes,"S",$CH:$CH)),
IF($A22="C",(SUMIF(#REF!,DN$17,#REF!)*$CG22)/4,
IF($A22="B",(SUMIF(#REF!,DN$17,#REF!)*$CG22),
IF($A22="R",(SUMIF(#REF!,DN$17,#REF!)*$CG22),
IF($A22="H",(SUMIF(#REF!,DN$17,#REF!)*$CG22),"")))))),
IF($A22="C",(SUMIF(#REF!,DN$17,#REF!)*$CG22)*(SUMIF(ProductCodes,"C",$CI:$CI)/(SUMIF(ProductCodes,"C",$CH:$CH))),
IF($A22="S",(SUMIF(#REF!,DN$17,#REF!)*$CG22)*(SUMIF(ProductCodes,"S",$CI:$CI)/(SUMIF(ProductCodes,"S",$CH:$CH))),
IF($A22="B",(SUMIF(#REF!,DN$17,#REF!)*$CG22)*(SUMIF(ProductCodes,"B",$CI:$CI)/(SUMIF(ProductCodes,"B",$CH:$CH))),
IF($A22="R",(SUMIF(#REF!,DN$17,#REF!)*$CG22)*(SUMIF(ProductCodes,"R",$CI:$CI)/(SUMIF(ProductCodes,"R",$CH:$CH))),
IF($A22="H",(SUMIF(#REF!,DN$17,#REF!)*$CG22)*(SUMIF(ProductCodes,"H",$CI:$CI)/(SUMIF(ProductCodes,"H",$CH:$CH))),""))))))),"Error")</f>
        <v>Error</v>
      </c>
      <c r="DO22" s="194" t="str">
        <f>IFERROR(
IF(SUMIF(ProductCodes,"C",$CI:$CI)=$CI$42,(IF($A22="C",(SUMIF(#REF!,DO$17,#REF!)*$CG22)*((SUMIF(ProductCodes,"C",$CI:$CI)-SUMIF(ProductCodes,"H",$CH:$CH)-SUMIF(ProductCodes,"R",$CH:$CH)-SUMIF(ProductCodes,"B",$CH:$CH)-(SUMIF(ProductCodes,"S",$CH:$CH)/2))/SUMIF(ProductCodes,"C",$CH:$CH)),IF($A22="S",(SUMIF(#REF!,DO$17,#REF!)*$CG22)/2,
IF($A22="B",(SUMIF(#REF!,DO$17,#REF!)*$CG22),
IF($A22="R",(SUMIF(#REF!,DO$17,#REF!)*$CG22),
IF($A22="H",(SUMIF(#REF!,DO$17,#REF!)*$CG22),"")))))),
IF(SUMIF(ProductCodes,"S",$CI:$CI)=$CI$42,(IF($A22="S",(SUMIF(#REF!,DO$17,#REF!)*$CG22)*((SUMIF(ProductCodes,"S",$CI:$CI)-SUMIF(ProductCodes,"H",$CH:$CH)-SUMIF(ProductCodes,"R",$CH:$CH)-SUMIF(ProductCodes,"B",$CH:$CH)-(SUMIF(ProductCodes,"C",$CH:$CH)/4))/SUMIF(ProductCodes,"S",$CH:$CH)),
IF($A22="C",(SUMIF(#REF!,DO$17,#REF!)*$CG22)/4,
IF($A22="B",(SUMIF(#REF!,DO$17,#REF!)*$CG22),
IF($A22="R",(SUMIF(#REF!,DO$17,#REF!)*$CG22),
IF($A22="H",(SUMIF(#REF!,DO$17,#REF!)*$CG22),"")))))),
IF($A22="C",(SUMIF(#REF!,DO$17,#REF!)*$CG22)*(SUMIF(ProductCodes,"C",$CI:$CI)/(SUMIF(ProductCodes,"C",$CH:$CH))),
IF($A22="S",(SUMIF(#REF!,DO$17,#REF!)*$CG22)*(SUMIF(ProductCodes,"S",$CI:$CI)/(SUMIF(ProductCodes,"S",$CH:$CH))),
IF($A22="B",(SUMIF(#REF!,DO$17,#REF!)*$CG22)*(SUMIF(ProductCodes,"B",$CI:$CI)/(SUMIF(ProductCodes,"B",$CH:$CH))),
IF($A22="R",(SUMIF(#REF!,DO$17,#REF!)*$CG22)*(SUMIF(ProductCodes,"R",$CI:$CI)/(SUMIF(ProductCodes,"R",$CH:$CH))),
IF($A22="H",(SUMIF(#REF!,DO$17,#REF!)*$CG22)*(SUMIF(ProductCodes,"H",$CI:$CI)/(SUMIF(ProductCodes,"H",$CH:$CH))),""))))))),"Error")</f>
        <v>Error</v>
      </c>
      <c r="DP22" s="195" t="str">
        <f>IFERROR(
IF(SUMIF(ProductCodes,"C",$CI:$CI)=$CI$42,(IF($A22="C",(SUMIF(#REF!,DP$17,#REF!)*$CG22)*((SUMIF(ProductCodes,"C",$CI:$CI)-SUMIF(ProductCodes,"H",$CH:$CH)-SUMIF(ProductCodes,"R",$CH:$CH)-SUMIF(ProductCodes,"B",$CH:$CH)-(SUMIF(ProductCodes,"S",$CH:$CH)/2))/SUMIF(ProductCodes,"C",$CH:$CH)),IF($A22="S",(SUMIF(#REF!,DP$17,#REF!)*$CG22)/2,
IF($A22="B",(SUMIF(#REF!,DP$17,#REF!)*$CG22),
IF($A22="R",(SUMIF(#REF!,DP$17,#REF!)*$CG22),
IF($A22="H",(SUMIF(#REF!,DP$17,#REF!)*$CG22),"")))))),
IF(SUMIF(ProductCodes,"S",$CI:$CI)=$CI$42,(IF($A22="S",(SUMIF(#REF!,DP$17,#REF!)*$CG22)*((SUMIF(ProductCodes,"S",$CI:$CI)-SUMIF(ProductCodes,"H",$CH:$CH)-SUMIF(ProductCodes,"R",$CH:$CH)-SUMIF(ProductCodes,"B",$CH:$CH)-(SUMIF(ProductCodes,"C",$CH:$CH)/4))/SUMIF(ProductCodes,"S",$CH:$CH)),
IF($A22="C",(SUMIF(#REF!,DP$17,#REF!)*$CG22)/4,
IF($A22="B",(SUMIF(#REF!,DP$17,#REF!)*$CG22),
IF($A22="R",(SUMIF(#REF!,DP$17,#REF!)*$CG22),
IF($A22="H",(SUMIF(#REF!,DP$17,#REF!)*$CG22),"")))))),
IF($A22="C",(SUMIF(#REF!,DP$17,#REF!)*$CG22)*(SUMIF(ProductCodes,"C",$CI:$CI)/(SUMIF(ProductCodes,"C",$CH:$CH))),
IF($A22="S",(SUMIF(#REF!,DP$17,#REF!)*$CG22)*(SUMIF(ProductCodes,"S",$CI:$CI)/(SUMIF(ProductCodes,"S",$CH:$CH))),
IF($A22="B",(SUMIF(#REF!,DP$17,#REF!)*$CG22)*(SUMIF(ProductCodes,"B",$CI:$CI)/(SUMIF(ProductCodes,"B",$CH:$CH))),
IF($A22="R",(SUMIF(#REF!,DP$17,#REF!)*$CG22)*(SUMIF(ProductCodes,"R",$CI:$CI)/(SUMIF(ProductCodes,"R",$CH:$CH))),
IF($A22="H",(SUMIF(#REF!,DP$17,#REF!)*$CG22)*(SUMIF(ProductCodes,"H",$CI:$CI)/(SUMIF(ProductCodes,"H",$CH:$CH))),""))))))),"Error")</f>
        <v>Error</v>
      </c>
      <c r="DQ22" s="196"/>
      <c r="DR22" s="196"/>
      <c r="DS22" s="197"/>
      <c r="DT22" s="197"/>
      <c r="DU22" s="197"/>
      <c r="DV22" s="197"/>
      <c r="DW22" s="197"/>
      <c r="DX22" s="197"/>
      <c r="DY22" s="197"/>
      <c r="DZ22" s="197"/>
      <c r="EA22" s="197"/>
      <c r="EB22" s="197"/>
      <c r="EC22" s="197"/>
      <c r="ED22" s="197"/>
    </row>
    <row r="23" spans="1:134" s="86" customFormat="1" ht="80.5" customHeight="1" thickBot="1" x14ac:dyDescent="0.4">
      <c r="A23" s="186"/>
      <c r="B23" s="107" t="s">
        <v>88</v>
      </c>
      <c r="C23" s="110" t="s">
        <v>44</v>
      </c>
      <c r="D23" s="107" t="s">
        <v>45</v>
      </c>
      <c r="E23" s="96"/>
      <c r="F23" s="96"/>
      <c r="G23" s="99"/>
      <c r="H23" s="97"/>
      <c r="I23" s="95"/>
      <c r="J23" s="96"/>
      <c r="K23" s="96"/>
      <c r="L23" s="97"/>
      <c r="M23" s="98"/>
      <c r="N23" s="96"/>
      <c r="O23" s="96"/>
      <c r="P23" s="99"/>
      <c r="Q23" s="98"/>
      <c r="R23" s="96"/>
      <c r="S23" s="96"/>
      <c r="T23" s="99"/>
      <c r="U23" s="97"/>
      <c r="V23" s="98"/>
      <c r="W23" s="96"/>
      <c r="X23" s="96"/>
      <c r="Y23" s="97"/>
      <c r="Z23" s="98"/>
      <c r="AA23" s="96"/>
      <c r="AB23" s="96"/>
      <c r="AC23" s="96"/>
      <c r="AD23" s="235">
        <v>15</v>
      </c>
      <c r="AE23" s="236"/>
      <c r="AF23" s="236"/>
      <c r="AG23" s="236"/>
      <c r="AH23" s="237"/>
      <c r="AI23" s="290">
        <v>10</v>
      </c>
      <c r="AJ23" s="236"/>
      <c r="AK23" s="236"/>
      <c r="AL23" s="237"/>
      <c r="AM23" s="235">
        <v>15</v>
      </c>
      <c r="AN23" s="236"/>
      <c r="AO23" s="236"/>
      <c r="AP23" s="236"/>
      <c r="AQ23" s="237"/>
      <c r="AR23" s="290">
        <v>10</v>
      </c>
      <c r="AS23" s="236"/>
      <c r="AT23" s="236"/>
      <c r="AU23" s="237"/>
      <c r="AV23" s="290">
        <v>10</v>
      </c>
      <c r="AW23" s="236"/>
      <c r="AX23" s="236"/>
      <c r="AY23" s="237"/>
      <c r="AZ23" s="235">
        <v>15</v>
      </c>
      <c r="BA23" s="236"/>
      <c r="BB23" s="236"/>
      <c r="BC23" s="236"/>
      <c r="BD23" s="237"/>
      <c r="BE23" s="290">
        <v>10</v>
      </c>
      <c r="BF23" s="236"/>
      <c r="BG23" s="236"/>
      <c r="BH23" s="237"/>
      <c r="BI23" s="290">
        <v>10</v>
      </c>
      <c r="BJ23" s="236"/>
      <c r="BK23" s="236"/>
      <c r="BL23" s="237"/>
      <c r="BM23" s="235">
        <v>15</v>
      </c>
      <c r="BN23" s="236"/>
      <c r="BO23" s="236"/>
      <c r="BP23" s="236"/>
      <c r="BQ23" s="237"/>
      <c r="BR23" s="290">
        <v>10</v>
      </c>
      <c r="BS23" s="236"/>
      <c r="BT23" s="236"/>
      <c r="BU23" s="237"/>
      <c r="BV23" s="290">
        <v>10</v>
      </c>
      <c r="BW23" s="236"/>
      <c r="BX23" s="236"/>
      <c r="BY23" s="237"/>
      <c r="BZ23" s="290">
        <v>10</v>
      </c>
      <c r="CA23" s="236"/>
      <c r="CB23" s="236"/>
      <c r="CC23" s="237"/>
      <c r="CD23" s="187">
        <v>1</v>
      </c>
      <c r="CE23" s="188">
        <f t="shared" si="33"/>
        <v>140</v>
      </c>
      <c r="CF23" s="188">
        <f t="shared" si="31"/>
        <v>140</v>
      </c>
      <c r="CG23" s="189">
        <v>60</v>
      </c>
      <c r="CH23" s="213">
        <f t="shared" si="32"/>
        <v>8400</v>
      </c>
      <c r="CI23" s="240"/>
      <c r="CJ23" s="205"/>
      <c r="CK23" s="205"/>
      <c r="CL23" s="205"/>
      <c r="CM23" s="221"/>
      <c r="CN23" s="221"/>
      <c r="CO23" s="205"/>
      <c r="CP23" s="192"/>
      <c r="CQ23" s="192"/>
      <c r="CR23" s="193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5"/>
      <c r="DQ23" s="196"/>
      <c r="DR23" s="196"/>
      <c r="DS23" s="197"/>
      <c r="DT23" s="197"/>
      <c r="DU23" s="197"/>
      <c r="DV23" s="197"/>
      <c r="DW23" s="197"/>
      <c r="DX23" s="197"/>
      <c r="DY23" s="197"/>
      <c r="DZ23" s="197"/>
      <c r="EA23" s="197"/>
      <c r="EB23" s="197"/>
      <c r="EC23" s="197"/>
      <c r="ED23" s="197"/>
    </row>
    <row r="24" spans="1:134" s="86" customFormat="1" ht="60" customHeight="1" thickBot="1" x14ac:dyDescent="0.4">
      <c r="A24" s="186"/>
      <c r="B24" s="107" t="s">
        <v>87</v>
      </c>
      <c r="C24" s="110" t="s">
        <v>44</v>
      </c>
      <c r="D24" s="107" t="s">
        <v>45</v>
      </c>
      <c r="E24" s="96"/>
      <c r="F24" s="96"/>
      <c r="G24" s="99"/>
      <c r="H24" s="97"/>
      <c r="I24" s="95"/>
      <c r="J24" s="96"/>
      <c r="K24" s="96"/>
      <c r="L24" s="97"/>
      <c r="M24" s="98"/>
      <c r="N24" s="96"/>
      <c r="O24" s="96"/>
      <c r="P24" s="99"/>
      <c r="Q24" s="98"/>
      <c r="R24" s="96"/>
      <c r="S24" s="96"/>
      <c r="T24" s="99"/>
      <c r="U24" s="97"/>
      <c r="V24" s="98"/>
      <c r="W24" s="96"/>
      <c r="X24" s="96"/>
      <c r="Y24" s="97"/>
      <c r="Z24" s="98"/>
      <c r="AA24" s="96"/>
      <c r="AB24" s="96"/>
      <c r="AC24" s="96"/>
      <c r="AD24" s="235">
        <v>15</v>
      </c>
      <c r="AE24" s="236"/>
      <c r="AF24" s="236"/>
      <c r="AG24" s="236"/>
      <c r="AH24" s="237"/>
      <c r="AI24" s="290">
        <v>10</v>
      </c>
      <c r="AJ24" s="236"/>
      <c r="AK24" s="236"/>
      <c r="AL24" s="237"/>
      <c r="AM24" s="235">
        <v>15</v>
      </c>
      <c r="AN24" s="236"/>
      <c r="AO24" s="236"/>
      <c r="AP24" s="236"/>
      <c r="AQ24" s="237"/>
      <c r="AR24" s="290">
        <v>10</v>
      </c>
      <c r="AS24" s="236"/>
      <c r="AT24" s="236"/>
      <c r="AU24" s="237"/>
      <c r="AV24" s="290">
        <v>10</v>
      </c>
      <c r="AW24" s="236"/>
      <c r="AX24" s="236"/>
      <c r="AY24" s="237"/>
      <c r="AZ24" s="235">
        <v>15</v>
      </c>
      <c r="BA24" s="236"/>
      <c r="BB24" s="236"/>
      <c r="BC24" s="236"/>
      <c r="BD24" s="237"/>
      <c r="BE24" s="290">
        <v>10</v>
      </c>
      <c r="BF24" s="236"/>
      <c r="BG24" s="236"/>
      <c r="BH24" s="237"/>
      <c r="BI24" s="290">
        <v>10</v>
      </c>
      <c r="BJ24" s="236"/>
      <c r="BK24" s="236"/>
      <c r="BL24" s="237"/>
      <c r="BM24" s="235">
        <v>15</v>
      </c>
      <c r="BN24" s="236"/>
      <c r="BO24" s="236"/>
      <c r="BP24" s="236"/>
      <c r="BQ24" s="237"/>
      <c r="BR24" s="290">
        <v>10</v>
      </c>
      <c r="BS24" s="236"/>
      <c r="BT24" s="236"/>
      <c r="BU24" s="237"/>
      <c r="BV24" s="290">
        <v>10</v>
      </c>
      <c r="BW24" s="236"/>
      <c r="BX24" s="236"/>
      <c r="BY24" s="237"/>
      <c r="BZ24" s="290">
        <v>10</v>
      </c>
      <c r="CA24" s="236"/>
      <c r="CB24" s="236"/>
      <c r="CC24" s="237"/>
      <c r="CD24" s="187">
        <v>1</v>
      </c>
      <c r="CE24" s="188">
        <f t="shared" si="33"/>
        <v>140</v>
      </c>
      <c r="CF24" s="188">
        <f t="shared" ref="CF24" si="34">CD24*CE24</f>
        <v>140</v>
      </c>
      <c r="CG24" s="189">
        <v>75</v>
      </c>
      <c r="CH24" s="213">
        <f t="shared" ref="CH24" si="35">CG24*CE24</f>
        <v>10500</v>
      </c>
      <c r="CI24" s="240"/>
      <c r="CJ24" s="205"/>
      <c r="CK24" s="205"/>
      <c r="CL24" s="205"/>
      <c r="CM24" s="221"/>
      <c r="CN24" s="221"/>
      <c r="CO24" s="205"/>
      <c r="CP24" s="192"/>
      <c r="CQ24" s="192"/>
      <c r="CR24" s="193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  <c r="DJ24" s="194"/>
      <c r="DK24" s="194"/>
      <c r="DL24" s="194"/>
      <c r="DM24" s="194"/>
      <c r="DN24" s="194"/>
      <c r="DO24" s="194"/>
      <c r="DP24" s="195"/>
      <c r="DQ24" s="196"/>
      <c r="DR24" s="196"/>
      <c r="DS24" s="197"/>
      <c r="DT24" s="197"/>
      <c r="DU24" s="197"/>
      <c r="DV24" s="197"/>
      <c r="DW24" s="197"/>
      <c r="DX24" s="197"/>
      <c r="DY24" s="197"/>
      <c r="DZ24" s="197"/>
      <c r="EA24" s="197"/>
      <c r="EB24" s="197"/>
      <c r="EC24" s="197"/>
      <c r="ED24" s="197"/>
    </row>
    <row r="25" spans="1:134" s="86" customFormat="1" ht="85" customHeight="1" thickBot="1" x14ac:dyDescent="0.4">
      <c r="A25" s="186" t="s">
        <v>43</v>
      </c>
      <c r="B25" s="107" t="s">
        <v>73</v>
      </c>
      <c r="C25" s="107" t="s">
        <v>44</v>
      </c>
      <c r="D25" s="107" t="s">
        <v>45</v>
      </c>
      <c r="E25" s="103"/>
      <c r="F25" s="103"/>
      <c r="G25" s="106"/>
      <c r="H25" s="104"/>
      <c r="I25" s="102"/>
      <c r="J25" s="103"/>
      <c r="K25" s="103"/>
      <c r="L25" s="104"/>
      <c r="M25" s="105"/>
      <c r="N25" s="103"/>
      <c r="O25" s="103"/>
      <c r="P25" s="106"/>
      <c r="Q25" s="105"/>
      <c r="R25" s="103"/>
      <c r="S25" s="103"/>
      <c r="T25" s="106"/>
      <c r="U25" s="104"/>
      <c r="V25" s="105"/>
      <c r="W25" s="103"/>
      <c r="X25" s="103"/>
      <c r="Y25" s="104"/>
      <c r="Z25" s="105"/>
      <c r="AA25" s="103"/>
      <c r="AB25" s="103"/>
      <c r="AC25" s="103"/>
      <c r="AD25" s="235">
        <v>15</v>
      </c>
      <c r="AE25" s="236"/>
      <c r="AF25" s="236"/>
      <c r="AG25" s="236"/>
      <c r="AH25" s="237"/>
      <c r="AI25" s="290">
        <v>10</v>
      </c>
      <c r="AJ25" s="236"/>
      <c r="AK25" s="236"/>
      <c r="AL25" s="237"/>
      <c r="AM25" s="235">
        <v>15</v>
      </c>
      <c r="AN25" s="236"/>
      <c r="AO25" s="236"/>
      <c r="AP25" s="236"/>
      <c r="AQ25" s="237"/>
      <c r="AR25" s="290">
        <v>10</v>
      </c>
      <c r="AS25" s="236"/>
      <c r="AT25" s="236"/>
      <c r="AU25" s="237"/>
      <c r="AV25" s="290">
        <v>10</v>
      </c>
      <c r="AW25" s="236"/>
      <c r="AX25" s="236"/>
      <c r="AY25" s="237"/>
      <c r="AZ25" s="235">
        <v>15</v>
      </c>
      <c r="BA25" s="236"/>
      <c r="BB25" s="236"/>
      <c r="BC25" s="236"/>
      <c r="BD25" s="237"/>
      <c r="BE25" s="290">
        <v>10</v>
      </c>
      <c r="BF25" s="236"/>
      <c r="BG25" s="236"/>
      <c r="BH25" s="237"/>
      <c r="BI25" s="290">
        <v>10</v>
      </c>
      <c r="BJ25" s="236"/>
      <c r="BK25" s="236"/>
      <c r="BL25" s="237"/>
      <c r="BM25" s="235">
        <v>15</v>
      </c>
      <c r="BN25" s="236"/>
      <c r="BO25" s="236"/>
      <c r="BP25" s="236"/>
      <c r="BQ25" s="237"/>
      <c r="BR25" s="290">
        <v>10</v>
      </c>
      <c r="BS25" s="236"/>
      <c r="BT25" s="236"/>
      <c r="BU25" s="237"/>
      <c r="BV25" s="290">
        <v>10</v>
      </c>
      <c r="BW25" s="236"/>
      <c r="BX25" s="236"/>
      <c r="BY25" s="237"/>
      <c r="BZ25" s="290">
        <v>10</v>
      </c>
      <c r="CA25" s="236"/>
      <c r="CB25" s="236"/>
      <c r="CC25" s="237"/>
      <c r="CD25" s="198">
        <v>1</v>
      </c>
      <c r="CE25" s="199">
        <f t="shared" si="33"/>
        <v>140</v>
      </c>
      <c r="CF25" s="199">
        <f t="shared" si="31"/>
        <v>140</v>
      </c>
      <c r="CG25" s="190">
        <v>54</v>
      </c>
      <c r="CH25" s="212">
        <f t="shared" si="32"/>
        <v>7560</v>
      </c>
      <c r="CI25" s="240"/>
      <c r="CJ25" s="202"/>
      <c r="CK25" s="202"/>
      <c r="CL25" s="202"/>
      <c r="CM25" s="203"/>
      <c r="CN25" s="203">
        <f>CM25*CE25</f>
        <v>0</v>
      </c>
      <c r="CO25" s="202"/>
      <c r="CP25" s="192"/>
      <c r="CQ25" s="192"/>
      <c r="CR25" s="193"/>
      <c r="CS25" s="194" t="str">
        <f>IFERROR(
IF(SUMIF(ProductCodes,"C",$CI:$CI)=$CI$42,(IF($A25="C",(SUMIF(#REF!,CS$17,#REF!)*$CG25)*((SUMIF(ProductCodes,"C",$CI:$CI)-SUMIF(ProductCodes,"H",$CH:$CH)-SUMIF(ProductCodes,"R",$CH:$CH)-SUMIF(ProductCodes,"B",$CH:$CH)-(SUMIF(ProductCodes,"S",$CH:$CH)/2))/SUMIF(ProductCodes,"C",$CH:$CH)),IF($A25="S",(SUMIF(#REF!,CS$17,#REF!)*$CG25)/2,
IF($A25="B",(SUMIF(#REF!,CS$17,#REF!)*$CG25),
IF($A25="R",(SUMIF(#REF!,CS$17,#REF!)*$CG25),
IF($A25="H",(SUMIF(#REF!,CS$17,#REF!)*$CG25),"")))))),
IF(SUMIF(ProductCodes,"S",$CI:$CI)=$CI$42,(IF($A25="S",(SUMIF(#REF!,CS$17,#REF!)*$CG25)*((SUMIF(ProductCodes,"S",$CI:$CI)-SUMIF(ProductCodes,"H",$CH:$CH)-SUMIF(ProductCodes,"R",$CH:$CH)-SUMIF(ProductCodes,"B",$CH:$CH)-(SUMIF(ProductCodes,"C",$CH:$CH)/4))/SUMIF(ProductCodes,"S",$CH:$CH)),
IF($A25="C",(SUMIF(#REF!,CS$17,#REF!)*$CG25)/4,
IF($A25="B",(SUMIF(#REF!,CS$17,#REF!)*$CG25),
IF($A25="R",(SUMIF(#REF!,CS$17,#REF!)*$CG25),
IF($A25="H",(SUMIF(#REF!,CS$17,#REF!)*$CG25),"")))))),
IF($A25="C",(SUMIF(#REF!,CS$17,#REF!)*$CG25)*(SUMIF(ProductCodes,"C",$CI:$CI)/(SUMIF(ProductCodes,"C",$CH:$CH))),
IF($A25="S",(SUMIF(#REF!,CS$17,#REF!)*$CG25)*(SUMIF(ProductCodes,"S",$CI:$CI)/(SUMIF(ProductCodes,"S",$CH:$CH))),
IF($A25="B",(SUMIF(#REF!,CS$17,#REF!)*$CG25)*(SUMIF(ProductCodes,"B",$CI:$CI)/(SUMIF(ProductCodes,"B",$CH:$CH))),
IF($A25="R",(SUMIF(#REF!,CS$17,#REF!)*$CG25)*(SUMIF(ProductCodes,"R",$CI:$CI)/(SUMIF(ProductCodes,"R",$CH:$CH))),
IF($A25="H",(SUMIF(#REF!,CS$17,#REF!)*$CG25)*(SUMIF(ProductCodes,"H",$CI:$CI)/(SUMIF(ProductCodes,"H",$CH:$CH))),""))))))),"Error")</f>
        <v>Error</v>
      </c>
      <c r="CT25" s="194" t="str">
        <f>IFERROR(
IF(SUMIF(ProductCodes,"C",$CI:$CI)=$CI$42,(IF($A25="C",(SUMIF(#REF!,CT$17,#REF!)*$CG25)*((SUMIF(ProductCodes,"C",$CI:$CI)-SUMIF(ProductCodes,"H",$CH:$CH)-SUMIF(ProductCodes,"R",$CH:$CH)-SUMIF(ProductCodes,"B",$CH:$CH)-(SUMIF(ProductCodes,"S",$CH:$CH)/2))/SUMIF(ProductCodes,"C",$CH:$CH)),IF($A25="S",(SUMIF(#REF!,CT$17,#REF!)*$CG25)/2,
IF($A25="B",(SUMIF(#REF!,CT$17,#REF!)*$CG25),
IF($A25="R",(SUMIF(#REF!,CT$17,#REF!)*$CG25),
IF($A25="H",(SUMIF(#REF!,CT$17,#REF!)*$CG25),"")))))),
IF(SUMIF(ProductCodes,"S",$CI:$CI)=$CI$42,(IF($A25="S",(SUMIF(#REF!,CT$17,#REF!)*$CG25)*((SUMIF(ProductCodes,"S",$CI:$CI)-SUMIF(ProductCodes,"H",$CH:$CH)-SUMIF(ProductCodes,"R",$CH:$CH)-SUMIF(ProductCodes,"B",$CH:$CH)-(SUMIF(ProductCodes,"C",$CH:$CH)/4))/SUMIF(ProductCodes,"S",$CH:$CH)),
IF($A25="C",(SUMIF(#REF!,CT$17,#REF!)*$CG25)/4,
IF($A25="B",(SUMIF(#REF!,CT$17,#REF!)*$CG25),
IF($A25="R",(SUMIF(#REF!,CT$17,#REF!)*$CG25),
IF($A25="H",(SUMIF(#REF!,CT$17,#REF!)*$CG25),"")))))),
IF($A25="C",(SUMIF(#REF!,CT$17,#REF!)*$CG25)*(SUMIF(ProductCodes,"C",$CI:$CI)/(SUMIF(ProductCodes,"C",$CH:$CH))),
IF($A25="S",(SUMIF(#REF!,CT$17,#REF!)*$CG25)*(SUMIF(ProductCodes,"S",$CI:$CI)/(SUMIF(ProductCodes,"S",$CH:$CH))),
IF($A25="B",(SUMIF(#REF!,CT$17,#REF!)*$CG25)*(SUMIF(ProductCodes,"B",$CI:$CI)/(SUMIF(ProductCodes,"B",$CH:$CH))),
IF($A25="R",(SUMIF(#REF!,CT$17,#REF!)*$CG25)*(SUMIF(ProductCodes,"R",$CI:$CI)/(SUMIF(ProductCodes,"R",$CH:$CH))),
IF($A25="H",(SUMIF(#REF!,CT$17,#REF!)*$CG25)*(SUMIF(ProductCodes,"H",$CI:$CI)/(SUMIF(ProductCodes,"H",$CH:$CH))),""))))))),"Error")</f>
        <v>Error</v>
      </c>
      <c r="CU25" s="194" t="str">
        <f>IFERROR(
IF(SUMIF(ProductCodes,"C",$CI:$CI)=$CI$42,(IF($A25="C",(SUMIF(#REF!,CU$17,#REF!)*$CG25)*((SUMIF(ProductCodes,"C",$CI:$CI)-SUMIF(ProductCodes,"H",$CH:$CH)-SUMIF(ProductCodes,"R",$CH:$CH)-SUMIF(ProductCodes,"B",$CH:$CH)-(SUMIF(ProductCodes,"S",$CH:$CH)/2))/SUMIF(ProductCodes,"C",$CH:$CH)),IF($A25="S",(SUMIF(#REF!,CU$17,#REF!)*$CG25)/2,
IF($A25="B",(SUMIF(#REF!,CU$17,#REF!)*$CG25),
IF($A25="R",(SUMIF(#REF!,CU$17,#REF!)*$CG25),
IF($A25="H",(SUMIF(#REF!,CU$17,#REF!)*$CG25),"")))))),
IF(SUMIF(ProductCodes,"S",$CI:$CI)=$CI$42,(IF($A25="S",(SUMIF(#REF!,CU$17,#REF!)*$CG25)*((SUMIF(ProductCodes,"S",$CI:$CI)-SUMIF(ProductCodes,"H",$CH:$CH)-SUMIF(ProductCodes,"R",$CH:$CH)-SUMIF(ProductCodes,"B",$CH:$CH)-(SUMIF(ProductCodes,"C",$CH:$CH)/4))/SUMIF(ProductCodes,"S",$CH:$CH)),
IF($A25="C",(SUMIF(#REF!,CU$17,#REF!)*$CG25)/4,
IF($A25="B",(SUMIF(#REF!,CU$17,#REF!)*$CG25),
IF($A25="R",(SUMIF(#REF!,CU$17,#REF!)*$CG25),
IF($A25="H",(SUMIF(#REF!,CU$17,#REF!)*$CG25),"")))))),
IF($A25="C",(SUMIF(#REF!,CU$17,#REF!)*$CG25)*(SUMIF(ProductCodes,"C",$CI:$CI)/(SUMIF(ProductCodes,"C",$CH:$CH))),
IF($A25="S",(SUMIF(#REF!,CU$17,#REF!)*$CG25)*(SUMIF(ProductCodes,"S",$CI:$CI)/(SUMIF(ProductCodes,"S",$CH:$CH))),
IF($A25="B",(SUMIF(#REF!,CU$17,#REF!)*$CG25)*(SUMIF(ProductCodes,"B",$CI:$CI)/(SUMIF(ProductCodes,"B",$CH:$CH))),
IF($A25="R",(SUMIF(#REF!,CU$17,#REF!)*$CG25)*(SUMIF(ProductCodes,"R",$CI:$CI)/(SUMIF(ProductCodes,"R",$CH:$CH))),
IF($A25="H",(SUMIF(#REF!,CU$17,#REF!)*$CG25)*(SUMIF(ProductCodes,"H",$CI:$CI)/(SUMIF(ProductCodes,"H",$CH:$CH))),""))))))),"Error")</f>
        <v>Error</v>
      </c>
      <c r="CV25" s="194" t="str">
        <f>IFERROR(
IF(SUMIF(ProductCodes,"C",$CI:$CI)=$CI$42,(IF($A25="C",(SUMIF(#REF!,CV$17,#REF!)*$CG25)*((SUMIF(ProductCodes,"C",$CI:$CI)-SUMIF(ProductCodes,"H",$CH:$CH)-SUMIF(ProductCodes,"R",$CH:$CH)-SUMIF(ProductCodes,"B",$CH:$CH)-(SUMIF(ProductCodes,"S",$CH:$CH)/2))/SUMIF(ProductCodes,"C",$CH:$CH)),IF($A25="S",(SUMIF(#REF!,CV$17,#REF!)*$CG25)/2,
IF($A25="B",(SUMIF(#REF!,CV$17,#REF!)*$CG25),
IF($A25="R",(SUMIF(#REF!,CV$17,#REF!)*$CG25),
IF($A25="H",(SUMIF(#REF!,CV$17,#REF!)*$CG25),"")))))),
IF(SUMIF(ProductCodes,"S",$CI:$CI)=$CI$42,(IF($A25="S",(SUMIF(#REF!,CV$17,#REF!)*$CG25)*((SUMIF(ProductCodes,"S",$CI:$CI)-SUMIF(ProductCodes,"H",$CH:$CH)-SUMIF(ProductCodes,"R",$CH:$CH)-SUMIF(ProductCodes,"B",$CH:$CH)-(SUMIF(ProductCodes,"C",$CH:$CH)/4))/SUMIF(ProductCodes,"S",$CH:$CH)),
IF($A25="C",(SUMIF(#REF!,CV$17,#REF!)*$CG25)/4,
IF($A25="B",(SUMIF(#REF!,CV$17,#REF!)*$CG25),
IF($A25="R",(SUMIF(#REF!,CV$17,#REF!)*$CG25),
IF($A25="H",(SUMIF(#REF!,CV$17,#REF!)*$CG25),"")))))),
IF($A25="C",(SUMIF(#REF!,CV$17,#REF!)*$CG25)*(SUMIF(ProductCodes,"C",$CI:$CI)/(SUMIF(ProductCodes,"C",$CH:$CH))),
IF($A25="S",(SUMIF(#REF!,CV$17,#REF!)*$CG25)*(SUMIF(ProductCodes,"S",$CI:$CI)/(SUMIF(ProductCodes,"S",$CH:$CH))),
IF($A25="B",(SUMIF(#REF!,CV$17,#REF!)*$CG25)*(SUMIF(ProductCodes,"B",$CI:$CI)/(SUMIF(ProductCodes,"B",$CH:$CH))),
IF($A25="R",(SUMIF(#REF!,CV$17,#REF!)*$CG25)*(SUMIF(ProductCodes,"R",$CI:$CI)/(SUMIF(ProductCodes,"R",$CH:$CH))),
IF($A25="H",(SUMIF(#REF!,CV$17,#REF!)*$CG25)*(SUMIF(ProductCodes,"H",$CI:$CI)/(SUMIF(ProductCodes,"H",$CH:$CH))),""))))))),"Error")</f>
        <v>Error</v>
      </c>
      <c r="CW25" s="194" t="str">
        <f>IFERROR(
IF(SUMIF(ProductCodes,"C",$CI:$CI)=$CI$42,(IF($A25="C",(SUMIF(#REF!,CW$17,#REF!)*$CG25)*((SUMIF(ProductCodes,"C",$CI:$CI)-SUMIF(ProductCodes,"H",$CH:$CH)-SUMIF(ProductCodes,"R",$CH:$CH)-SUMIF(ProductCodes,"B",$CH:$CH)-(SUMIF(ProductCodes,"S",$CH:$CH)/2))/SUMIF(ProductCodes,"C",$CH:$CH)),IF($A25="S",(SUMIF(#REF!,CW$17,#REF!)*$CG25)/2,
IF($A25="B",(SUMIF(#REF!,CW$17,#REF!)*$CG25),
IF($A25="R",(SUMIF(#REF!,CW$17,#REF!)*$CG25),
IF($A25="H",(SUMIF(#REF!,CW$17,#REF!)*$CG25),"")))))),
IF(SUMIF(ProductCodes,"S",$CI:$CI)=$CI$42,(IF($A25="S",(SUMIF(#REF!,CW$17,#REF!)*$CG25)*((SUMIF(ProductCodes,"S",$CI:$CI)-SUMIF(ProductCodes,"H",$CH:$CH)-SUMIF(ProductCodes,"R",$CH:$CH)-SUMIF(ProductCodes,"B",$CH:$CH)-(SUMIF(ProductCodes,"C",$CH:$CH)/4))/SUMIF(ProductCodes,"S",$CH:$CH)),
IF($A25="C",(SUMIF(#REF!,CW$17,#REF!)*$CG25)/4,
IF($A25="B",(SUMIF(#REF!,CW$17,#REF!)*$CG25),
IF($A25="R",(SUMIF(#REF!,CW$17,#REF!)*$CG25),
IF($A25="H",(SUMIF(#REF!,CW$17,#REF!)*$CG25),"")))))),
IF($A25="C",(SUMIF(#REF!,CW$17,#REF!)*$CG25)*(SUMIF(ProductCodes,"C",$CI:$CI)/(SUMIF(ProductCodes,"C",$CH:$CH))),
IF($A25="S",(SUMIF(#REF!,CW$17,#REF!)*$CG25)*(SUMIF(ProductCodes,"S",$CI:$CI)/(SUMIF(ProductCodes,"S",$CH:$CH))),
IF($A25="B",(SUMIF(#REF!,CW$17,#REF!)*$CG25)*(SUMIF(ProductCodes,"B",$CI:$CI)/(SUMIF(ProductCodes,"B",$CH:$CH))),
IF($A25="R",(SUMIF(#REF!,CW$17,#REF!)*$CG25)*(SUMIF(ProductCodes,"R",$CI:$CI)/(SUMIF(ProductCodes,"R",$CH:$CH))),
IF($A25="H",(SUMIF(#REF!,CW$17,#REF!)*$CG25)*(SUMIF(ProductCodes,"H",$CI:$CI)/(SUMIF(ProductCodes,"H",$CH:$CH))),""))))))),"Error")</f>
        <v>Error</v>
      </c>
      <c r="CX25" s="194" t="str">
        <f>IFERROR(
IF(SUMIF(ProductCodes,"C",$CI:$CI)=$CI$42,(IF($A25="C",(SUMIF(#REF!,CX$17,#REF!)*$CG25)*((SUMIF(ProductCodes,"C",$CI:$CI)-SUMIF(ProductCodes,"H",$CH:$CH)-SUMIF(ProductCodes,"R",$CH:$CH)-SUMIF(ProductCodes,"B",$CH:$CH)-(SUMIF(ProductCodes,"S",$CH:$CH)/2))/SUMIF(ProductCodes,"C",$CH:$CH)),IF($A25="S",(SUMIF(#REF!,CX$17,#REF!)*$CG25)/2,
IF($A25="B",(SUMIF(#REF!,CX$17,#REF!)*$CG25),
IF($A25="R",(SUMIF(#REF!,CX$17,#REF!)*$CG25),
IF($A25="H",(SUMIF(#REF!,CX$17,#REF!)*$CG25),"")))))),
IF(SUMIF(ProductCodes,"S",$CI:$CI)=$CI$42,(IF($A25="S",(SUMIF(#REF!,CX$17,#REF!)*$CG25)*((SUMIF(ProductCodes,"S",$CI:$CI)-SUMIF(ProductCodes,"H",$CH:$CH)-SUMIF(ProductCodes,"R",$CH:$CH)-SUMIF(ProductCodes,"B",$CH:$CH)-(SUMIF(ProductCodes,"C",$CH:$CH)/4))/SUMIF(ProductCodes,"S",$CH:$CH)),
IF($A25="C",(SUMIF(#REF!,CX$17,#REF!)*$CG25)/4,
IF($A25="B",(SUMIF(#REF!,CX$17,#REF!)*$CG25),
IF($A25="R",(SUMIF(#REF!,CX$17,#REF!)*$CG25),
IF($A25="H",(SUMIF(#REF!,CX$17,#REF!)*$CG25),"")))))),
IF($A25="C",(SUMIF(#REF!,CX$17,#REF!)*$CG25)*(SUMIF(ProductCodes,"C",$CI:$CI)/(SUMIF(ProductCodes,"C",$CH:$CH))),
IF($A25="S",(SUMIF(#REF!,CX$17,#REF!)*$CG25)*(SUMIF(ProductCodes,"S",$CI:$CI)/(SUMIF(ProductCodes,"S",$CH:$CH))),
IF($A25="B",(SUMIF(#REF!,CX$17,#REF!)*$CG25)*(SUMIF(ProductCodes,"B",$CI:$CI)/(SUMIF(ProductCodes,"B",$CH:$CH))),
IF($A25="R",(SUMIF(#REF!,CX$17,#REF!)*$CG25)*(SUMIF(ProductCodes,"R",$CI:$CI)/(SUMIF(ProductCodes,"R",$CH:$CH))),
IF($A25="H",(SUMIF(#REF!,CX$17,#REF!)*$CG25)*(SUMIF(ProductCodes,"H",$CI:$CI)/(SUMIF(ProductCodes,"H",$CH:$CH))),""))))))),"Error")</f>
        <v>Error</v>
      </c>
      <c r="CY25" s="194" t="str">
        <f>IFERROR(
IF(SUMIF(ProductCodes,"C",$CI:$CI)=$CI$42,(IF($A25="C",(SUMIF(#REF!,CY$17,#REF!)*$CG25)*((SUMIF(ProductCodes,"C",$CI:$CI)-SUMIF(ProductCodes,"H",$CH:$CH)-SUMIF(ProductCodes,"R",$CH:$CH)-SUMIF(ProductCodes,"B",$CH:$CH)-(SUMIF(ProductCodes,"S",$CH:$CH)/2))/SUMIF(ProductCodes,"C",$CH:$CH)),IF($A25="S",(SUMIF(#REF!,CY$17,#REF!)*$CG25)/2,
IF($A25="B",(SUMIF(#REF!,CY$17,#REF!)*$CG25),
IF($A25="R",(SUMIF(#REF!,CY$17,#REF!)*$CG25),
IF($A25="H",(SUMIF(#REF!,CY$17,#REF!)*$CG25),"")))))),
IF(SUMIF(ProductCodes,"S",$CI:$CI)=$CI$42,(IF($A25="S",(SUMIF(#REF!,CY$17,#REF!)*$CG25)*((SUMIF(ProductCodes,"S",$CI:$CI)-SUMIF(ProductCodes,"H",$CH:$CH)-SUMIF(ProductCodes,"R",$CH:$CH)-SUMIF(ProductCodes,"B",$CH:$CH)-(SUMIF(ProductCodes,"C",$CH:$CH)/4))/SUMIF(ProductCodes,"S",$CH:$CH)),
IF($A25="C",(SUMIF(#REF!,CY$17,#REF!)*$CG25)/4,
IF($A25="B",(SUMIF(#REF!,CY$17,#REF!)*$CG25),
IF($A25="R",(SUMIF(#REF!,CY$17,#REF!)*$CG25),
IF($A25="H",(SUMIF(#REF!,CY$17,#REF!)*$CG25),"")))))),
IF($A25="C",(SUMIF(#REF!,CY$17,#REF!)*$CG25)*(SUMIF(ProductCodes,"C",$CI:$CI)/(SUMIF(ProductCodes,"C",$CH:$CH))),
IF($A25="S",(SUMIF(#REF!,CY$17,#REF!)*$CG25)*(SUMIF(ProductCodes,"S",$CI:$CI)/(SUMIF(ProductCodes,"S",$CH:$CH))),
IF($A25="B",(SUMIF(#REF!,CY$17,#REF!)*$CG25)*(SUMIF(ProductCodes,"B",$CI:$CI)/(SUMIF(ProductCodes,"B",$CH:$CH))),
IF($A25="R",(SUMIF(#REF!,CY$17,#REF!)*$CG25)*(SUMIF(ProductCodes,"R",$CI:$CI)/(SUMIF(ProductCodes,"R",$CH:$CH))),
IF($A25="H",(SUMIF(#REF!,CY$17,#REF!)*$CG25)*(SUMIF(ProductCodes,"H",$CI:$CI)/(SUMIF(ProductCodes,"H",$CH:$CH))),""))))))),"Error")</f>
        <v>Error</v>
      </c>
      <c r="CZ25" s="194" t="str">
        <f>IFERROR(
IF(SUMIF(ProductCodes,"C",$CI:$CI)=$CI$42,(IF($A25="C",(SUMIF(#REF!,CZ$17,#REF!)*$CG25)*((SUMIF(ProductCodes,"C",$CI:$CI)-SUMIF(ProductCodes,"H",$CH:$CH)-SUMIF(ProductCodes,"R",$CH:$CH)-SUMIF(ProductCodes,"B",$CH:$CH)-(SUMIF(ProductCodes,"S",$CH:$CH)/2))/SUMIF(ProductCodes,"C",$CH:$CH)),IF($A25="S",(SUMIF(#REF!,CZ$17,#REF!)*$CG25)/2,
IF($A25="B",(SUMIF(#REF!,CZ$17,#REF!)*$CG25),
IF($A25="R",(SUMIF(#REF!,CZ$17,#REF!)*$CG25),
IF($A25="H",(SUMIF(#REF!,CZ$17,#REF!)*$CG25),"")))))),
IF(SUMIF(ProductCodes,"S",$CI:$CI)=$CI$42,(IF($A25="S",(SUMIF(#REF!,CZ$17,#REF!)*$CG25)*((SUMIF(ProductCodes,"S",$CI:$CI)-SUMIF(ProductCodes,"H",$CH:$CH)-SUMIF(ProductCodes,"R",$CH:$CH)-SUMIF(ProductCodes,"B",$CH:$CH)-(SUMIF(ProductCodes,"C",$CH:$CH)/4))/SUMIF(ProductCodes,"S",$CH:$CH)),
IF($A25="C",(SUMIF(#REF!,CZ$17,#REF!)*$CG25)/4,
IF($A25="B",(SUMIF(#REF!,CZ$17,#REF!)*$CG25),
IF($A25="R",(SUMIF(#REF!,CZ$17,#REF!)*$CG25),
IF($A25="H",(SUMIF(#REF!,CZ$17,#REF!)*$CG25),"")))))),
IF($A25="C",(SUMIF(#REF!,CZ$17,#REF!)*$CG25)*(SUMIF(ProductCodes,"C",$CI:$CI)/(SUMIF(ProductCodes,"C",$CH:$CH))),
IF($A25="S",(SUMIF(#REF!,CZ$17,#REF!)*$CG25)*(SUMIF(ProductCodes,"S",$CI:$CI)/(SUMIF(ProductCodes,"S",$CH:$CH))),
IF($A25="B",(SUMIF(#REF!,CZ$17,#REF!)*$CG25)*(SUMIF(ProductCodes,"B",$CI:$CI)/(SUMIF(ProductCodes,"B",$CH:$CH))),
IF($A25="R",(SUMIF(#REF!,CZ$17,#REF!)*$CG25)*(SUMIF(ProductCodes,"R",$CI:$CI)/(SUMIF(ProductCodes,"R",$CH:$CH))),
IF($A25="H",(SUMIF(#REF!,CZ$17,#REF!)*$CG25)*(SUMIF(ProductCodes,"H",$CI:$CI)/(SUMIF(ProductCodes,"H",$CH:$CH))),""))))))),"Error")</f>
        <v>Error</v>
      </c>
      <c r="DA25" s="194" t="str">
        <f>IFERROR(
IF(SUMIF(ProductCodes,"C",$CI:$CI)=$CI$42,(IF($A25="C",(SUMIF(#REF!,DA$17,#REF!)*$CG25)*((SUMIF(ProductCodes,"C",$CI:$CI)-SUMIF(ProductCodes,"H",$CH:$CH)-SUMIF(ProductCodes,"R",$CH:$CH)-SUMIF(ProductCodes,"B",$CH:$CH)-(SUMIF(ProductCodes,"S",$CH:$CH)/2))/SUMIF(ProductCodes,"C",$CH:$CH)),IF($A25="S",(SUMIF(#REF!,DA$17,#REF!)*$CG25)/2,
IF($A25="B",(SUMIF(#REF!,DA$17,#REF!)*$CG25),
IF($A25="R",(SUMIF(#REF!,DA$17,#REF!)*$CG25),
IF($A25="H",(SUMIF(#REF!,DA$17,#REF!)*$CG25),"")))))),
IF(SUMIF(ProductCodes,"S",$CI:$CI)=$CI$42,(IF($A25="S",(SUMIF(#REF!,DA$17,#REF!)*$CG25)*((SUMIF(ProductCodes,"S",$CI:$CI)-SUMIF(ProductCodes,"H",$CH:$CH)-SUMIF(ProductCodes,"R",$CH:$CH)-SUMIF(ProductCodes,"B",$CH:$CH)-(SUMIF(ProductCodes,"C",$CH:$CH)/4))/SUMIF(ProductCodes,"S",$CH:$CH)),
IF($A25="C",(SUMIF(#REF!,DA$17,#REF!)*$CG25)/4,
IF($A25="B",(SUMIF(#REF!,DA$17,#REF!)*$CG25),
IF($A25="R",(SUMIF(#REF!,DA$17,#REF!)*$CG25),
IF($A25="H",(SUMIF(#REF!,DA$17,#REF!)*$CG25),"")))))),
IF($A25="C",(SUMIF(#REF!,DA$17,#REF!)*$CG25)*(SUMIF(ProductCodes,"C",$CI:$CI)/(SUMIF(ProductCodes,"C",$CH:$CH))),
IF($A25="S",(SUMIF(#REF!,DA$17,#REF!)*$CG25)*(SUMIF(ProductCodes,"S",$CI:$CI)/(SUMIF(ProductCodes,"S",$CH:$CH))),
IF($A25="B",(SUMIF(#REF!,DA$17,#REF!)*$CG25)*(SUMIF(ProductCodes,"B",$CI:$CI)/(SUMIF(ProductCodes,"B",$CH:$CH))),
IF($A25="R",(SUMIF(#REF!,DA$17,#REF!)*$CG25)*(SUMIF(ProductCodes,"R",$CI:$CI)/(SUMIF(ProductCodes,"R",$CH:$CH))),
IF($A25="H",(SUMIF(#REF!,DA$17,#REF!)*$CG25)*(SUMIF(ProductCodes,"H",$CI:$CI)/(SUMIF(ProductCodes,"H",$CH:$CH))),""))))))),"Error")</f>
        <v>Error</v>
      </c>
      <c r="DB25" s="194" t="str">
        <f>IFERROR(
IF(SUMIF(ProductCodes,"C",$CI:$CI)=$CI$42,(IF($A25="C",(SUMIF(#REF!,DB$17,#REF!)*$CG25)*((SUMIF(ProductCodes,"C",$CI:$CI)-SUMIF(ProductCodes,"H",$CH:$CH)-SUMIF(ProductCodes,"R",$CH:$CH)-SUMIF(ProductCodes,"B",$CH:$CH)-(SUMIF(ProductCodes,"S",$CH:$CH)/2))/SUMIF(ProductCodes,"C",$CH:$CH)),IF($A25="S",(SUMIF(#REF!,DB$17,#REF!)*$CG25)/2,
IF($A25="B",(SUMIF(#REF!,DB$17,#REF!)*$CG25),
IF($A25="R",(SUMIF(#REF!,DB$17,#REF!)*$CG25),
IF($A25="H",(SUMIF(#REF!,DB$17,#REF!)*$CG25),"")))))),
IF(SUMIF(ProductCodes,"S",$CI:$CI)=$CI$42,(IF($A25="S",(SUMIF(#REF!,DB$17,#REF!)*$CG25)*((SUMIF(ProductCodes,"S",$CI:$CI)-SUMIF(ProductCodes,"H",$CH:$CH)-SUMIF(ProductCodes,"R",$CH:$CH)-SUMIF(ProductCodes,"B",$CH:$CH)-(SUMIF(ProductCodes,"C",$CH:$CH)/4))/SUMIF(ProductCodes,"S",$CH:$CH)),
IF($A25="C",(SUMIF(#REF!,DB$17,#REF!)*$CG25)/4,
IF($A25="B",(SUMIF(#REF!,DB$17,#REF!)*$CG25),
IF($A25="R",(SUMIF(#REF!,DB$17,#REF!)*$CG25),
IF($A25="H",(SUMIF(#REF!,DB$17,#REF!)*$CG25),"")))))),
IF($A25="C",(SUMIF(#REF!,DB$17,#REF!)*$CG25)*(SUMIF(ProductCodes,"C",$CI:$CI)/(SUMIF(ProductCodes,"C",$CH:$CH))),
IF($A25="S",(SUMIF(#REF!,DB$17,#REF!)*$CG25)*(SUMIF(ProductCodes,"S",$CI:$CI)/(SUMIF(ProductCodes,"S",$CH:$CH))),
IF($A25="B",(SUMIF(#REF!,DB$17,#REF!)*$CG25)*(SUMIF(ProductCodes,"B",$CI:$CI)/(SUMIF(ProductCodes,"B",$CH:$CH))),
IF($A25="R",(SUMIF(#REF!,DB$17,#REF!)*$CG25)*(SUMIF(ProductCodes,"R",$CI:$CI)/(SUMIF(ProductCodes,"R",$CH:$CH))),
IF($A25="H",(SUMIF(#REF!,DB$17,#REF!)*$CG25)*(SUMIF(ProductCodes,"H",$CI:$CI)/(SUMIF(ProductCodes,"H",$CH:$CH))),""))))))),"Error")</f>
        <v>Error</v>
      </c>
      <c r="DC25" s="194" t="str">
        <f>IFERROR(
IF(SUMIF(ProductCodes,"C",$CI:$CI)=$CI$42,(IF($A25="C",(SUMIF(#REF!,DC$17,#REF!)*$CG25)*((SUMIF(ProductCodes,"C",$CI:$CI)-SUMIF(ProductCodes,"H",$CH:$CH)-SUMIF(ProductCodes,"R",$CH:$CH)-SUMIF(ProductCodes,"B",$CH:$CH)-(SUMIF(ProductCodes,"S",$CH:$CH)/2))/SUMIF(ProductCodes,"C",$CH:$CH)),IF($A25="S",(SUMIF(#REF!,DC$17,#REF!)*$CG25)/2,
IF($A25="B",(SUMIF(#REF!,DC$17,#REF!)*$CG25),
IF($A25="R",(SUMIF(#REF!,DC$17,#REF!)*$CG25),
IF($A25="H",(SUMIF(#REF!,DC$17,#REF!)*$CG25),"")))))),
IF(SUMIF(ProductCodes,"S",$CI:$CI)=$CI$42,(IF($A25="S",(SUMIF(#REF!,DC$17,#REF!)*$CG25)*((SUMIF(ProductCodes,"S",$CI:$CI)-SUMIF(ProductCodes,"H",$CH:$CH)-SUMIF(ProductCodes,"R",$CH:$CH)-SUMIF(ProductCodes,"B",$CH:$CH)-(SUMIF(ProductCodes,"C",$CH:$CH)/4))/SUMIF(ProductCodes,"S",$CH:$CH)),
IF($A25="C",(SUMIF(#REF!,DC$17,#REF!)*$CG25)/4,
IF($A25="B",(SUMIF(#REF!,DC$17,#REF!)*$CG25),
IF($A25="R",(SUMIF(#REF!,DC$17,#REF!)*$CG25),
IF($A25="H",(SUMIF(#REF!,DC$17,#REF!)*$CG25),"")))))),
IF($A25="C",(SUMIF(#REF!,DC$17,#REF!)*$CG25)*(SUMIF(ProductCodes,"C",$CI:$CI)/(SUMIF(ProductCodes,"C",$CH:$CH))),
IF($A25="S",(SUMIF(#REF!,DC$17,#REF!)*$CG25)*(SUMIF(ProductCodes,"S",$CI:$CI)/(SUMIF(ProductCodes,"S",$CH:$CH))),
IF($A25="B",(SUMIF(#REF!,DC$17,#REF!)*$CG25)*(SUMIF(ProductCodes,"B",$CI:$CI)/(SUMIF(ProductCodes,"B",$CH:$CH))),
IF($A25="R",(SUMIF(#REF!,DC$17,#REF!)*$CG25)*(SUMIF(ProductCodes,"R",$CI:$CI)/(SUMIF(ProductCodes,"R",$CH:$CH))),
IF($A25="H",(SUMIF(#REF!,DC$17,#REF!)*$CG25)*(SUMIF(ProductCodes,"H",$CI:$CI)/(SUMIF(ProductCodes,"H",$CH:$CH))),""))))))),"Error")</f>
        <v>Error</v>
      </c>
      <c r="DD25" s="194" t="str">
        <f>IFERROR(
IF(SUMIF(ProductCodes,"C",$CI:$CI)=$CI$42,(IF($A25="C",(SUMIF(#REF!,DD$17,#REF!)*$CG25)*((SUMIF(ProductCodes,"C",$CI:$CI)-SUMIF(ProductCodes,"H",$CH:$CH)-SUMIF(ProductCodes,"R",$CH:$CH)-SUMIF(ProductCodes,"B",$CH:$CH)-(SUMIF(ProductCodes,"S",$CH:$CH)/2))/SUMIF(ProductCodes,"C",$CH:$CH)),IF($A25="S",(SUMIF(#REF!,DD$17,#REF!)*$CG25)/2,
IF($A25="B",(SUMIF(#REF!,DD$17,#REF!)*$CG25),
IF($A25="R",(SUMIF(#REF!,DD$17,#REF!)*$CG25),
IF($A25="H",(SUMIF(#REF!,DD$17,#REF!)*$CG25),"")))))),
IF(SUMIF(ProductCodes,"S",$CI:$CI)=$CI$42,(IF($A25="S",(SUMIF(#REF!,DD$17,#REF!)*$CG25)*((SUMIF(ProductCodes,"S",$CI:$CI)-SUMIF(ProductCodes,"H",$CH:$CH)-SUMIF(ProductCodes,"R",$CH:$CH)-SUMIF(ProductCodes,"B",$CH:$CH)-(SUMIF(ProductCodes,"C",$CH:$CH)/4))/SUMIF(ProductCodes,"S",$CH:$CH)),
IF($A25="C",(SUMIF(#REF!,DD$17,#REF!)*$CG25)/4,
IF($A25="B",(SUMIF(#REF!,DD$17,#REF!)*$CG25),
IF($A25="R",(SUMIF(#REF!,DD$17,#REF!)*$CG25),
IF($A25="H",(SUMIF(#REF!,DD$17,#REF!)*$CG25),"")))))),
IF($A25="C",(SUMIF(#REF!,DD$17,#REF!)*$CG25)*(SUMIF(ProductCodes,"C",$CI:$CI)/(SUMIF(ProductCodes,"C",$CH:$CH))),
IF($A25="S",(SUMIF(#REF!,DD$17,#REF!)*$CG25)*(SUMIF(ProductCodes,"S",$CI:$CI)/(SUMIF(ProductCodes,"S",$CH:$CH))),
IF($A25="B",(SUMIF(#REF!,DD$17,#REF!)*$CG25)*(SUMIF(ProductCodes,"B",$CI:$CI)/(SUMIF(ProductCodes,"B",$CH:$CH))),
IF($A25="R",(SUMIF(#REF!,DD$17,#REF!)*$CG25)*(SUMIF(ProductCodes,"R",$CI:$CI)/(SUMIF(ProductCodes,"R",$CH:$CH))),
IF($A25="H",(SUMIF(#REF!,DD$17,#REF!)*$CG25)*(SUMIF(ProductCodes,"H",$CI:$CI)/(SUMIF(ProductCodes,"H",$CH:$CH))),""))))))),"Error")</f>
        <v>Error</v>
      </c>
      <c r="DE25" s="194" t="str">
        <f>IFERROR(
IF(SUMIF(ProductCodes,"C",$CI:$CI)=$CI$42,(IF($A25="C",(SUMIF(#REF!,DE$17,#REF!)*$CG25)*((SUMIF(ProductCodes,"C",$CI:$CI)-SUMIF(ProductCodes,"H",$CH:$CH)-SUMIF(ProductCodes,"R",$CH:$CH)-SUMIF(ProductCodes,"B",$CH:$CH)-(SUMIF(ProductCodes,"S",$CH:$CH)/2))/SUMIF(ProductCodes,"C",$CH:$CH)),IF($A25="S",(SUMIF(#REF!,DE$17,#REF!)*$CG25)/2,
IF($A25="B",(SUMIF(#REF!,DE$17,#REF!)*$CG25),
IF($A25="R",(SUMIF(#REF!,DE$17,#REF!)*$CG25),
IF($A25="H",(SUMIF(#REF!,DE$17,#REF!)*$CG25),"")))))),
IF(SUMIF(ProductCodes,"S",$CI:$CI)=$CI$42,(IF($A25="S",(SUMIF(#REF!,DE$17,#REF!)*$CG25)*((SUMIF(ProductCodes,"S",$CI:$CI)-SUMIF(ProductCodes,"H",$CH:$CH)-SUMIF(ProductCodes,"R",$CH:$CH)-SUMIF(ProductCodes,"B",$CH:$CH)-(SUMIF(ProductCodes,"C",$CH:$CH)/4))/SUMIF(ProductCodes,"S",$CH:$CH)),
IF($A25="C",(SUMIF(#REF!,DE$17,#REF!)*$CG25)/4,
IF($A25="B",(SUMIF(#REF!,DE$17,#REF!)*$CG25),
IF($A25="R",(SUMIF(#REF!,DE$17,#REF!)*$CG25),
IF($A25="H",(SUMIF(#REF!,DE$17,#REF!)*$CG25),"")))))),
IF($A25="C",(SUMIF(#REF!,DE$17,#REF!)*$CG25)*(SUMIF(ProductCodes,"C",$CI:$CI)/(SUMIF(ProductCodes,"C",$CH:$CH))),
IF($A25="S",(SUMIF(#REF!,DE$17,#REF!)*$CG25)*(SUMIF(ProductCodes,"S",$CI:$CI)/(SUMIF(ProductCodes,"S",$CH:$CH))),
IF($A25="B",(SUMIF(#REF!,DE$17,#REF!)*$CG25)*(SUMIF(ProductCodes,"B",$CI:$CI)/(SUMIF(ProductCodes,"B",$CH:$CH))),
IF($A25="R",(SUMIF(#REF!,DE$17,#REF!)*$CG25)*(SUMIF(ProductCodes,"R",$CI:$CI)/(SUMIF(ProductCodes,"R",$CH:$CH))),
IF($A25="H",(SUMIF(#REF!,DE$17,#REF!)*$CG25)*(SUMIF(ProductCodes,"H",$CI:$CI)/(SUMIF(ProductCodes,"H",$CH:$CH))),""))))))),"Error")</f>
        <v>Error</v>
      </c>
      <c r="DF25" s="194" t="str">
        <f>IFERROR(
IF(SUMIF(ProductCodes,"C",$CI:$CI)=$CI$42,(IF($A25="C",(SUMIF(#REF!,DF$17,#REF!)*$CG25)*((SUMIF(ProductCodes,"C",$CI:$CI)-SUMIF(ProductCodes,"H",$CH:$CH)-SUMIF(ProductCodes,"R",$CH:$CH)-SUMIF(ProductCodes,"B",$CH:$CH)-(SUMIF(ProductCodes,"S",$CH:$CH)/2))/SUMIF(ProductCodes,"C",$CH:$CH)),IF($A25="S",(SUMIF(#REF!,DF$17,#REF!)*$CG25)/2,
IF($A25="B",(SUMIF(#REF!,DF$17,#REF!)*$CG25),
IF($A25="R",(SUMIF(#REF!,DF$17,#REF!)*$CG25),
IF($A25="H",(SUMIF(#REF!,DF$17,#REF!)*$CG25),"")))))),
IF(SUMIF(ProductCodes,"S",$CI:$CI)=$CI$42,(IF($A25="S",(SUMIF(#REF!,DF$17,#REF!)*$CG25)*((SUMIF(ProductCodes,"S",$CI:$CI)-SUMIF(ProductCodes,"H",$CH:$CH)-SUMIF(ProductCodes,"R",$CH:$CH)-SUMIF(ProductCodes,"B",$CH:$CH)-(SUMIF(ProductCodes,"C",$CH:$CH)/4))/SUMIF(ProductCodes,"S",$CH:$CH)),
IF($A25="C",(SUMIF(#REF!,DF$17,#REF!)*$CG25)/4,
IF($A25="B",(SUMIF(#REF!,DF$17,#REF!)*$CG25),
IF($A25="R",(SUMIF(#REF!,DF$17,#REF!)*$CG25),
IF($A25="H",(SUMIF(#REF!,DF$17,#REF!)*$CG25),"")))))),
IF($A25="C",(SUMIF(#REF!,DF$17,#REF!)*$CG25)*(SUMIF(ProductCodes,"C",$CI:$CI)/(SUMIF(ProductCodes,"C",$CH:$CH))),
IF($A25="S",(SUMIF(#REF!,DF$17,#REF!)*$CG25)*(SUMIF(ProductCodes,"S",$CI:$CI)/(SUMIF(ProductCodes,"S",$CH:$CH))),
IF($A25="B",(SUMIF(#REF!,DF$17,#REF!)*$CG25)*(SUMIF(ProductCodes,"B",$CI:$CI)/(SUMIF(ProductCodes,"B",$CH:$CH))),
IF($A25="R",(SUMIF(#REF!,DF$17,#REF!)*$CG25)*(SUMIF(ProductCodes,"R",$CI:$CI)/(SUMIF(ProductCodes,"R",$CH:$CH))),
IF($A25="H",(SUMIF(#REF!,DF$17,#REF!)*$CG25)*(SUMIF(ProductCodes,"H",$CI:$CI)/(SUMIF(ProductCodes,"H",$CH:$CH))),""))))))),"Error")</f>
        <v>Error</v>
      </c>
      <c r="DG25" s="194" t="str">
        <f>IFERROR(
IF(SUMIF(ProductCodes,"C",$CI:$CI)=$CI$42,(IF($A25="C",(SUMIF(#REF!,DG$17,#REF!)*$CG25)*((SUMIF(ProductCodes,"C",$CI:$CI)-SUMIF(ProductCodes,"H",$CH:$CH)-SUMIF(ProductCodes,"R",$CH:$CH)-SUMIF(ProductCodes,"B",$CH:$CH)-(SUMIF(ProductCodes,"S",$CH:$CH)/2))/SUMIF(ProductCodes,"C",$CH:$CH)),IF($A25="S",(SUMIF(#REF!,DG$17,#REF!)*$CG25)/2,
IF($A25="B",(SUMIF(#REF!,DG$17,#REF!)*$CG25),
IF($A25="R",(SUMIF(#REF!,DG$17,#REF!)*$CG25),
IF($A25="H",(SUMIF(#REF!,DG$17,#REF!)*$CG25),"")))))),
IF(SUMIF(ProductCodes,"S",$CI:$CI)=$CI$42,(IF($A25="S",(SUMIF(#REF!,DG$17,#REF!)*$CG25)*((SUMIF(ProductCodes,"S",$CI:$CI)-SUMIF(ProductCodes,"H",$CH:$CH)-SUMIF(ProductCodes,"R",$CH:$CH)-SUMIF(ProductCodes,"B",$CH:$CH)-(SUMIF(ProductCodes,"C",$CH:$CH)/4))/SUMIF(ProductCodes,"S",$CH:$CH)),
IF($A25="C",(SUMIF(#REF!,DG$17,#REF!)*$CG25)/4,
IF($A25="B",(SUMIF(#REF!,DG$17,#REF!)*$CG25),
IF($A25="R",(SUMIF(#REF!,DG$17,#REF!)*$CG25),
IF($A25="H",(SUMIF(#REF!,DG$17,#REF!)*$CG25),"")))))),
IF($A25="C",(SUMIF(#REF!,DG$17,#REF!)*$CG25)*(SUMIF(ProductCodes,"C",$CI:$CI)/(SUMIF(ProductCodes,"C",$CH:$CH))),
IF($A25="S",(SUMIF(#REF!,DG$17,#REF!)*$CG25)*(SUMIF(ProductCodes,"S",$CI:$CI)/(SUMIF(ProductCodes,"S",$CH:$CH))),
IF($A25="B",(SUMIF(#REF!,DG$17,#REF!)*$CG25)*(SUMIF(ProductCodes,"B",$CI:$CI)/(SUMIF(ProductCodes,"B",$CH:$CH))),
IF($A25="R",(SUMIF(#REF!,DG$17,#REF!)*$CG25)*(SUMIF(ProductCodes,"R",$CI:$CI)/(SUMIF(ProductCodes,"R",$CH:$CH))),
IF($A25="H",(SUMIF(#REF!,DG$17,#REF!)*$CG25)*(SUMIF(ProductCodes,"H",$CI:$CI)/(SUMIF(ProductCodes,"H",$CH:$CH))),""))))))),"Error")</f>
        <v>Error</v>
      </c>
      <c r="DH25" s="194" t="str">
        <f>IFERROR(
IF(SUMIF(ProductCodes,"C",$CI:$CI)=$CI$42,(IF($A25="C",(SUMIF(#REF!,DH$17,#REF!)*$CG25)*((SUMIF(ProductCodes,"C",$CI:$CI)-SUMIF(ProductCodes,"H",$CH:$CH)-SUMIF(ProductCodes,"R",$CH:$CH)-SUMIF(ProductCodes,"B",$CH:$CH)-(SUMIF(ProductCodes,"S",$CH:$CH)/2))/SUMIF(ProductCodes,"C",$CH:$CH)),IF($A25="S",(SUMIF(#REF!,DH$17,#REF!)*$CG25)/2,
IF($A25="B",(SUMIF(#REF!,DH$17,#REF!)*$CG25),
IF($A25="R",(SUMIF(#REF!,DH$17,#REF!)*$CG25),
IF($A25="H",(SUMIF(#REF!,DH$17,#REF!)*$CG25),"")))))),
IF(SUMIF(ProductCodes,"S",$CI:$CI)=$CI$42,(IF($A25="S",(SUMIF(#REF!,DH$17,#REF!)*$CG25)*((SUMIF(ProductCodes,"S",$CI:$CI)-SUMIF(ProductCodes,"H",$CH:$CH)-SUMIF(ProductCodes,"R",$CH:$CH)-SUMIF(ProductCodes,"B",$CH:$CH)-(SUMIF(ProductCodes,"C",$CH:$CH)/4))/SUMIF(ProductCodes,"S",$CH:$CH)),
IF($A25="C",(SUMIF(#REF!,DH$17,#REF!)*$CG25)/4,
IF($A25="B",(SUMIF(#REF!,DH$17,#REF!)*$CG25),
IF($A25="R",(SUMIF(#REF!,DH$17,#REF!)*$CG25),
IF($A25="H",(SUMIF(#REF!,DH$17,#REF!)*$CG25),"")))))),
IF($A25="C",(SUMIF(#REF!,DH$17,#REF!)*$CG25)*(SUMIF(ProductCodes,"C",$CI:$CI)/(SUMIF(ProductCodes,"C",$CH:$CH))),
IF($A25="S",(SUMIF(#REF!,DH$17,#REF!)*$CG25)*(SUMIF(ProductCodes,"S",$CI:$CI)/(SUMIF(ProductCodes,"S",$CH:$CH))),
IF($A25="B",(SUMIF(#REF!,DH$17,#REF!)*$CG25)*(SUMIF(ProductCodes,"B",$CI:$CI)/(SUMIF(ProductCodes,"B",$CH:$CH))),
IF($A25="R",(SUMIF(#REF!,DH$17,#REF!)*$CG25)*(SUMIF(ProductCodes,"R",$CI:$CI)/(SUMIF(ProductCodes,"R",$CH:$CH))),
IF($A25="H",(SUMIF(#REF!,DH$17,#REF!)*$CG25)*(SUMIF(ProductCodes,"H",$CI:$CI)/(SUMIF(ProductCodes,"H",$CH:$CH))),""))))))),"Error")</f>
        <v>Error</v>
      </c>
      <c r="DI25" s="194" t="str">
        <f>IFERROR(
IF(SUMIF(ProductCodes,"C",$CI:$CI)=$CI$42,(IF($A25="C",(SUMIF(#REF!,DI$17,#REF!)*$CG25)*((SUMIF(ProductCodes,"C",$CI:$CI)-SUMIF(ProductCodes,"H",$CH:$CH)-SUMIF(ProductCodes,"R",$CH:$CH)-SUMIF(ProductCodes,"B",$CH:$CH)-(SUMIF(ProductCodes,"S",$CH:$CH)/2))/SUMIF(ProductCodes,"C",$CH:$CH)),IF($A25="S",(SUMIF(#REF!,DI$17,#REF!)*$CG25)/2,
IF($A25="B",(SUMIF(#REF!,DI$17,#REF!)*$CG25),
IF($A25="R",(SUMIF(#REF!,DI$17,#REF!)*$CG25),
IF($A25="H",(SUMIF(#REF!,DI$17,#REF!)*$CG25),"")))))),
IF(SUMIF(ProductCodes,"S",$CI:$CI)=$CI$42,(IF($A25="S",(SUMIF(#REF!,DI$17,#REF!)*$CG25)*((SUMIF(ProductCodes,"S",$CI:$CI)-SUMIF(ProductCodes,"H",$CH:$CH)-SUMIF(ProductCodes,"R",$CH:$CH)-SUMIF(ProductCodes,"B",$CH:$CH)-(SUMIF(ProductCodes,"C",$CH:$CH)/4))/SUMIF(ProductCodes,"S",$CH:$CH)),
IF($A25="C",(SUMIF(#REF!,DI$17,#REF!)*$CG25)/4,
IF($A25="B",(SUMIF(#REF!,DI$17,#REF!)*$CG25),
IF($A25="R",(SUMIF(#REF!,DI$17,#REF!)*$CG25),
IF($A25="H",(SUMIF(#REF!,DI$17,#REF!)*$CG25),"")))))),
IF($A25="C",(SUMIF(#REF!,DI$17,#REF!)*$CG25)*(SUMIF(ProductCodes,"C",$CI:$CI)/(SUMIF(ProductCodes,"C",$CH:$CH))),
IF($A25="S",(SUMIF(#REF!,DI$17,#REF!)*$CG25)*(SUMIF(ProductCodes,"S",$CI:$CI)/(SUMIF(ProductCodes,"S",$CH:$CH))),
IF($A25="B",(SUMIF(#REF!,DI$17,#REF!)*$CG25)*(SUMIF(ProductCodes,"B",$CI:$CI)/(SUMIF(ProductCodes,"B",$CH:$CH))),
IF($A25="R",(SUMIF(#REF!,DI$17,#REF!)*$CG25)*(SUMIF(ProductCodes,"R",$CI:$CI)/(SUMIF(ProductCodes,"R",$CH:$CH))),
IF($A25="H",(SUMIF(#REF!,DI$17,#REF!)*$CG25)*(SUMIF(ProductCodes,"H",$CI:$CI)/(SUMIF(ProductCodes,"H",$CH:$CH))),""))))))),"Error")</f>
        <v>Error</v>
      </c>
      <c r="DJ25" s="194" t="str">
        <f>IFERROR(
IF(SUMIF(ProductCodes,"C",$CI:$CI)=$CI$42,(IF($A25="C",(SUMIF(#REF!,DJ$17,#REF!)*$CG25)*((SUMIF(ProductCodes,"C",$CI:$CI)-SUMIF(ProductCodes,"H",$CH:$CH)-SUMIF(ProductCodes,"R",$CH:$CH)-SUMIF(ProductCodes,"B",$CH:$CH)-(SUMIF(ProductCodes,"S",$CH:$CH)/2))/SUMIF(ProductCodes,"C",$CH:$CH)),IF($A25="S",(SUMIF(#REF!,DJ$17,#REF!)*$CG25)/2,
IF($A25="B",(SUMIF(#REF!,DJ$17,#REF!)*$CG25),
IF($A25="R",(SUMIF(#REF!,DJ$17,#REF!)*$CG25),
IF($A25="H",(SUMIF(#REF!,DJ$17,#REF!)*$CG25),"")))))),
IF(SUMIF(ProductCodes,"S",$CI:$CI)=$CI$42,(IF($A25="S",(SUMIF(#REF!,DJ$17,#REF!)*$CG25)*((SUMIF(ProductCodes,"S",$CI:$CI)-SUMIF(ProductCodes,"H",$CH:$CH)-SUMIF(ProductCodes,"R",$CH:$CH)-SUMIF(ProductCodes,"B",$CH:$CH)-(SUMIF(ProductCodes,"C",$CH:$CH)/4))/SUMIF(ProductCodes,"S",$CH:$CH)),
IF($A25="C",(SUMIF(#REF!,DJ$17,#REF!)*$CG25)/4,
IF($A25="B",(SUMIF(#REF!,DJ$17,#REF!)*$CG25),
IF($A25="R",(SUMIF(#REF!,DJ$17,#REF!)*$CG25),
IF($A25="H",(SUMIF(#REF!,DJ$17,#REF!)*$CG25),"")))))),
IF($A25="C",(SUMIF(#REF!,DJ$17,#REF!)*$CG25)*(SUMIF(ProductCodes,"C",$CI:$CI)/(SUMIF(ProductCodes,"C",$CH:$CH))),
IF($A25="S",(SUMIF(#REF!,DJ$17,#REF!)*$CG25)*(SUMIF(ProductCodes,"S",$CI:$CI)/(SUMIF(ProductCodes,"S",$CH:$CH))),
IF($A25="B",(SUMIF(#REF!,DJ$17,#REF!)*$CG25)*(SUMIF(ProductCodes,"B",$CI:$CI)/(SUMIF(ProductCodes,"B",$CH:$CH))),
IF($A25="R",(SUMIF(#REF!,DJ$17,#REF!)*$CG25)*(SUMIF(ProductCodes,"R",$CI:$CI)/(SUMIF(ProductCodes,"R",$CH:$CH))),
IF($A25="H",(SUMIF(#REF!,DJ$17,#REF!)*$CG25)*(SUMIF(ProductCodes,"H",$CI:$CI)/(SUMIF(ProductCodes,"H",$CH:$CH))),""))))))),"Error")</f>
        <v>Error</v>
      </c>
      <c r="DK25" s="194" t="str">
        <f>IFERROR(
IF(SUMIF(ProductCodes,"C",$CI:$CI)=$CI$42,(IF($A25="C",(SUMIF(#REF!,DK$17,#REF!)*$CG25)*((SUMIF(ProductCodes,"C",$CI:$CI)-SUMIF(ProductCodes,"H",$CH:$CH)-SUMIF(ProductCodes,"R",$CH:$CH)-SUMIF(ProductCodes,"B",$CH:$CH)-(SUMIF(ProductCodes,"S",$CH:$CH)/2))/SUMIF(ProductCodes,"C",$CH:$CH)),IF($A25="S",(SUMIF(#REF!,DK$17,#REF!)*$CG25)/2,
IF($A25="B",(SUMIF(#REF!,DK$17,#REF!)*$CG25),
IF($A25="R",(SUMIF(#REF!,DK$17,#REF!)*$CG25),
IF($A25="H",(SUMIF(#REF!,DK$17,#REF!)*$CG25),"")))))),
IF(SUMIF(ProductCodes,"S",$CI:$CI)=$CI$42,(IF($A25="S",(SUMIF(#REF!,DK$17,#REF!)*$CG25)*((SUMIF(ProductCodes,"S",$CI:$CI)-SUMIF(ProductCodes,"H",$CH:$CH)-SUMIF(ProductCodes,"R",$CH:$CH)-SUMIF(ProductCodes,"B",$CH:$CH)-(SUMIF(ProductCodes,"C",$CH:$CH)/4))/SUMIF(ProductCodes,"S",$CH:$CH)),
IF($A25="C",(SUMIF(#REF!,DK$17,#REF!)*$CG25)/4,
IF($A25="B",(SUMIF(#REF!,DK$17,#REF!)*$CG25),
IF($A25="R",(SUMIF(#REF!,DK$17,#REF!)*$CG25),
IF($A25="H",(SUMIF(#REF!,DK$17,#REF!)*$CG25),"")))))),
IF($A25="C",(SUMIF(#REF!,DK$17,#REF!)*$CG25)*(SUMIF(ProductCodes,"C",$CI:$CI)/(SUMIF(ProductCodes,"C",$CH:$CH))),
IF($A25="S",(SUMIF(#REF!,DK$17,#REF!)*$CG25)*(SUMIF(ProductCodes,"S",$CI:$CI)/(SUMIF(ProductCodes,"S",$CH:$CH))),
IF($A25="B",(SUMIF(#REF!,DK$17,#REF!)*$CG25)*(SUMIF(ProductCodes,"B",$CI:$CI)/(SUMIF(ProductCodes,"B",$CH:$CH))),
IF($A25="R",(SUMIF(#REF!,DK$17,#REF!)*$CG25)*(SUMIF(ProductCodes,"R",$CI:$CI)/(SUMIF(ProductCodes,"R",$CH:$CH))),
IF($A25="H",(SUMIF(#REF!,DK$17,#REF!)*$CG25)*(SUMIF(ProductCodes,"H",$CI:$CI)/(SUMIF(ProductCodes,"H",$CH:$CH))),""))))))),"Error")</f>
        <v>Error</v>
      </c>
      <c r="DL25" s="194" t="str">
        <f>IFERROR(
IF(SUMIF(ProductCodes,"C",$CI:$CI)=$CI$42,(IF($A25="C",(SUMIF(#REF!,DL$17,#REF!)*$CG25)*((SUMIF(ProductCodes,"C",$CI:$CI)-SUMIF(ProductCodes,"H",$CH:$CH)-SUMIF(ProductCodes,"R",$CH:$CH)-SUMIF(ProductCodes,"B",$CH:$CH)-(SUMIF(ProductCodes,"S",$CH:$CH)/2))/SUMIF(ProductCodes,"C",$CH:$CH)),IF($A25="S",(SUMIF(#REF!,DL$17,#REF!)*$CG25)/2,
IF($A25="B",(SUMIF(#REF!,DL$17,#REF!)*$CG25),
IF($A25="R",(SUMIF(#REF!,DL$17,#REF!)*$CG25),
IF($A25="H",(SUMIF(#REF!,DL$17,#REF!)*$CG25),"")))))),
IF(SUMIF(ProductCodes,"S",$CI:$CI)=$CI$42,(IF($A25="S",(SUMIF(#REF!,DL$17,#REF!)*$CG25)*((SUMIF(ProductCodes,"S",$CI:$CI)-SUMIF(ProductCodes,"H",$CH:$CH)-SUMIF(ProductCodes,"R",$CH:$CH)-SUMIF(ProductCodes,"B",$CH:$CH)-(SUMIF(ProductCodes,"C",$CH:$CH)/4))/SUMIF(ProductCodes,"S",$CH:$CH)),
IF($A25="C",(SUMIF(#REF!,DL$17,#REF!)*$CG25)/4,
IF($A25="B",(SUMIF(#REF!,DL$17,#REF!)*$CG25),
IF($A25="R",(SUMIF(#REF!,DL$17,#REF!)*$CG25),
IF($A25="H",(SUMIF(#REF!,DL$17,#REF!)*$CG25),"")))))),
IF($A25="C",(SUMIF(#REF!,DL$17,#REF!)*$CG25)*(SUMIF(ProductCodes,"C",$CI:$CI)/(SUMIF(ProductCodes,"C",$CH:$CH))),
IF($A25="S",(SUMIF(#REF!,DL$17,#REF!)*$CG25)*(SUMIF(ProductCodes,"S",$CI:$CI)/(SUMIF(ProductCodes,"S",$CH:$CH))),
IF($A25="B",(SUMIF(#REF!,DL$17,#REF!)*$CG25)*(SUMIF(ProductCodes,"B",$CI:$CI)/(SUMIF(ProductCodes,"B",$CH:$CH))),
IF($A25="R",(SUMIF(#REF!,DL$17,#REF!)*$CG25)*(SUMIF(ProductCodes,"R",$CI:$CI)/(SUMIF(ProductCodes,"R",$CH:$CH))),
IF($A25="H",(SUMIF(#REF!,DL$17,#REF!)*$CG25)*(SUMIF(ProductCodes,"H",$CI:$CI)/(SUMIF(ProductCodes,"H",$CH:$CH))),""))))))),"Error")</f>
        <v>Error</v>
      </c>
      <c r="DM25" s="194" t="str">
        <f>IFERROR(
IF(SUMIF(ProductCodes,"C",$CI:$CI)=$CI$42,(IF($A25="C",(SUMIF(#REF!,DM$17,#REF!)*$CG25)*((SUMIF(ProductCodes,"C",$CI:$CI)-SUMIF(ProductCodes,"H",$CH:$CH)-SUMIF(ProductCodes,"R",$CH:$CH)-SUMIF(ProductCodes,"B",$CH:$CH)-(SUMIF(ProductCodes,"S",$CH:$CH)/2))/SUMIF(ProductCodes,"C",$CH:$CH)),IF($A25="S",(SUMIF(#REF!,DM$17,#REF!)*$CG25)/2,
IF($A25="B",(SUMIF(#REF!,DM$17,#REF!)*$CG25),
IF($A25="R",(SUMIF(#REF!,DM$17,#REF!)*$CG25),
IF($A25="H",(SUMIF(#REF!,DM$17,#REF!)*$CG25),"")))))),
IF(SUMIF(ProductCodes,"S",$CI:$CI)=$CI$42,(IF($A25="S",(SUMIF(#REF!,DM$17,#REF!)*$CG25)*((SUMIF(ProductCodes,"S",$CI:$CI)-SUMIF(ProductCodes,"H",$CH:$CH)-SUMIF(ProductCodes,"R",$CH:$CH)-SUMIF(ProductCodes,"B",$CH:$CH)-(SUMIF(ProductCodes,"C",$CH:$CH)/4))/SUMIF(ProductCodes,"S",$CH:$CH)),
IF($A25="C",(SUMIF(#REF!,DM$17,#REF!)*$CG25)/4,
IF($A25="B",(SUMIF(#REF!,DM$17,#REF!)*$CG25),
IF($A25="R",(SUMIF(#REF!,DM$17,#REF!)*$CG25),
IF($A25="H",(SUMIF(#REF!,DM$17,#REF!)*$CG25),"")))))),
IF($A25="C",(SUMIF(#REF!,DM$17,#REF!)*$CG25)*(SUMIF(ProductCodes,"C",$CI:$CI)/(SUMIF(ProductCodes,"C",$CH:$CH))),
IF($A25="S",(SUMIF(#REF!,DM$17,#REF!)*$CG25)*(SUMIF(ProductCodes,"S",$CI:$CI)/(SUMIF(ProductCodes,"S",$CH:$CH))),
IF($A25="B",(SUMIF(#REF!,DM$17,#REF!)*$CG25)*(SUMIF(ProductCodes,"B",$CI:$CI)/(SUMIF(ProductCodes,"B",$CH:$CH))),
IF($A25="R",(SUMIF(#REF!,DM$17,#REF!)*$CG25)*(SUMIF(ProductCodes,"R",$CI:$CI)/(SUMIF(ProductCodes,"R",$CH:$CH))),
IF($A25="H",(SUMIF(#REF!,DM$17,#REF!)*$CG25)*(SUMIF(ProductCodes,"H",$CI:$CI)/(SUMIF(ProductCodes,"H",$CH:$CH))),""))))))),"Error")</f>
        <v>Error</v>
      </c>
      <c r="DN25" s="194" t="str">
        <f>IFERROR(
IF(SUMIF(ProductCodes,"C",$CI:$CI)=$CI$42,(IF($A25="C",(SUMIF(#REF!,DN$17,#REF!)*$CG25)*((SUMIF(ProductCodes,"C",$CI:$CI)-SUMIF(ProductCodes,"H",$CH:$CH)-SUMIF(ProductCodes,"R",$CH:$CH)-SUMIF(ProductCodes,"B",$CH:$CH)-(SUMIF(ProductCodes,"S",$CH:$CH)/2))/SUMIF(ProductCodes,"C",$CH:$CH)),IF($A25="S",(SUMIF(#REF!,DN$17,#REF!)*$CG25)/2,
IF($A25="B",(SUMIF(#REF!,DN$17,#REF!)*$CG25),
IF($A25="R",(SUMIF(#REF!,DN$17,#REF!)*$CG25),
IF($A25="H",(SUMIF(#REF!,DN$17,#REF!)*$CG25),"")))))),
IF(SUMIF(ProductCodes,"S",$CI:$CI)=$CI$42,(IF($A25="S",(SUMIF(#REF!,DN$17,#REF!)*$CG25)*((SUMIF(ProductCodes,"S",$CI:$CI)-SUMIF(ProductCodes,"H",$CH:$CH)-SUMIF(ProductCodes,"R",$CH:$CH)-SUMIF(ProductCodes,"B",$CH:$CH)-(SUMIF(ProductCodes,"C",$CH:$CH)/4))/SUMIF(ProductCodes,"S",$CH:$CH)),
IF($A25="C",(SUMIF(#REF!,DN$17,#REF!)*$CG25)/4,
IF($A25="B",(SUMIF(#REF!,DN$17,#REF!)*$CG25),
IF($A25="R",(SUMIF(#REF!,DN$17,#REF!)*$CG25),
IF($A25="H",(SUMIF(#REF!,DN$17,#REF!)*$CG25),"")))))),
IF($A25="C",(SUMIF(#REF!,DN$17,#REF!)*$CG25)*(SUMIF(ProductCodes,"C",$CI:$CI)/(SUMIF(ProductCodes,"C",$CH:$CH))),
IF($A25="S",(SUMIF(#REF!,DN$17,#REF!)*$CG25)*(SUMIF(ProductCodes,"S",$CI:$CI)/(SUMIF(ProductCodes,"S",$CH:$CH))),
IF($A25="B",(SUMIF(#REF!,DN$17,#REF!)*$CG25)*(SUMIF(ProductCodes,"B",$CI:$CI)/(SUMIF(ProductCodes,"B",$CH:$CH))),
IF($A25="R",(SUMIF(#REF!,DN$17,#REF!)*$CG25)*(SUMIF(ProductCodes,"R",$CI:$CI)/(SUMIF(ProductCodes,"R",$CH:$CH))),
IF($A25="H",(SUMIF(#REF!,DN$17,#REF!)*$CG25)*(SUMIF(ProductCodes,"H",$CI:$CI)/(SUMIF(ProductCodes,"H",$CH:$CH))),""))))))),"Error")</f>
        <v>Error</v>
      </c>
      <c r="DO25" s="194" t="str">
        <f>IFERROR(
IF(SUMIF(ProductCodes,"C",$CI:$CI)=$CI$42,(IF($A25="C",(SUMIF(#REF!,DO$17,#REF!)*$CG25)*((SUMIF(ProductCodes,"C",$CI:$CI)-SUMIF(ProductCodes,"H",$CH:$CH)-SUMIF(ProductCodes,"R",$CH:$CH)-SUMIF(ProductCodes,"B",$CH:$CH)-(SUMIF(ProductCodes,"S",$CH:$CH)/2))/SUMIF(ProductCodes,"C",$CH:$CH)),IF($A25="S",(SUMIF(#REF!,DO$17,#REF!)*$CG25)/2,
IF($A25="B",(SUMIF(#REF!,DO$17,#REF!)*$CG25),
IF($A25="R",(SUMIF(#REF!,DO$17,#REF!)*$CG25),
IF($A25="H",(SUMIF(#REF!,DO$17,#REF!)*$CG25),"")))))),
IF(SUMIF(ProductCodes,"S",$CI:$CI)=$CI$42,(IF($A25="S",(SUMIF(#REF!,DO$17,#REF!)*$CG25)*((SUMIF(ProductCodes,"S",$CI:$CI)-SUMIF(ProductCodes,"H",$CH:$CH)-SUMIF(ProductCodes,"R",$CH:$CH)-SUMIF(ProductCodes,"B",$CH:$CH)-(SUMIF(ProductCodes,"C",$CH:$CH)/4))/SUMIF(ProductCodes,"S",$CH:$CH)),
IF($A25="C",(SUMIF(#REF!,DO$17,#REF!)*$CG25)/4,
IF($A25="B",(SUMIF(#REF!,DO$17,#REF!)*$CG25),
IF($A25="R",(SUMIF(#REF!,DO$17,#REF!)*$CG25),
IF($A25="H",(SUMIF(#REF!,DO$17,#REF!)*$CG25),"")))))),
IF($A25="C",(SUMIF(#REF!,DO$17,#REF!)*$CG25)*(SUMIF(ProductCodes,"C",$CI:$CI)/(SUMIF(ProductCodes,"C",$CH:$CH))),
IF($A25="S",(SUMIF(#REF!,DO$17,#REF!)*$CG25)*(SUMIF(ProductCodes,"S",$CI:$CI)/(SUMIF(ProductCodes,"S",$CH:$CH))),
IF($A25="B",(SUMIF(#REF!,DO$17,#REF!)*$CG25)*(SUMIF(ProductCodes,"B",$CI:$CI)/(SUMIF(ProductCodes,"B",$CH:$CH))),
IF($A25="R",(SUMIF(#REF!,DO$17,#REF!)*$CG25)*(SUMIF(ProductCodes,"R",$CI:$CI)/(SUMIF(ProductCodes,"R",$CH:$CH))),
IF($A25="H",(SUMIF(#REF!,DO$17,#REF!)*$CG25)*(SUMIF(ProductCodes,"H",$CI:$CI)/(SUMIF(ProductCodes,"H",$CH:$CH))),""))))))),"Error")</f>
        <v>Error</v>
      </c>
      <c r="DP25" s="195" t="str">
        <f>IFERROR(
IF(SUMIF(ProductCodes,"C",$CI:$CI)=$CI$42,(IF($A25="C",(SUMIF(#REF!,DP$17,#REF!)*$CG25)*((SUMIF(ProductCodes,"C",$CI:$CI)-SUMIF(ProductCodes,"H",$CH:$CH)-SUMIF(ProductCodes,"R",$CH:$CH)-SUMIF(ProductCodes,"B",$CH:$CH)-(SUMIF(ProductCodes,"S",$CH:$CH)/2))/SUMIF(ProductCodes,"C",$CH:$CH)),IF($A25="S",(SUMIF(#REF!,DP$17,#REF!)*$CG25)/2,
IF($A25="B",(SUMIF(#REF!,DP$17,#REF!)*$CG25),
IF($A25="R",(SUMIF(#REF!,DP$17,#REF!)*$CG25),
IF($A25="H",(SUMIF(#REF!,DP$17,#REF!)*$CG25),"")))))),
IF(SUMIF(ProductCodes,"S",$CI:$CI)=$CI$42,(IF($A25="S",(SUMIF(#REF!,DP$17,#REF!)*$CG25)*((SUMIF(ProductCodes,"S",$CI:$CI)-SUMIF(ProductCodes,"H",$CH:$CH)-SUMIF(ProductCodes,"R",$CH:$CH)-SUMIF(ProductCodes,"B",$CH:$CH)-(SUMIF(ProductCodes,"C",$CH:$CH)/4))/SUMIF(ProductCodes,"S",$CH:$CH)),
IF($A25="C",(SUMIF(#REF!,DP$17,#REF!)*$CG25)/4,
IF($A25="B",(SUMIF(#REF!,DP$17,#REF!)*$CG25),
IF($A25="R",(SUMIF(#REF!,DP$17,#REF!)*$CG25),
IF($A25="H",(SUMIF(#REF!,DP$17,#REF!)*$CG25),"")))))),
IF($A25="C",(SUMIF(#REF!,DP$17,#REF!)*$CG25)*(SUMIF(ProductCodes,"C",$CI:$CI)/(SUMIF(ProductCodes,"C",$CH:$CH))),
IF($A25="S",(SUMIF(#REF!,DP$17,#REF!)*$CG25)*(SUMIF(ProductCodes,"S",$CI:$CI)/(SUMIF(ProductCodes,"S",$CH:$CH))),
IF($A25="B",(SUMIF(#REF!,DP$17,#REF!)*$CG25)*(SUMIF(ProductCodes,"B",$CI:$CI)/(SUMIF(ProductCodes,"B",$CH:$CH))),
IF($A25="R",(SUMIF(#REF!,DP$17,#REF!)*$CG25)*(SUMIF(ProductCodes,"R",$CI:$CI)/(SUMIF(ProductCodes,"R",$CH:$CH))),
IF($A25="H",(SUMIF(#REF!,DP$17,#REF!)*$CG25)*(SUMIF(ProductCodes,"H",$CI:$CI)/(SUMIF(ProductCodes,"H",$CH:$CH))),""))))))),"Error")</f>
        <v>Error</v>
      </c>
      <c r="DQ25" s="196"/>
      <c r="DR25" s="196"/>
      <c r="DS25" s="197"/>
      <c r="DT25" s="197"/>
      <c r="DU25" s="197"/>
      <c r="DV25" s="197"/>
      <c r="DW25" s="197"/>
      <c r="DX25" s="197"/>
      <c r="DY25" s="197"/>
      <c r="DZ25" s="197"/>
      <c r="EA25" s="197"/>
      <c r="EB25" s="197"/>
      <c r="EC25" s="197"/>
      <c r="ED25" s="197"/>
    </row>
    <row r="26" spans="1:134" s="86" customFormat="1" ht="60" customHeight="1" thickBot="1" x14ac:dyDescent="0.4">
      <c r="A26" s="94" t="s">
        <v>43</v>
      </c>
      <c r="B26" s="107" t="s">
        <v>91</v>
      </c>
      <c r="C26" s="107" t="s">
        <v>44</v>
      </c>
      <c r="D26" s="107" t="s">
        <v>45</v>
      </c>
      <c r="E26" s="103"/>
      <c r="F26" s="103"/>
      <c r="G26" s="106"/>
      <c r="H26" s="104"/>
      <c r="I26" s="102"/>
      <c r="J26" s="103"/>
      <c r="K26" s="103"/>
      <c r="L26" s="104"/>
      <c r="M26" s="105"/>
      <c r="N26" s="103"/>
      <c r="O26" s="103"/>
      <c r="P26" s="106"/>
      <c r="Q26" s="105"/>
      <c r="R26" s="103"/>
      <c r="S26" s="103"/>
      <c r="T26" s="106"/>
      <c r="U26" s="104"/>
      <c r="V26" s="105"/>
      <c r="W26" s="103"/>
      <c r="X26" s="103"/>
      <c r="Y26" s="104"/>
      <c r="Z26" s="105"/>
      <c r="AA26" s="103"/>
      <c r="AB26" s="103"/>
      <c r="AC26" s="103"/>
      <c r="AD26" s="235">
        <v>15</v>
      </c>
      <c r="AE26" s="236"/>
      <c r="AF26" s="236"/>
      <c r="AG26" s="236"/>
      <c r="AH26" s="237"/>
      <c r="AI26" s="290">
        <v>10</v>
      </c>
      <c r="AJ26" s="236"/>
      <c r="AK26" s="236"/>
      <c r="AL26" s="237"/>
      <c r="AM26" s="235">
        <v>15</v>
      </c>
      <c r="AN26" s="236"/>
      <c r="AO26" s="236"/>
      <c r="AP26" s="236"/>
      <c r="AQ26" s="237"/>
      <c r="AR26" s="290">
        <v>10</v>
      </c>
      <c r="AS26" s="236"/>
      <c r="AT26" s="236"/>
      <c r="AU26" s="237"/>
      <c r="AV26" s="290">
        <v>10</v>
      </c>
      <c r="AW26" s="236"/>
      <c r="AX26" s="236"/>
      <c r="AY26" s="237"/>
      <c r="AZ26" s="235">
        <v>15</v>
      </c>
      <c r="BA26" s="236"/>
      <c r="BB26" s="236"/>
      <c r="BC26" s="236"/>
      <c r="BD26" s="237"/>
      <c r="BE26" s="290">
        <v>10</v>
      </c>
      <c r="BF26" s="236"/>
      <c r="BG26" s="236"/>
      <c r="BH26" s="237"/>
      <c r="BI26" s="290">
        <v>10</v>
      </c>
      <c r="BJ26" s="236"/>
      <c r="BK26" s="236"/>
      <c r="BL26" s="237"/>
      <c r="BM26" s="235">
        <v>15</v>
      </c>
      <c r="BN26" s="236"/>
      <c r="BO26" s="236"/>
      <c r="BP26" s="236"/>
      <c r="BQ26" s="237"/>
      <c r="BR26" s="290">
        <v>10</v>
      </c>
      <c r="BS26" s="236"/>
      <c r="BT26" s="236"/>
      <c r="BU26" s="237"/>
      <c r="BV26" s="290">
        <v>10</v>
      </c>
      <c r="BW26" s="236"/>
      <c r="BX26" s="236"/>
      <c r="BY26" s="237"/>
      <c r="BZ26" s="290">
        <v>10</v>
      </c>
      <c r="CA26" s="236"/>
      <c r="CB26" s="236"/>
      <c r="CC26" s="237"/>
      <c r="CD26" s="198">
        <v>1</v>
      </c>
      <c r="CE26" s="199">
        <f t="shared" si="33"/>
        <v>140</v>
      </c>
      <c r="CF26" s="199">
        <f t="shared" si="31"/>
        <v>140</v>
      </c>
      <c r="CG26" s="190">
        <v>40</v>
      </c>
      <c r="CH26" s="212">
        <f t="shared" si="32"/>
        <v>5600</v>
      </c>
      <c r="CI26" s="240"/>
      <c r="CJ26" s="183"/>
      <c r="CK26" s="183"/>
      <c r="CL26" s="183"/>
      <c r="CM26" s="108"/>
      <c r="CN26" s="108">
        <f>CM26*CE26</f>
        <v>0</v>
      </c>
      <c r="CO26" s="109"/>
      <c r="CP26" s="75"/>
      <c r="CQ26" s="75"/>
      <c r="CR26" s="83"/>
      <c r="CS26" s="84" t="str">
        <f>IFERROR(
IF(SUMIF(ProductCodes,"C",$CI:$CI)=$CI$42,(IF($A26="C",(SUMIF(#REF!,CS$17,#REF!)*$CG26)*((SUMIF(ProductCodes,"C",$CI:$CI)-SUMIF(ProductCodes,"H",$CH:$CH)-SUMIF(ProductCodes,"R",$CH:$CH)-SUMIF(ProductCodes,"B",$CH:$CH)-(SUMIF(ProductCodes,"S",$CH:$CH)/2))/SUMIF(ProductCodes,"C",$CH:$CH)),IF($A26="S",(SUMIF(#REF!,CS$17,#REF!)*$CG26)/2,
IF($A26="B",(SUMIF(#REF!,CS$17,#REF!)*$CG26),
IF($A26="R",(SUMIF(#REF!,CS$17,#REF!)*$CG26),
IF($A26="H",(SUMIF(#REF!,CS$17,#REF!)*$CG26),"")))))),
IF(SUMIF(ProductCodes,"S",$CI:$CI)=$CI$42,(IF($A26="S",(SUMIF(#REF!,CS$17,#REF!)*$CG26)*((SUMIF(ProductCodes,"S",$CI:$CI)-SUMIF(ProductCodes,"H",$CH:$CH)-SUMIF(ProductCodes,"R",$CH:$CH)-SUMIF(ProductCodes,"B",$CH:$CH)-(SUMIF(ProductCodes,"C",$CH:$CH)/4))/SUMIF(ProductCodes,"S",$CH:$CH)),
IF($A26="C",(SUMIF(#REF!,CS$17,#REF!)*$CG26)/4,
IF($A26="B",(SUMIF(#REF!,CS$17,#REF!)*$CG26),
IF($A26="R",(SUMIF(#REF!,CS$17,#REF!)*$CG26),
IF($A26="H",(SUMIF(#REF!,CS$17,#REF!)*$CG26),"")))))),
IF($A26="C",(SUMIF(#REF!,CS$17,#REF!)*$CG26)*(SUMIF(ProductCodes,"C",$CI:$CI)/(SUMIF(ProductCodes,"C",$CH:$CH))),
IF($A26="S",(SUMIF(#REF!,CS$17,#REF!)*$CG26)*(SUMIF(ProductCodes,"S",$CI:$CI)/(SUMIF(ProductCodes,"S",$CH:$CH))),
IF($A26="B",(SUMIF(#REF!,CS$17,#REF!)*$CG26)*(SUMIF(ProductCodes,"B",$CI:$CI)/(SUMIF(ProductCodes,"B",$CH:$CH))),
IF($A26="R",(SUMIF(#REF!,CS$17,#REF!)*$CG26)*(SUMIF(ProductCodes,"R",$CI:$CI)/(SUMIF(ProductCodes,"R",$CH:$CH))),
IF($A26="H",(SUMIF(#REF!,CS$17,#REF!)*$CG26)*(SUMIF(ProductCodes,"H",$CI:$CI)/(SUMIF(ProductCodes,"H",$CH:$CH))),""))))))),"Error")</f>
        <v>Error</v>
      </c>
      <c r="CT26" s="84" t="str">
        <f>IFERROR(
IF(SUMIF(ProductCodes,"C",$CI:$CI)=$CI$42,(IF($A26="C",(SUMIF(#REF!,CT$17,#REF!)*$CG26)*((SUMIF(ProductCodes,"C",$CI:$CI)-SUMIF(ProductCodes,"H",$CH:$CH)-SUMIF(ProductCodes,"R",$CH:$CH)-SUMIF(ProductCodes,"B",$CH:$CH)-(SUMIF(ProductCodes,"S",$CH:$CH)/2))/SUMIF(ProductCodes,"C",$CH:$CH)),IF($A26="S",(SUMIF(#REF!,CT$17,#REF!)*$CG26)/2,
IF($A26="B",(SUMIF(#REF!,CT$17,#REF!)*$CG26),
IF($A26="R",(SUMIF(#REF!,CT$17,#REF!)*$CG26),
IF($A26="H",(SUMIF(#REF!,CT$17,#REF!)*$CG26),"")))))),
IF(SUMIF(ProductCodes,"S",$CI:$CI)=$CI$42,(IF($A26="S",(SUMIF(#REF!,CT$17,#REF!)*$CG26)*((SUMIF(ProductCodes,"S",$CI:$CI)-SUMIF(ProductCodes,"H",$CH:$CH)-SUMIF(ProductCodes,"R",$CH:$CH)-SUMIF(ProductCodes,"B",$CH:$CH)-(SUMIF(ProductCodes,"C",$CH:$CH)/4))/SUMIF(ProductCodes,"S",$CH:$CH)),
IF($A26="C",(SUMIF(#REF!,CT$17,#REF!)*$CG26)/4,
IF($A26="B",(SUMIF(#REF!,CT$17,#REF!)*$CG26),
IF($A26="R",(SUMIF(#REF!,CT$17,#REF!)*$CG26),
IF($A26="H",(SUMIF(#REF!,CT$17,#REF!)*$CG26),"")))))),
IF($A26="C",(SUMIF(#REF!,CT$17,#REF!)*$CG26)*(SUMIF(ProductCodes,"C",$CI:$CI)/(SUMIF(ProductCodes,"C",$CH:$CH))),
IF($A26="S",(SUMIF(#REF!,CT$17,#REF!)*$CG26)*(SUMIF(ProductCodes,"S",$CI:$CI)/(SUMIF(ProductCodes,"S",$CH:$CH))),
IF($A26="B",(SUMIF(#REF!,CT$17,#REF!)*$CG26)*(SUMIF(ProductCodes,"B",$CI:$CI)/(SUMIF(ProductCodes,"B",$CH:$CH))),
IF($A26="R",(SUMIF(#REF!,CT$17,#REF!)*$CG26)*(SUMIF(ProductCodes,"R",$CI:$CI)/(SUMIF(ProductCodes,"R",$CH:$CH))),
IF($A26="H",(SUMIF(#REF!,CT$17,#REF!)*$CG26)*(SUMIF(ProductCodes,"H",$CI:$CI)/(SUMIF(ProductCodes,"H",$CH:$CH))),""))))))),"Error")</f>
        <v>Error</v>
      </c>
      <c r="CU26" s="84" t="str">
        <f>IFERROR(
IF(SUMIF(ProductCodes,"C",$CI:$CI)=$CI$42,(IF($A26="C",(SUMIF(#REF!,CU$17,#REF!)*$CG26)*((SUMIF(ProductCodes,"C",$CI:$CI)-SUMIF(ProductCodes,"H",$CH:$CH)-SUMIF(ProductCodes,"R",$CH:$CH)-SUMIF(ProductCodes,"B",$CH:$CH)-(SUMIF(ProductCodes,"S",$CH:$CH)/2))/SUMIF(ProductCodes,"C",$CH:$CH)),IF($A26="S",(SUMIF(#REF!,CU$17,#REF!)*$CG26)/2,
IF($A26="B",(SUMIF(#REF!,CU$17,#REF!)*$CG26),
IF($A26="R",(SUMIF(#REF!,CU$17,#REF!)*$CG26),
IF($A26="H",(SUMIF(#REF!,CU$17,#REF!)*$CG26),"")))))),
IF(SUMIF(ProductCodes,"S",$CI:$CI)=$CI$42,(IF($A26="S",(SUMIF(#REF!,CU$17,#REF!)*$CG26)*((SUMIF(ProductCodes,"S",$CI:$CI)-SUMIF(ProductCodes,"H",$CH:$CH)-SUMIF(ProductCodes,"R",$CH:$CH)-SUMIF(ProductCodes,"B",$CH:$CH)-(SUMIF(ProductCodes,"C",$CH:$CH)/4))/SUMIF(ProductCodes,"S",$CH:$CH)),
IF($A26="C",(SUMIF(#REF!,CU$17,#REF!)*$CG26)/4,
IF($A26="B",(SUMIF(#REF!,CU$17,#REF!)*$CG26),
IF($A26="R",(SUMIF(#REF!,CU$17,#REF!)*$CG26),
IF($A26="H",(SUMIF(#REF!,CU$17,#REF!)*$CG26),"")))))),
IF($A26="C",(SUMIF(#REF!,CU$17,#REF!)*$CG26)*(SUMIF(ProductCodes,"C",$CI:$CI)/(SUMIF(ProductCodes,"C",$CH:$CH))),
IF($A26="S",(SUMIF(#REF!,CU$17,#REF!)*$CG26)*(SUMIF(ProductCodes,"S",$CI:$CI)/(SUMIF(ProductCodes,"S",$CH:$CH))),
IF($A26="B",(SUMIF(#REF!,CU$17,#REF!)*$CG26)*(SUMIF(ProductCodes,"B",$CI:$CI)/(SUMIF(ProductCodes,"B",$CH:$CH))),
IF($A26="R",(SUMIF(#REF!,CU$17,#REF!)*$CG26)*(SUMIF(ProductCodes,"R",$CI:$CI)/(SUMIF(ProductCodes,"R",$CH:$CH))),
IF($A26="H",(SUMIF(#REF!,CU$17,#REF!)*$CG26)*(SUMIF(ProductCodes,"H",$CI:$CI)/(SUMIF(ProductCodes,"H",$CH:$CH))),""))))))),"Error")</f>
        <v>Error</v>
      </c>
      <c r="CV26" s="84" t="str">
        <f>IFERROR(
IF(SUMIF(ProductCodes,"C",$CI:$CI)=$CI$42,(IF($A26="C",(SUMIF(#REF!,CV$17,#REF!)*$CG26)*((SUMIF(ProductCodes,"C",$CI:$CI)-SUMIF(ProductCodes,"H",$CH:$CH)-SUMIF(ProductCodes,"R",$CH:$CH)-SUMIF(ProductCodes,"B",$CH:$CH)-(SUMIF(ProductCodes,"S",$CH:$CH)/2))/SUMIF(ProductCodes,"C",$CH:$CH)),IF($A26="S",(SUMIF(#REF!,CV$17,#REF!)*$CG26)/2,
IF($A26="B",(SUMIF(#REF!,CV$17,#REF!)*$CG26),
IF($A26="R",(SUMIF(#REF!,CV$17,#REF!)*$CG26),
IF($A26="H",(SUMIF(#REF!,CV$17,#REF!)*$CG26),"")))))),
IF(SUMIF(ProductCodes,"S",$CI:$CI)=$CI$42,(IF($A26="S",(SUMIF(#REF!,CV$17,#REF!)*$CG26)*((SUMIF(ProductCodes,"S",$CI:$CI)-SUMIF(ProductCodes,"H",$CH:$CH)-SUMIF(ProductCodes,"R",$CH:$CH)-SUMIF(ProductCodes,"B",$CH:$CH)-(SUMIF(ProductCodes,"C",$CH:$CH)/4))/SUMIF(ProductCodes,"S",$CH:$CH)),
IF($A26="C",(SUMIF(#REF!,CV$17,#REF!)*$CG26)/4,
IF($A26="B",(SUMIF(#REF!,CV$17,#REF!)*$CG26),
IF($A26="R",(SUMIF(#REF!,CV$17,#REF!)*$CG26),
IF($A26="H",(SUMIF(#REF!,CV$17,#REF!)*$CG26),"")))))),
IF($A26="C",(SUMIF(#REF!,CV$17,#REF!)*$CG26)*(SUMIF(ProductCodes,"C",$CI:$CI)/(SUMIF(ProductCodes,"C",$CH:$CH))),
IF($A26="S",(SUMIF(#REF!,CV$17,#REF!)*$CG26)*(SUMIF(ProductCodes,"S",$CI:$CI)/(SUMIF(ProductCodes,"S",$CH:$CH))),
IF($A26="B",(SUMIF(#REF!,CV$17,#REF!)*$CG26)*(SUMIF(ProductCodes,"B",$CI:$CI)/(SUMIF(ProductCodes,"B",$CH:$CH))),
IF($A26="R",(SUMIF(#REF!,CV$17,#REF!)*$CG26)*(SUMIF(ProductCodes,"R",$CI:$CI)/(SUMIF(ProductCodes,"R",$CH:$CH))),
IF($A26="H",(SUMIF(#REF!,CV$17,#REF!)*$CG26)*(SUMIF(ProductCodes,"H",$CI:$CI)/(SUMIF(ProductCodes,"H",$CH:$CH))),""))))))),"Error")</f>
        <v>Error</v>
      </c>
      <c r="CW26" s="84" t="str">
        <f>IFERROR(
IF(SUMIF(ProductCodes,"C",$CI:$CI)=$CI$42,(IF($A26="C",(SUMIF(#REF!,CW$17,#REF!)*$CG26)*((SUMIF(ProductCodes,"C",$CI:$CI)-SUMIF(ProductCodes,"H",$CH:$CH)-SUMIF(ProductCodes,"R",$CH:$CH)-SUMIF(ProductCodes,"B",$CH:$CH)-(SUMIF(ProductCodes,"S",$CH:$CH)/2))/SUMIF(ProductCodes,"C",$CH:$CH)),IF($A26="S",(SUMIF(#REF!,CW$17,#REF!)*$CG26)/2,
IF($A26="B",(SUMIF(#REF!,CW$17,#REF!)*$CG26),
IF($A26="R",(SUMIF(#REF!,CW$17,#REF!)*$CG26),
IF($A26="H",(SUMIF(#REF!,CW$17,#REF!)*$CG26),"")))))),
IF(SUMIF(ProductCodes,"S",$CI:$CI)=$CI$42,(IF($A26="S",(SUMIF(#REF!,CW$17,#REF!)*$CG26)*((SUMIF(ProductCodes,"S",$CI:$CI)-SUMIF(ProductCodes,"H",$CH:$CH)-SUMIF(ProductCodes,"R",$CH:$CH)-SUMIF(ProductCodes,"B",$CH:$CH)-(SUMIF(ProductCodes,"C",$CH:$CH)/4))/SUMIF(ProductCodes,"S",$CH:$CH)),
IF($A26="C",(SUMIF(#REF!,CW$17,#REF!)*$CG26)/4,
IF($A26="B",(SUMIF(#REF!,CW$17,#REF!)*$CG26),
IF($A26="R",(SUMIF(#REF!,CW$17,#REF!)*$CG26),
IF($A26="H",(SUMIF(#REF!,CW$17,#REF!)*$CG26),"")))))),
IF($A26="C",(SUMIF(#REF!,CW$17,#REF!)*$CG26)*(SUMIF(ProductCodes,"C",$CI:$CI)/(SUMIF(ProductCodes,"C",$CH:$CH))),
IF($A26="S",(SUMIF(#REF!,CW$17,#REF!)*$CG26)*(SUMIF(ProductCodes,"S",$CI:$CI)/(SUMIF(ProductCodes,"S",$CH:$CH))),
IF($A26="B",(SUMIF(#REF!,CW$17,#REF!)*$CG26)*(SUMIF(ProductCodes,"B",$CI:$CI)/(SUMIF(ProductCodes,"B",$CH:$CH))),
IF($A26="R",(SUMIF(#REF!,CW$17,#REF!)*$CG26)*(SUMIF(ProductCodes,"R",$CI:$CI)/(SUMIF(ProductCodes,"R",$CH:$CH))),
IF($A26="H",(SUMIF(#REF!,CW$17,#REF!)*$CG26)*(SUMIF(ProductCodes,"H",$CI:$CI)/(SUMIF(ProductCodes,"H",$CH:$CH))),""))))))),"Error")</f>
        <v>Error</v>
      </c>
      <c r="CX26" s="84" t="str">
        <f>IFERROR(
IF(SUMIF(ProductCodes,"C",$CI:$CI)=$CI$42,(IF($A26="C",(SUMIF(#REF!,CX$17,#REF!)*$CG26)*((SUMIF(ProductCodes,"C",$CI:$CI)-SUMIF(ProductCodes,"H",$CH:$CH)-SUMIF(ProductCodes,"R",$CH:$CH)-SUMIF(ProductCodes,"B",$CH:$CH)-(SUMIF(ProductCodes,"S",$CH:$CH)/2))/SUMIF(ProductCodes,"C",$CH:$CH)),IF($A26="S",(SUMIF(#REF!,CX$17,#REF!)*$CG26)/2,
IF($A26="B",(SUMIF(#REF!,CX$17,#REF!)*$CG26),
IF($A26="R",(SUMIF(#REF!,CX$17,#REF!)*$CG26),
IF($A26="H",(SUMIF(#REF!,CX$17,#REF!)*$CG26),"")))))),
IF(SUMIF(ProductCodes,"S",$CI:$CI)=$CI$42,(IF($A26="S",(SUMIF(#REF!,CX$17,#REF!)*$CG26)*((SUMIF(ProductCodes,"S",$CI:$CI)-SUMIF(ProductCodes,"H",$CH:$CH)-SUMIF(ProductCodes,"R",$CH:$CH)-SUMIF(ProductCodes,"B",$CH:$CH)-(SUMIF(ProductCodes,"C",$CH:$CH)/4))/SUMIF(ProductCodes,"S",$CH:$CH)),
IF($A26="C",(SUMIF(#REF!,CX$17,#REF!)*$CG26)/4,
IF($A26="B",(SUMIF(#REF!,CX$17,#REF!)*$CG26),
IF($A26="R",(SUMIF(#REF!,CX$17,#REF!)*$CG26),
IF($A26="H",(SUMIF(#REF!,CX$17,#REF!)*$CG26),"")))))),
IF($A26="C",(SUMIF(#REF!,CX$17,#REF!)*$CG26)*(SUMIF(ProductCodes,"C",$CI:$CI)/(SUMIF(ProductCodes,"C",$CH:$CH))),
IF($A26="S",(SUMIF(#REF!,CX$17,#REF!)*$CG26)*(SUMIF(ProductCodes,"S",$CI:$CI)/(SUMIF(ProductCodes,"S",$CH:$CH))),
IF($A26="B",(SUMIF(#REF!,CX$17,#REF!)*$CG26)*(SUMIF(ProductCodes,"B",$CI:$CI)/(SUMIF(ProductCodes,"B",$CH:$CH))),
IF($A26="R",(SUMIF(#REF!,CX$17,#REF!)*$CG26)*(SUMIF(ProductCodes,"R",$CI:$CI)/(SUMIF(ProductCodes,"R",$CH:$CH))),
IF($A26="H",(SUMIF(#REF!,CX$17,#REF!)*$CG26)*(SUMIF(ProductCodes,"H",$CI:$CI)/(SUMIF(ProductCodes,"H",$CH:$CH))),""))))))),"Error")</f>
        <v>Error</v>
      </c>
      <c r="CY26" s="84" t="str">
        <f>IFERROR(
IF(SUMIF(ProductCodes,"C",$CI:$CI)=$CI$42,(IF($A26="C",(SUMIF(#REF!,CY$17,#REF!)*$CG26)*((SUMIF(ProductCodes,"C",$CI:$CI)-SUMIF(ProductCodes,"H",$CH:$CH)-SUMIF(ProductCodes,"R",$CH:$CH)-SUMIF(ProductCodes,"B",$CH:$CH)-(SUMIF(ProductCodes,"S",$CH:$CH)/2))/SUMIF(ProductCodes,"C",$CH:$CH)),IF($A26="S",(SUMIF(#REF!,CY$17,#REF!)*$CG26)/2,
IF($A26="B",(SUMIF(#REF!,CY$17,#REF!)*$CG26),
IF($A26="R",(SUMIF(#REF!,CY$17,#REF!)*$CG26),
IF($A26="H",(SUMIF(#REF!,CY$17,#REF!)*$CG26),"")))))),
IF(SUMIF(ProductCodes,"S",$CI:$CI)=$CI$42,(IF($A26="S",(SUMIF(#REF!,CY$17,#REF!)*$CG26)*((SUMIF(ProductCodes,"S",$CI:$CI)-SUMIF(ProductCodes,"H",$CH:$CH)-SUMIF(ProductCodes,"R",$CH:$CH)-SUMIF(ProductCodes,"B",$CH:$CH)-(SUMIF(ProductCodes,"C",$CH:$CH)/4))/SUMIF(ProductCodes,"S",$CH:$CH)),
IF($A26="C",(SUMIF(#REF!,CY$17,#REF!)*$CG26)/4,
IF($A26="B",(SUMIF(#REF!,CY$17,#REF!)*$CG26),
IF($A26="R",(SUMIF(#REF!,CY$17,#REF!)*$CG26),
IF($A26="H",(SUMIF(#REF!,CY$17,#REF!)*$CG26),"")))))),
IF($A26="C",(SUMIF(#REF!,CY$17,#REF!)*$CG26)*(SUMIF(ProductCodes,"C",$CI:$CI)/(SUMIF(ProductCodes,"C",$CH:$CH))),
IF($A26="S",(SUMIF(#REF!,CY$17,#REF!)*$CG26)*(SUMIF(ProductCodes,"S",$CI:$CI)/(SUMIF(ProductCodes,"S",$CH:$CH))),
IF($A26="B",(SUMIF(#REF!,CY$17,#REF!)*$CG26)*(SUMIF(ProductCodes,"B",$CI:$CI)/(SUMIF(ProductCodes,"B",$CH:$CH))),
IF($A26="R",(SUMIF(#REF!,CY$17,#REF!)*$CG26)*(SUMIF(ProductCodes,"R",$CI:$CI)/(SUMIF(ProductCodes,"R",$CH:$CH))),
IF($A26="H",(SUMIF(#REF!,CY$17,#REF!)*$CG26)*(SUMIF(ProductCodes,"H",$CI:$CI)/(SUMIF(ProductCodes,"H",$CH:$CH))),""))))))),"Error")</f>
        <v>Error</v>
      </c>
      <c r="CZ26" s="84" t="str">
        <f>IFERROR(
IF(SUMIF(ProductCodes,"C",$CI:$CI)=$CI$42,(IF($A26="C",(SUMIF(#REF!,CZ$17,#REF!)*$CG26)*((SUMIF(ProductCodes,"C",$CI:$CI)-SUMIF(ProductCodes,"H",$CH:$CH)-SUMIF(ProductCodes,"R",$CH:$CH)-SUMIF(ProductCodes,"B",$CH:$CH)-(SUMIF(ProductCodes,"S",$CH:$CH)/2))/SUMIF(ProductCodes,"C",$CH:$CH)),IF($A26="S",(SUMIF(#REF!,CZ$17,#REF!)*$CG26)/2,
IF($A26="B",(SUMIF(#REF!,CZ$17,#REF!)*$CG26),
IF($A26="R",(SUMIF(#REF!,CZ$17,#REF!)*$CG26),
IF($A26="H",(SUMIF(#REF!,CZ$17,#REF!)*$CG26),"")))))),
IF(SUMIF(ProductCodes,"S",$CI:$CI)=$CI$42,(IF($A26="S",(SUMIF(#REF!,CZ$17,#REF!)*$CG26)*((SUMIF(ProductCodes,"S",$CI:$CI)-SUMIF(ProductCodes,"H",$CH:$CH)-SUMIF(ProductCodes,"R",$CH:$CH)-SUMIF(ProductCodes,"B",$CH:$CH)-(SUMIF(ProductCodes,"C",$CH:$CH)/4))/SUMIF(ProductCodes,"S",$CH:$CH)),
IF($A26="C",(SUMIF(#REF!,CZ$17,#REF!)*$CG26)/4,
IF($A26="B",(SUMIF(#REF!,CZ$17,#REF!)*$CG26),
IF($A26="R",(SUMIF(#REF!,CZ$17,#REF!)*$CG26),
IF($A26="H",(SUMIF(#REF!,CZ$17,#REF!)*$CG26),"")))))),
IF($A26="C",(SUMIF(#REF!,CZ$17,#REF!)*$CG26)*(SUMIF(ProductCodes,"C",$CI:$CI)/(SUMIF(ProductCodes,"C",$CH:$CH))),
IF($A26="S",(SUMIF(#REF!,CZ$17,#REF!)*$CG26)*(SUMIF(ProductCodes,"S",$CI:$CI)/(SUMIF(ProductCodes,"S",$CH:$CH))),
IF($A26="B",(SUMIF(#REF!,CZ$17,#REF!)*$CG26)*(SUMIF(ProductCodes,"B",$CI:$CI)/(SUMIF(ProductCodes,"B",$CH:$CH))),
IF($A26="R",(SUMIF(#REF!,CZ$17,#REF!)*$CG26)*(SUMIF(ProductCodes,"R",$CI:$CI)/(SUMIF(ProductCodes,"R",$CH:$CH))),
IF($A26="H",(SUMIF(#REF!,CZ$17,#REF!)*$CG26)*(SUMIF(ProductCodes,"H",$CI:$CI)/(SUMIF(ProductCodes,"H",$CH:$CH))),""))))))),"Error")</f>
        <v>Error</v>
      </c>
      <c r="DA26" s="84" t="str">
        <f>IFERROR(
IF(SUMIF(ProductCodes,"C",$CI:$CI)=$CI$42,(IF($A26="C",(SUMIF(#REF!,DA$17,#REF!)*$CG26)*((SUMIF(ProductCodes,"C",$CI:$CI)-SUMIF(ProductCodes,"H",$CH:$CH)-SUMIF(ProductCodes,"R",$CH:$CH)-SUMIF(ProductCodes,"B",$CH:$CH)-(SUMIF(ProductCodes,"S",$CH:$CH)/2))/SUMIF(ProductCodes,"C",$CH:$CH)),IF($A26="S",(SUMIF(#REF!,DA$17,#REF!)*$CG26)/2,
IF($A26="B",(SUMIF(#REF!,DA$17,#REF!)*$CG26),
IF($A26="R",(SUMIF(#REF!,DA$17,#REF!)*$CG26),
IF($A26="H",(SUMIF(#REF!,DA$17,#REF!)*$CG26),"")))))),
IF(SUMIF(ProductCodes,"S",$CI:$CI)=$CI$42,(IF($A26="S",(SUMIF(#REF!,DA$17,#REF!)*$CG26)*((SUMIF(ProductCodes,"S",$CI:$CI)-SUMIF(ProductCodes,"H",$CH:$CH)-SUMIF(ProductCodes,"R",$CH:$CH)-SUMIF(ProductCodes,"B",$CH:$CH)-(SUMIF(ProductCodes,"C",$CH:$CH)/4))/SUMIF(ProductCodes,"S",$CH:$CH)),
IF($A26="C",(SUMIF(#REF!,DA$17,#REF!)*$CG26)/4,
IF($A26="B",(SUMIF(#REF!,DA$17,#REF!)*$CG26),
IF($A26="R",(SUMIF(#REF!,DA$17,#REF!)*$CG26),
IF($A26="H",(SUMIF(#REF!,DA$17,#REF!)*$CG26),"")))))),
IF($A26="C",(SUMIF(#REF!,DA$17,#REF!)*$CG26)*(SUMIF(ProductCodes,"C",$CI:$CI)/(SUMIF(ProductCodes,"C",$CH:$CH))),
IF($A26="S",(SUMIF(#REF!,DA$17,#REF!)*$CG26)*(SUMIF(ProductCodes,"S",$CI:$CI)/(SUMIF(ProductCodes,"S",$CH:$CH))),
IF($A26="B",(SUMIF(#REF!,DA$17,#REF!)*$CG26)*(SUMIF(ProductCodes,"B",$CI:$CI)/(SUMIF(ProductCodes,"B",$CH:$CH))),
IF($A26="R",(SUMIF(#REF!,DA$17,#REF!)*$CG26)*(SUMIF(ProductCodes,"R",$CI:$CI)/(SUMIF(ProductCodes,"R",$CH:$CH))),
IF($A26="H",(SUMIF(#REF!,DA$17,#REF!)*$CG26)*(SUMIF(ProductCodes,"H",$CI:$CI)/(SUMIF(ProductCodes,"H",$CH:$CH))),""))))))),"Error")</f>
        <v>Error</v>
      </c>
      <c r="DB26" s="84" t="str">
        <f>IFERROR(
IF(SUMIF(ProductCodes,"C",$CI:$CI)=$CI$42,(IF($A26="C",(SUMIF(#REF!,DB$17,#REF!)*$CG26)*((SUMIF(ProductCodes,"C",$CI:$CI)-SUMIF(ProductCodes,"H",$CH:$CH)-SUMIF(ProductCodes,"R",$CH:$CH)-SUMIF(ProductCodes,"B",$CH:$CH)-(SUMIF(ProductCodes,"S",$CH:$CH)/2))/SUMIF(ProductCodes,"C",$CH:$CH)),IF($A26="S",(SUMIF(#REF!,DB$17,#REF!)*$CG26)/2,
IF($A26="B",(SUMIF(#REF!,DB$17,#REF!)*$CG26),
IF($A26="R",(SUMIF(#REF!,DB$17,#REF!)*$CG26),
IF($A26="H",(SUMIF(#REF!,DB$17,#REF!)*$CG26),"")))))),
IF(SUMIF(ProductCodes,"S",$CI:$CI)=$CI$42,(IF($A26="S",(SUMIF(#REF!,DB$17,#REF!)*$CG26)*((SUMIF(ProductCodes,"S",$CI:$CI)-SUMIF(ProductCodes,"H",$CH:$CH)-SUMIF(ProductCodes,"R",$CH:$CH)-SUMIF(ProductCodes,"B",$CH:$CH)-(SUMIF(ProductCodes,"C",$CH:$CH)/4))/SUMIF(ProductCodes,"S",$CH:$CH)),
IF($A26="C",(SUMIF(#REF!,DB$17,#REF!)*$CG26)/4,
IF($A26="B",(SUMIF(#REF!,DB$17,#REF!)*$CG26),
IF($A26="R",(SUMIF(#REF!,DB$17,#REF!)*$CG26),
IF($A26="H",(SUMIF(#REF!,DB$17,#REF!)*$CG26),"")))))),
IF($A26="C",(SUMIF(#REF!,DB$17,#REF!)*$CG26)*(SUMIF(ProductCodes,"C",$CI:$CI)/(SUMIF(ProductCodes,"C",$CH:$CH))),
IF($A26="S",(SUMIF(#REF!,DB$17,#REF!)*$CG26)*(SUMIF(ProductCodes,"S",$CI:$CI)/(SUMIF(ProductCodes,"S",$CH:$CH))),
IF($A26="B",(SUMIF(#REF!,DB$17,#REF!)*$CG26)*(SUMIF(ProductCodes,"B",$CI:$CI)/(SUMIF(ProductCodes,"B",$CH:$CH))),
IF($A26="R",(SUMIF(#REF!,DB$17,#REF!)*$CG26)*(SUMIF(ProductCodes,"R",$CI:$CI)/(SUMIF(ProductCodes,"R",$CH:$CH))),
IF($A26="H",(SUMIF(#REF!,DB$17,#REF!)*$CG26)*(SUMIF(ProductCodes,"H",$CI:$CI)/(SUMIF(ProductCodes,"H",$CH:$CH))),""))))))),"Error")</f>
        <v>Error</v>
      </c>
      <c r="DC26" s="84" t="str">
        <f>IFERROR(
IF(SUMIF(ProductCodes,"C",$CI:$CI)=$CI$42,(IF($A26="C",(SUMIF(#REF!,DC$17,#REF!)*$CG26)*((SUMIF(ProductCodes,"C",$CI:$CI)-SUMIF(ProductCodes,"H",$CH:$CH)-SUMIF(ProductCodes,"R",$CH:$CH)-SUMIF(ProductCodes,"B",$CH:$CH)-(SUMIF(ProductCodes,"S",$CH:$CH)/2))/SUMIF(ProductCodes,"C",$CH:$CH)),IF($A26="S",(SUMIF(#REF!,DC$17,#REF!)*$CG26)/2,
IF($A26="B",(SUMIF(#REF!,DC$17,#REF!)*$CG26),
IF($A26="R",(SUMIF(#REF!,DC$17,#REF!)*$CG26),
IF($A26="H",(SUMIF(#REF!,DC$17,#REF!)*$CG26),"")))))),
IF(SUMIF(ProductCodes,"S",$CI:$CI)=$CI$42,(IF($A26="S",(SUMIF(#REF!,DC$17,#REF!)*$CG26)*((SUMIF(ProductCodes,"S",$CI:$CI)-SUMIF(ProductCodes,"H",$CH:$CH)-SUMIF(ProductCodes,"R",$CH:$CH)-SUMIF(ProductCodes,"B",$CH:$CH)-(SUMIF(ProductCodes,"C",$CH:$CH)/4))/SUMIF(ProductCodes,"S",$CH:$CH)),
IF($A26="C",(SUMIF(#REF!,DC$17,#REF!)*$CG26)/4,
IF($A26="B",(SUMIF(#REF!,DC$17,#REF!)*$CG26),
IF($A26="R",(SUMIF(#REF!,DC$17,#REF!)*$CG26),
IF($A26="H",(SUMIF(#REF!,DC$17,#REF!)*$CG26),"")))))),
IF($A26="C",(SUMIF(#REF!,DC$17,#REF!)*$CG26)*(SUMIF(ProductCodes,"C",$CI:$CI)/(SUMIF(ProductCodes,"C",$CH:$CH))),
IF($A26="S",(SUMIF(#REF!,DC$17,#REF!)*$CG26)*(SUMIF(ProductCodes,"S",$CI:$CI)/(SUMIF(ProductCodes,"S",$CH:$CH))),
IF($A26="B",(SUMIF(#REF!,DC$17,#REF!)*$CG26)*(SUMIF(ProductCodes,"B",$CI:$CI)/(SUMIF(ProductCodes,"B",$CH:$CH))),
IF($A26="R",(SUMIF(#REF!,DC$17,#REF!)*$CG26)*(SUMIF(ProductCodes,"R",$CI:$CI)/(SUMIF(ProductCodes,"R",$CH:$CH))),
IF($A26="H",(SUMIF(#REF!,DC$17,#REF!)*$CG26)*(SUMIF(ProductCodes,"H",$CI:$CI)/(SUMIF(ProductCodes,"H",$CH:$CH))),""))))))),"Error")</f>
        <v>Error</v>
      </c>
      <c r="DD26" s="84" t="str">
        <f>IFERROR(
IF(SUMIF(ProductCodes,"C",$CI:$CI)=$CI$42,(IF($A26="C",(SUMIF(#REF!,DD$17,#REF!)*$CG26)*((SUMIF(ProductCodes,"C",$CI:$CI)-SUMIF(ProductCodes,"H",$CH:$CH)-SUMIF(ProductCodes,"R",$CH:$CH)-SUMIF(ProductCodes,"B",$CH:$CH)-(SUMIF(ProductCodes,"S",$CH:$CH)/2))/SUMIF(ProductCodes,"C",$CH:$CH)),IF($A26="S",(SUMIF(#REF!,DD$17,#REF!)*$CG26)/2,
IF($A26="B",(SUMIF(#REF!,DD$17,#REF!)*$CG26),
IF($A26="R",(SUMIF(#REF!,DD$17,#REF!)*$CG26),
IF($A26="H",(SUMIF(#REF!,DD$17,#REF!)*$CG26),"")))))),
IF(SUMIF(ProductCodes,"S",$CI:$CI)=$CI$42,(IF($A26="S",(SUMIF(#REF!,DD$17,#REF!)*$CG26)*((SUMIF(ProductCodes,"S",$CI:$CI)-SUMIF(ProductCodes,"H",$CH:$CH)-SUMIF(ProductCodes,"R",$CH:$CH)-SUMIF(ProductCodes,"B",$CH:$CH)-(SUMIF(ProductCodes,"C",$CH:$CH)/4))/SUMIF(ProductCodes,"S",$CH:$CH)),
IF($A26="C",(SUMIF(#REF!,DD$17,#REF!)*$CG26)/4,
IF($A26="B",(SUMIF(#REF!,DD$17,#REF!)*$CG26),
IF($A26="R",(SUMIF(#REF!,DD$17,#REF!)*$CG26),
IF($A26="H",(SUMIF(#REF!,DD$17,#REF!)*$CG26),"")))))),
IF($A26="C",(SUMIF(#REF!,DD$17,#REF!)*$CG26)*(SUMIF(ProductCodes,"C",$CI:$CI)/(SUMIF(ProductCodes,"C",$CH:$CH))),
IF($A26="S",(SUMIF(#REF!,DD$17,#REF!)*$CG26)*(SUMIF(ProductCodes,"S",$CI:$CI)/(SUMIF(ProductCodes,"S",$CH:$CH))),
IF($A26="B",(SUMIF(#REF!,DD$17,#REF!)*$CG26)*(SUMIF(ProductCodes,"B",$CI:$CI)/(SUMIF(ProductCodes,"B",$CH:$CH))),
IF($A26="R",(SUMIF(#REF!,DD$17,#REF!)*$CG26)*(SUMIF(ProductCodes,"R",$CI:$CI)/(SUMIF(ProductCodes,"R",$CH:$CH))),
IF($A26="H",(SUMIF(#REF!,DD$17,#REF!)*$CG26)*(SUMIF(ProductCodes,"H",$CI:$CI)/(SUMIF(ProductCodes,"H",$CH:$CH))),""))))))),"Error")</f>
        <v>Error</v>
      </c>
      <c r="DE26" s="84" t="str">
        <f>IFERROR(
IF(SUMIF(ProductCodes,"C",$CI:$CI)=$CI$42,(IF($A26="C",(SUMIF(#REF!,DE$17,#REF!)*$CG26)*((SUMIF(ProductCodes,"C",$CI:$CI)-SUMIF(ProductCodes,"H",$CH:$CH)-SUMIF(ProductCodes,"R",$CH:$CH)-SUMIF(ProductCodes,"B",$CH:$CH)-(SUMIF(ProductCodes,"S",$CH:$CH)/2))/SUMIF(ProductCodes,"C",$CH:$CH)),IF($A26="S",(SUMIF(#REF!,DE$17,#REF!)*$CG26)/2,
IF($A26="B",(SUMIF(#REF!,DE$17,#REF!)*$CG26),
IF($A26="R",(SUMIF(#REF!,DE$17,#REF!)*$CG26),
IF($A26="H",(SUMIF(#REF!,DE$17,#REF!)*$CG26),"")))))),
IF(SUMIF(ProductCodes,"S",$CI:$CI)=$CI$42,(IF($A26="S",(SUMIF(#REF!,DE$17,#REF!)*$CG26)*((SUMIF(ProductCodes,"S",$CI:$CI)-SUMIF(ProductCodes,"H",$CH:$CH)-SUMIF(ProductCodes,"R",$CH:$CH)-SUMIF(ProductCodes,"B",$CH:$CH)-(SUMIF(ProductCodes,"C",$CH:$CH)/4))/SUMIF(ProductCodes,"S",$CH:$CH)),
IF($A26="C",(SUMIF(#REF!,DE$17,#REF!)*$CG26)/4,
IF($A26="B",(SUMIF(#REF!,DE$17,#REF!)*$CG26),
IF($A26="R",(SUMIF(#REF!,DE$17,#REF!)*$CG26),
IF($A26="H",(SUMIF(#REF!,DE$17,#REF!)*$CG26),"")))))),
IF($A26="C",(SUMIF(#REF!,DE$17,#REF!)*$CG26)*(SUMIF(ProductCodes,"C",$CI:$CI)/(SUMIF(ProductCodes,"C",$CH:$CH))),
IF($A26="S",(SUMIF(#REF!,DE$17,#REF!)*$CG26)*(SUMIF(ProductCodes,"S",$CI:$CI)/(SUMIF(ProductCodes,"S",$CH:$CH))),
IF($A26="B",(SUMIF(#REF!,DE$17,#REF!)*$CG26)*(SUMIF(ProductCodes,"B",$CI:$CI)/(SUMIF(ProductCodes,"B",$CH:$CH))),
IF($A26="R",(SUMIF(#REF!,DE$17,#REF!)*$CG26)*(SUMIF(ProductCodes,"R",$CI:$CI)/(SUMIF(ProductCodes,"R",$CH:$CH))),
IF($A26="H",(SUMIF(#REF!,DE$17,#REF!)*$CG26)*(SUMIF(ProductCodes,"H",$CI:$CI)/(SUMIF(ProductCodes,"H",$CH:$CH))),""))))))),"Error")</f>
        <v>Error</v>
      </c>
      <c r="DF26" s="84" t="str">
        <f>IFERROR(
IF(SUMIF(ProductCodes,"C",$CI:$CI)=$CI$42,(IF($A26="C",(SUMIF(#REF!,DF$17,#REF!)*$CG26)*((SUMIF(ProductCodes,"C",$CI:$CI)-SUMIF(ProductCodes,"H",$CH:$CH)-SUMIF(ProductCodes,"R",$CH:$CH)-SUMIF(ProductCodes,"B",$CH:$CH)-(SUMIF(ProductCodes,"S",$CH:$CH)/2))/SUMIF(ProductCodes,"C",$CH:$CH)),IF($A26="S",(SUMIF(#REF!,DF$17,#REF!)*$CG26)/2,
IF($A26="B",(SUMIF(#REF!,DF$17,#REF!)*$CG26),
IF($A26="R",(SUMIF(#REF!,DF$17,#REF!)*$CG26),
IF($A26="H",(SUMIF(#REF!,DF$17,#REF!)*$CG26),"")))))),
IF(SUMIF(ProductCodes,"S",$CI:$CI)=$CI$42,(IF($A26="S",(SUMIF(#REF!,DF$17,#REF!)*$CG26)*((SUMIF(ProductCodes,"S",$CI:$CI)-SUMIF(ProductCodes,"H",$CH:$CH)-SUMIF(ProductCodes,"R",$CH:$CH)-SUMIF(ProductCodes,"B",$CH:$CH)-(SUMIF(ProductCodes,"C",$CH:$CH)/4))/SUMIF(ProductCodes,"S",$CH:$CH)),
IF($A26="C",(SUMIF(#REF!,DF$17,#REF!)*$CG26)/4,
IF($A26="B",(SUMIF(#REF!,DF$17,#REF!)*$CG26),
IF($A26="R",(SUMIF(#REF!,DF$17,#REF!)*$CG26),
IF($A26="H",(SUMIF(#REF!,DF$17,#REF!)*$CG26),"")))))),
IF($A26="C",(SUMIF(#REF!,DF$17,#REF!)*$CG26)*(SUMIF(ProductCodes,"C",$CI:$CI)/(SUMIF(ProductCodes,"C",$CH:$CH))),
IF($A26="S",(SUMIF(#REF!,DF$17,#REF!)*$CG26)*(SUMIF(ProductCodes,"S",$CI:$CI)/(SUMIF(ProductCodes,"S",$CH:$CH))),
IF($A26="B",(SUMIF(#REF!,DF$17,#REF!)*$CG26)*(SUMIF(ProductCodes,"B",$CI:$CI)/(SUMIF(ProductCodes,"B",$CH:$CH))),
IF($A26="R",(SUMIF(#REF!,DF$17,#REF!)*$CG26)*(SUMIF(ProductCodes,"R",$CI:$CI)/(SUMIF(ProductCodes,"R",$CH:$CH))),
IF($A26="H",(SUMIF(#REF!,DF$17,#REF!)*$CG26)*(SUMIF(ProductCodes,"H",$CI:$CI)/(SUMIF(ProductCodes,"H",$CH:$CH))),""))))))),"Error")</f>
        <v>Error</v>
      </c>
      <c r="DG26" s="84" t="str">
        <f>IFERROR(
IF(SUMIF(ProductCodes,"C",$CI:$CI)=$CI$42,(IF($A26="C",(SUMIF(#REF!,DG$17,#REF!)*$CG26)*((SUMIF(ProductCodes,"C",$CI:$CI)-SUMIF(ProductCodes,"H",$CH:$CH)-SUMIF(ProductCodes,"R",$CH:$CH)-SUMIF(ProductCodes,"B",$CH:$CH)-(SUMIF(ProductCodes,"S",$CH:$CH)/2))/SUMIF(ProductCodes,"C",$CH:$CH)),IF($A26="S",(SUMIF(#REF!,DG$17,#REF!)*$CG26)/2,
IF($A26="B",(SUMIF(#REF!,DG$17,#REF!)*$CG26),
IF($A26="R",(SUMIF(#REF!,DG$17,#REF!)*$CG26),
IF($A26="H",(SUMIF(#REF!,DG$17,#REF!)*$CG26),"")))))),
IF(SUMIF(ProductCodes,"S",$CI:$CI)=$CI$42,(IF($A26="S",(SUMIF(#REF!,DG$17,#REF!)*$CG26)*((SUMIF(ProductCodes,"S",$CI:$CI)-SUMIF(ProductCodes,"H",$CH:$CH)-SUMIF(ProductCodes,"R",$CH:$CH)-SUMIF(ProductCodes,"B",$CH:$CH)-(SUMIF(ProductCodes,"C",$CH:$CH)/4))/SUMIF(ProductCodes,"S",$CH:$CH)),
IF($A26="C",(SUMIF(#REF!,DG$17,#REF!)*$CG26)/4,
IF($A26="B",(SUMIF(#REF!,DG$17,#REF!)*$CG26),
IF($A26="R",(SUMIF(#REF!,DG$17,#REF!)*$CG26),
IF($A26="H",(SUMIF(#REF!,DG$17,#REF!)*$CG26),"")))))),
IF($A26="C",(SUMIF(#REF!,DG$17,#REF!)*$CG26)*(SUMIF(ProductCodes,"C",$CI:$CI)/(SUMIF(ProductCodes,"C",$CH:$CH))),
IF($A26="S",(SUMIF(#REF!,DG$17,#REF!)*$CG26)*(SUMIF(ProductCodes,"S",$CI:$CI)/(SUMIF(ProductCodes,"S",$CH:$CH))),
IF($A26="B",(SUMIF(#REF!,DG$17,#REF!)*$CG26)*(SUMIF(ProductCodes,"B",$CI:$CI)/(SUMIF(ProductCodes,"B",$CH:$CH))),
IF($A26="R",(SUMIF(#REF!,DG$17,#REF!)*$CG26)*(SUMIF(ProductCodes,"R",$CI:$CI)/(SUMIF(ProductCodes,"R",$CH:$CH))),
IF($A26="H",(SUMIF(#REF!,DG$17,#REF!)*$CG26)*(SUMIF(ProductCodes,"H",$CI:$CI)/(SUMIF(ProductCodes,"H",$CH:$CH))),""))))))),"Error")</f>
        <v>Error</v>
      </c>
      <c r="DH26" s="84" t="str">
        <f>IFERROR(
IF(SUMIF(ProductCodes,"C",$CI:$CI)=$CI$42,(IF($A26="C",(SUMIF(#REF!,DH$17,#REF!)*$CG26)*((SUMIF(ProductCodes,"C",$CI:$CI)-SUMIF(ProductCodes,"H",$CH:$CH)-SUMIF(ProductCodes,"R",$CH:$CH)-SUMIF(ProductCodes,"B",$CH:$CH)-(SUMIF(ProductCodes,"S",$CH:$CH)/2))/SUMIF(ProductCodes,"C",$CH:$CH)),IF($A26="S",(SUMIF(#REF!,DH$17,#REF!)*$CG26)/2,
IF($A26="B",(SUMIF(#REF!,DH$17,#REF!)*$CG26),
IF($A26="R",(SUMIF(#REF!,DH$17,#REF!)*$CG26),
IF($A26="H",(SUMIF(#REF!,DH$17,#REF!)*$CG26),"")))))),
IF(SUMIF(ProductCodes,"S",$CI:$CI)=$CI$42,(IF($A26="S",(SUMIF(#REF!,DH$17,#REF!)*$CG26)*((SUMIF(ProductCodes,"S",$CI:$CI)-SUMIF(ProductCodes,"H",$CH:$CH)-SUMIF(ProductCodes,"R",$CH:$CH)-SUMIF(ProductCodes,"B",$CH:$CH)-(SUMIF(ProductCodes,"C",$CH:$CH)/4))/SUMIF(ProductCodes,"S",$CH:$CH)),
IF($A26="C",(SUMIF(#REF!,DH$17,#REF!)*$CG26)/4,
IF($A26="B",(SUMIF(#REF!,DH$17,#REF!)*$CG26),
IF($A26="R",(SUMIF(#REF!,DH$17,#REF!)*$CG26),
IF($A26="H",(SUMIF(#REF!,DH$17,#REF!)*$CG26),"")))))),
IF($A26="C",(SUMIF(#REF!,DH$17,#REF!)*$CG26)*(SUMIF(ProductCodes,"C",$CI:$CI)/(SUMIF(ProductCodes,"C",$CH:$CH))),
IF($A26="S",(SUMIF(#REF!,DH$17,#REF!)*$CG26)*(SUMIF(ProductCodes,"S",$CI:$CI)/(SUMIF(ProductCodes,"S",$CH:$CH))),
IF($A26="B",(SUMIF(#REF!,DH$17,#REF!)*$CG26)*(SUMIF(ProductCodes,"B",$CI:$CI)/(SUMIF(ProductCodes,"B",$CH:$CH))),
IF($A26="R",(SUMIF(#REF!,DH$17,#REF!)*$CG26)*(SUMIF(ProductCodes,"R",$CI:$CI)/(SUMIF(ProductCodes,"R",$CH:$CH))),
IF($A26="H",(SUMIF(#REF!,DH$17,#REF!)*$CG26)*(SUMIF(ProductCodes,"H",$CI:$CI)/(SUMIF(ProductCodes,"H",$CH:$CH))),""))))))),"Error")</f>
        <v>Error</v>
      </c>
      <c r="DI26" s="84" t="str">
        <f>IFERROR(
IF(SUMIF(ProductCodes,"C",$CI:$CI)=$CI$42,(IF($A26="C",(SUMIF(#REF!,DI$17,#REF!)*$CG26)*((SUMIF(ProductCodes,"C",$CI:$CI)-SUMIF(ProductCodes,"H",$CH:$CH)-SUMIF(ProductCodes,"R",$CH:$CH)-SUMIF(ProductCodes,"B",$CH:$CH)-(SUMIF(ProductCodes,"S",$CH:$CH)/2))/SUMIF(ProductCodes,"C",$CH:$CH)),IF($A26="S",(SUMIF(#REF!,DI$17,#REF!)*$CG26)/2,
IF($A26="B",(SUMIF(#REF!,DI$17,#REF!)*$CG26),
IF($A26="R",(SUMIF(#REF!,DI$17,#REF!)*$CG26),
IF($A26="H",(SUMIF(#REF!,DI$17,#REF!)*$CG26),"")))))),
IF(SUMIF(ProductCodes,"S",$CI:$CI)=$CI$42,(IF($A26="S",(SUMIF(#REF!,DI$17,#REF!)*$CG26)*((SUMIF(ProductCodes,"S",$CI:$CI)-SUMIF(ProductCodes,"H",$CH:$CH)-SUMIF(ProductCodes,"R",$CH:$CH)-SUMIF(ProductCodes,"B",$CH:$CH)-(SUMIF(ProductCodes,"C",$CH:$CH)/4))/SUMIF(ProductCodes,"S",$CH:$CH)),
IF($A26="C",(SUMIF(#REF!,DI$17,#REF!)*$CG26)/4,
IF($A26="B",(SUMIF(#REF!,DI$17,#REF!)*$CG26),
IF($A26="R",(SUMIF(#REF!,DI$17,#REF!)*$CG26),
IF($A26="H",(SUMIF(#REF!,DI$17,#REF!)*$CG26),"")))))),
IF($A26="C",(SUMIF(#REF!,DI$17,#REF!)*$CG26)*(SUMIF(ProductCodes,"C",$CI:$CI)/(SUMIF(ProductCodes,"C",$CH:$CH))),
IF($A26="S",(SUMIF(#REF!,DI$17,#REF!)*$CG26)*(SUMIF(ProductCodes,"S",$CI:$CI)/(SUMIF(ProductCodes,"S",$CH:$CH))),
IF($A26="B",(SUMIF(#REF!,DI$17,#REF!)*$CG26)*(SUMIF(ProductCodes,"B",$CI:$CI)/(SUMIF(ProductCodes,"B",$CH:$CH))),
IF($A26="R",(SUMIF(#REF!,DI$17,#REF!)*$CG26)*(SUMIF(ProductCodes,"R",$CI:$CI)/(SUMIF(ProductCodes,"R",$CH:$CH))),
IF($A26="H",(SUMIF(#REF!,DI$17,#REF!)*$CG26)*(SUMIF(ProductCodes,"H",$CI:$CI)/(SUMIF(ProductCodes,"H",$CH:$CH))),""))))))),"Error")</f>
        <v>Error</v>
      </c>
      <c r="DJ26" s="84" t="str">
        <f>IFERROR(
IF(SUMIF(ProductCodes,"C",$CI:$CI)=$CI$42,(IF($A26="C",(SUMIF(#REF!,DJ$17,#REF!)*$CG26)*((SUMIF(ProductCodes,"C",$CI:$CI)-SUMIF(ProductCodes,"H",$CH:$CH)-SUMIF(ProductCodes,"R",$CH:$CH)-SUMIF(ProductCodes,"B",$CH:$CH)-(SUMIF(ProductCodes,"S",$CH:$CH)/2))/SUMIF(ProductCodes,"C",$CH:$CH)),IF($A26="S",(SUMIF(#REF!,DJ$17,#REF!)*$CG26)/2,
IF($A26="B",(SUMIF(#REF!,DJ$17,#REF!)*$CG26),
IF($A26="R",(SUMIF(#REF!,DJ$17,#REF!)*$CG26),
IF($A26="H",(SUMIF(#REF!,DJ$17,#REF!)*$CG26),"")))))),
IF(SUMIF(ProductCodes,"S",$CI:$CI)=$CI$42,(IF($A26="S",(SUMIF(#REF!,DJ$17,#REF!)*$CG26)*((SUMIF(ProductCodes,"S",$CI:$CI)-SUMIF(ProductCodes,"H",$CH:$CH)-SUMIF(ProductCodes,"R",$CH:$CH)-SUMIF(ProductCodes,"B",$CH:$CH)-(SUMIF(ProductCodes,"C",$CH:$CH)/4))/SUMIF(ProductCodes,"S",$CH:$CH)),
IF($A26="C",(SUMIF(#REF!,DJ$17,#REF!)*$CG26)/4,
IF($A26="B",(SUMIF(#REF!,DJ$17,#REF!)*$CG26),
IF($A26="R",(SUMIF(#REF!,DJ$17,#REF!)*$CG26),
IF($A26="H",(SUMIF(#REF!,DJ$17,#REF!)*$CG26),"")))))),
IF($A26="C",(SUMIF(#REF!,DJ$17,#REF!)*$CG26)*(SUMIF(ProductCodes,"C",$CI:$CI)/(SUMIF(ProductCodes,"C",$CH:$CH))),
IF($A26="S",(SUMIF(#REF!,DJ$17,#REF!)*$CG26)*(SUMIF(ProductCodes,"S",$CI:$CI)/(SUMIF(ProductCodes,"S",$CH:$CH))),
IF($A26="B",(SUMIF(#REF!,DJ$17,#REF!)*$CG26)*(SUMIF(ProductCodes,"B",$CI:$CI)/(SUMIF(ProductCodes,"B",$CH:$CH))),
IF($A26="R",(SUMIF(#REF!,DJ$17,#REF!)*$CG26)*(SUMIF(ProductCodes,"R",$CI:$CI)/(SUMIF(ProductCodes,"R",$CH:$CH))),
IF($A26="H",(SUMIF(#REF!,DJ$17,#REF!)*$CG26)*(SUMIF(ProductCodes,"H",$CI:$CI)/(SUMIF(ProductCodes,"H",$CH:$CH))),""))))))),"Error")</f>
        <v>Error</v>
      </c>
      <c r="DK26" s="84" t="str">
        <f>IFERROR(
IF(SUMIF(ProductCodes,"C",$CI:$CI)=$CI$42,(IF($A26="C",(SUMIF(#REF!,DK$17,#REF!)*$CG26)*((SUMIF(ProductCodes,"C",$CI:$CI)-SUMIF(ProductCodes,"H",$CH:$CH)-SUMIF(ProductCodes,"R",$CH:$CH)-SUMIF(ProductCodes,"B",$CH:$CH)-(SUMIF(ProductCodes,"S",$CH:$CH)/2))/SUMIF(ProductCodes,"C",$CH:$CH)),IF($A26="S",(SUMIF(#REF!,DK$17,#REF!)*$CG26)/2,
IF($A26="B",(SUMIF(#REF!,DK$17,#REF!)*$CG26),
IF($A26="R",(SUMIF(#REF!,DK$17,#REF!)*$CG26),
IF($A26="H",(SUMIF(#REF!,DK$17,#REF!)*$CG26),"")))))),
IF(SUMIF(ProductCodes,"S",$CI:$CI)=$CI$42,(IF($A26="S",(SUMIF(#REF!,DK$17,#REF!)*$CG26)*((SUMIF(ProductCodes,"S",$CI:$CI)-SUMIF(ProductCodes,"H",$CH:$CH)-SUMIF(ProductCodes,"R",$CH:$CH)-SUMIF(ProductCodes,"B",$CH:$CH)-(SUMIF(ProductCodes,"C",$CH:$CH)/4))/SUMIF(ProductCodes,"S",$CH:$CH)),
IF($A26="C",(SUMIF(#REF!,DK$17,#REF!)*$CG26)/4,
IF($A26="B",(SUMIF(#REF!,DK$17,#REF!)*$CG26),
IF($A26="R",(SUMIF(#REF!,DK$17,#REF!)*$CG26),
IF($A26="H",(SUMIF(#REF!,DK$17,#REF!)*$CG26),"")))))),
IF($A26="C",(SUMIF(#REF!,DK$17,#REF!)*$CG26)*(SUMIF(ProductCodes,"C",$CI:$CI)/(SUMIF(ProductCodes,"C",$CH:$CH))),
IF($A26="S",(SUMIF(#REF!,DK$17,#REF!)*$CG26)*(SUMIF(ProductCodes,"S",$CI:$CI)/(SUMIF(ProductCodes,"S",$CH:$CH))),
IF($A26="B",(SUMIF(#REF!,DK$17,#REF!)*$CG26)*(SUMIF(ProductCodes,"B",$CI:$CI)/(SUMIF(ProductCodes,"B",$CH:$CH))),
IF($A26="R",(SUMIF(#REF!,DK$17,#REF!)*$CG26)*(SUMIF(ProductCodes,"R",$CI:$CI)/(SUMIF(ProductCodes,"R",$CH:$CH))),
IF($A26="H",(SUMIF(#REF!,DK$17,#REF!)*$CG26)*(SUMIF(ProductCodes,"H",$CI:$CI)/(SUMIF(ProductCodes,"H",$CH:$CH))),""))))))),"Error")</f>
        <v>Error</v>
      </c>
      <c r="DL26" s="84" t="str">
        <f>IFERROR(
IF(SUMIF(ProductCodes,"C",$CI:$CI)=$CI$42,(IF($A26="C",(SUMIF(#REF!,DL$17,#REF!)*$CG26)*((SUMIF(ProductCodes,"C",$CI:$CI)-SUMIF(ProductCodes,"H",$CH:$CH)-SUMIF(ProductCodes,"R",$CH:$CH)-SUMIF(ProductCodes,"B",$CH:$CH)-(SUMIF(ProductCodes,"S",$CH:$CH)/2))/SUMIF(ProductCodes,"C",$CH:$CH)),IF($A26="S",(SUMIF(#REF!,DL$17,#REF!)*$CG26)/2,
IF($A26="B",(SUMIF(#REF!,DL$17,#REF!)*$CG26),
IF($A26="R",(SUMIF(#REF!,DL$17,#REF!)*$CG26),
IF($A26="H",(SUMIF(#REF!,DL$17,#REF!)*$CG26),"")))))),
IF(SUMIF(ProductCodes,"S",$CI:$CI)=$CI$42,(IF($A26="S",(SUMIF(#REF!,DL$17,#REF!)*$CG26)*((SUMIF(ProductCodes,"S",$CI:$CI)-SUMIF(ProductCodes,"H",$CH:$CH)-SUMIF(ProductCodes,"R",$CH:$CH)-SUMIF(ProductCodes,"B",$CH:$CH)-(SUMIF(ProductCodes,"C",$CH:$CH)/4))/SUMIF(ProductCodes,"S",$CH:$CH)),
IF($A26="C",(SUMIF(#REF!,DL$17,#REF!)*$CG26)/4,
IF($A26="B",(SUMIF(#REF!,DL$17,#REF!)*$CG26),
IF($A26="R",(SUMIF(#REF!,DL$17,#REF!)*$CG26),
IF($A26="H",(SUMIF(#REF!,DL$17,#REF!)*$CG26),"")))))),
IF($A26="C",(SUMIF(#REF!,DL$17,#REF!)*$CG26)*(SUMIF(ProductCodes,"C",$CI:$CI)/(SUMIF(ProductCodes,"C",$CH:$CH))),
IF($A26="S",(SUMIF(#REF!,DL$17,#REF!)*$CG26)*(SUMIF(ProductCodes,"S",$CI:$CI)/(SUMIF(ProductCodes,"S",$CH:$CH))),
IF($A26="B",(SUMIF(#REF!,DL$17,#REF!)*$CG26)*(SUMIF(ProductCodes,"B",$CI:$CI)/(SUMIF(ProductCodes,"B",$CH:$CH))),
IF($A26="R",(SUMIF(#REF!,DL$17,#REF!)*$CG26)*(SUMIF(ProductCodes,"R",$CI:$CI)/(SUMIF(ProductCodes,"R",$CH:$CH))),
IF($A26="H",(SUMIF(#REF!,DL$17,#REF!)*$CG26)*(SUMIF(ProductCodes,"H",$CI:$CI)/(SUMIF(ProductCodes,"H",$CH:$CH))),""))))))),"Error")</f>
        <v>Error</v>
      </c>
      <c r="DM26" s="84" t="str">
        <f>IFERROR(
IF(SUMIF(ProductCodes,"C",$CI:$CI)=$CI$42,(IF($A26="C",(SUMIF(#REF!,DM$17,#REF!)*$CG26)*((SUMIF(ProductCodes,"C",$CI:$CI)-SUMIF(ProductCodes,"H",$CH:$CH)-SUMIF(ProductCodes,"R",$CH:$CH)-SUMIF(ProductCodes,"B",$CH:$CH)-(SUMIF(ProductCodes,"S",$CH:$CH)/2))/SUMIF(ProductCodes,"C",$CH:$CH)),IF($A26="S",(SUMIF(#REF!,DM$17,#REF!)*$CG26)/2,
IF($A26="B",(SUMIF(#REF!,DM$17,#REF!)*$CG26),
IF($A26="R",(SUMIF(#REF!,DM$17,#REF!)*$CG26),
IF($A26="H",(SUMIF(#REF!,DM$17,#REF!)*$CG26),"")))))),
IF(SUMIF(ProductCodes,"S",$CI:$CI)=$CI$42,(IF($A26="S",(SUMIF(#REF!,DM$17,#REF!)*$CG26)*((SUMIF(ProductCodes,"S",$CI:$CI)-SUMIF(ProductCodes,"H",$CH:$CH)-SUMIF(ProductCodes,"R",$CH:$CH)-SUMIF(ProductCodes,"B",$CH:$CH)-(SUMIF(ProductCodes,"C",$CH:$CH)/4))/SUMIF(ProductCodes,"S",$CH:$CH)),
IF($A26="C",(SUMIF(#REF!,DM$17,#REF!)*$CG26)/4,
IF($A26="B",(SUMIF(#REF!,DM$17,#REF!)*$CG26),
IF($A26="R",(SUMIF(#REF!,DM$17,#REF!)*$CG26),
IF($A26="H",(SUMIF(#REF!,DM$17,#REF!)*$CG26),"")))))),
IF($A26="C",(SUMIF(#REF!,DM$17,#REF!)*$CG26)*(SUMIF(ProductCodes,"C",$CI:$CI)/(SUMIF(ProductCodes,"C",$CH:$CH))),
IF($A26="S",(SUMIF(#REF!,DM$17,#REF!)*$CG26)*(SUMIF(ProductCodes,"S",$CI:$CI)/(SUMIF(ProductCodes,"S",$CH:$CH))),
IF($A26="B",(SUMIF(#REF!,DM$17,#REF!)*$CG26)*(SUMIF(ProductCodes,"B",$CI:$CI)/(SUMIF(ProductCodes,"B",$CH:$CH))),
IF($A26="R",(SUMIF(#REF!,DM$17,#REF!)*$CG26)*(SUMIF(ProductCodes,"R",$CI:$CI)/(SUMIF(ProductCodes,"R",$CH:$CH))),
IF($A26="H",(SUMIF(#REF!,DM$17,#REF!)*$CG26)*(SUMIF(ProductCodes,"H",$CI:$CI)/(SUMIF(ProductCodes,"H",$CH:$CH))),""))))))),"Error")</f>
        <v>Error</v>
      </c>
      <c r="DN26" s="84" t="str">
        <f>IFERROR(
IF(SUMIF(ProductCodes,"C",$CI:$CI)=$CI$42,(IF($A26="C",(SUMIF(#REF!,DN$17,#REF!)*$CG26)*((SUMIF(ProductCodes,"C",$CI:$CI)-SUMIF(ProductCodes,"H",$CH:$CH)-SUMIF(ProductCodes,"R",$CH:$CH)-SUMIF(ProductCodes,"B",$CH:$CH)-(SUMIF(ProductCodes,"S",$CH:$CH)/2))/SUMIF(ProductCodes,"C",$CH:$CH)),IF($A26="S",(SUMIF(#REF!,DN$17,#REF!)*$CG26)/2,
IF($A26="B",(SUMIF(#REF!,DN$17,#REF!)*$CG26),
IF($A26="R",(SUMIF(#REF!,DN$17,#REF!)*$CG26),
IF($A26="H",(SUMIF(#REF!,DN$17,#REF!)*$CG26),"")))))),
IF(SUMIF(ProductCodes,"S",$CI:$CI)=$CI$42,(IF($A26="S",(SUMIF(#REF!,DN$17,#REF!)*$CG26)*((SUMIF(ProductCodes,"S",$CI:$CI)-SUMIF(ProductCodes,"H",$CH:$CH)-SUMIF(ProductCodes,"R",$CH:$CH)-SUMIF(ProductCodes,"B",$CH:$CH)-(SUMIF(ProductCodes,"C",$CH:$CH)/4))/SUMIF(ProductCodes,"S",$CH:$CH)),
IF($A26="C",(SUMIF(#REF!,DN$17,#REF!)*$CG26)/4,
IF($A26="B",(SUMIF(#REF!,DN$17,#REF!)*$CG26),
IF($A26="R",(SUMIF(#REF!,DN$17,#REF!)*$CG26),
IF($A26="H",(SUMIF(#REF!,DN$17,#REF!)*$CG26),"")))))),
IF($A26="C",(SUMIF(#REF!,DN$17,#REF!)*$CG26)*(SUMIF(ProductCodes,"C",$CI:$CI)/(SUMIF(ProductCodes,"C",$CH:$CH))),
IF($A26="S",(SUMIF(#REF!,DN$17,#REF!)*$CG26)*(SUMIF(ProductCodes,"S",$CI:$CI)/(SUMIF(ProductCodes,"S",$CH:$CH))),
IF($A26="B",(SUMIF(#REF!,DN$17,#REF!)*$CG26)*(SUMIF(ProductCodes,"B",$CI:$CI)/(SUMIF(ProductCodes,"B",$CH:$CH))),
IF($A26="R",(SUMIF(#REF!,DN$17,#REF!)*$CG26)*(SUMIF(ProductCodes,"R",$CI:$CI)/(SUMIF(ProductCodes,"R",$CH:$CH))),
IF($A26="H",(SUMIF(#REF!,DN$17,#REF!)*$CG26)*(SUMIF(ProductCodes,"H",$CI:$CI)/(SUMIF(ProductCodes,"H",$CH:$CH))),""))))))),"Error")</f>
        <v>Error</v>
      </c>
      <c r="DO26" s="84" t="str">
        <f>IFERROR(
IF(SUMIF(ProductCodes,"C",$CI:$CI)=$CI$42,(IF($A26="C",(SUMIF(#REF!,DO$17,#REF!)*$CG26)*((SUMIF(ProductCodes,"C",$CI:$CI)-SUMIF(ProductCodes,"H",$CH:$CH)-SUMIF(ProductCodes,"R",$CH:$CH)-SUMIF(ProductCodes,"B",$CH:$CH)-(SUMIF(ProductCodes,"S",$CH:$CH)/2))/SUMIF(ProductCodes,"C",$CH:$CH)),IF($A26="S",(SUMIF(#REF!,DO$17,#REF!)*$CG26)/2,
IF($A26="B",(SUMIF(#REF!,DO$17,#REF!)*$CG26),
IF($A26="R",(SUMIF(#REF!,DO$17,#REF!)*$CG26),
IF($A26="H",(SUMIF(#REF!,DO$17,#REF!)*$CG26),"")))))),
IF(SUMIF(ProductCodes,"S",$CI:$CI)=$CI$42,(IF($A26="S",(SUMIF(#REF!,DO$17,#REF!)*$CG26)*((SUMIF(ProductCodes,"S",$CI:$CI)-SUMIF(ProductCodes,"H",$CH:$CH)-SUMIF(ProductCodes,"R",$CH:$CH)-SUMIF(ProductCodes,"B",$CH:$CH)-(SUMIF(ProductCodes,"C",$CH:$CH)/4))/SUMIF(ProductCodes,"S",$CH:$CH)),
IF($A26="C",(SUMIF(#REF!,DO$17,#REF!)*$CG26)/4,
IF($A26="B",(SUMIF(#REF!,DO$17,#REF!)*$CG26),
IF($A26="R",(SUMIF(#REF!,DO$17,#REF!)*$CG26),
IF($A26="H",(SUMIF(#REF!,DO$17,#REF!)*$CG26),"")))))),
IF($A26="C",(SUMIF(#REF!,DO$17,#REF!)*$CG26)*(SUMIF(ProductCodes,"C",$CI:$CI)/(SUMIF(ProductCodes,"C",$CH:$CH))),
IF($A26="S",(SUMIF(#REF!,DO$17,#REF!)*$CG26)*(SUMIF(ProductCodes,"S",$CI:$CI)/(SUMIF(ProductCodes,"S",$CH:$CH))),
IF($A26="B",(SUMIF(#REF!,DO$17,#REF!)*$CG26)*(SUMIF(ProductCodes,"B",$CI:$CI)/(SUMIF(ProductCodes,"B",$CH:$CH))),
IF($A26="R",(SUMIF(#REF!,DO$17,#REF!)*$CG26)*(SUMIF(ProductCodes,"R",$CI:$CI)/(SUMIF(ProductCodes,"R",$CH:$CH))),
IF($A26="H",(SUMIF(#REF!,DO$17,#REF!)*$CG26)*(SUMIF(ProductCodes,"H",$CI:$CI)/(SUMIF(ProductCodes,"H",$CH:$CH))),""))))))),"Error")</f>
        <v>Error</v>
      </c>
      <c r="DP26" s="85" t="str">
        <f>IFERROR(
IF(SUMIF(ProductCodes,"C",$CI:$CI)=$CI$42,(IF($A26="C",(SUMIF(#REF!,DP$17,#REF!)*$CG26)*((SUMIF(ProductCodes,"C",$CI:$CI)-SUMIF(ProductCodes,"H",$CH:$CH)-SUMIF(ProductCodes,"R",$CH:$CH)-SUMIF(ProductCodes,"B",$CH:$CH)-(SUMIF(ProductCodes,"S",$CH:$CH)/2))/SUMIF(ProductCodes,"C",$CH:$CH)),IF($A26="S",(SUMIF(#REF!,DP$17,#REF!)*$CG26)/2,
IF($A26="B",(SUMIF(#REF!,DP$17,#REF!)*$CG26),
IF($A26="R",(SUMIF(#REF!,DP$17,#REF!)*$CG26),
IF($A26="H",(SUMIF(#REF!,DP$17,#REF!)*$CG26),"")))))),
IF(SUMIF(ProductCodes,"S",$CI:$CI)=$CI$42,(IF($A26="S",(SUMIF(#REF!,DP$17,#REF!)*$CG26)*((SUMIF(ProductCodes,"S",$CI:$CI)-SUMIF(ProductCodes,"H",$CH:$CH)-SUMIF(ProductCodes,"R",$CH:$CH)-SUMIF(ProductCodes,"B",$CH:$CH)-(SUMIF(ProductCodes,"C",$CH:$CH)/4))/SUMIF(ProductCodes,"S",$CH:$CH)),
IF($A26="C",(SUMIF(#REF!,DP$17,#REF!)*$CG26)/4,
IF($A26="B",(SUMIF(#REF!,DP$17,#REF!)*$CG26),
IF($A26="R",(SUMIF(#REF!,DP$17,#REF!)*$CG26),
IF($A26="H",(SUMIF(#REF!,DP$17,#REF!)*$CG26),"")))))),
IF($A26="C",(SUMIF(#REF!,DP$17,#REF!)*$CG26)*(SUMIF(ProductCodes,"C",$CI:$CI)/(SUMIF(ProductCodes,"C",$CH:$CH))),
IF($A26="S",(SUMIF(#REF!,DP$17,#REF!)*$CG26)*(SUMIF(ProductCodes,"S",$CI:$CI)/(SUMIF(ProductCodes,"S",$CH:$CH))),
IF($A26="B",(SUMIF(#REF!,DP$17,#REF!)*$CG26)*(SUMIF(ProductCodes,"B",$CI:$CI)/(SUMIF(ProductCodes,"B",$CH:$CH))),
IF($A26="R",(SUMIF(#REF!,DP$17,#REF!)*$CG26)*(SUMIF(ProductCodes,"R",$CI:$CI)/(SUMIF(ProductCodes,"R",$CH:$CH))),
IF($A26="H",(SUMIF(#REF!,DP$17,#REF!)*$CG26)*(SUMIF(ProductCodes,"H",$CI:$CI)/(SUMIF(ProductCodes,"H",$CH:$CH))),""))))))),"Error")</f>
        <v>Error</v>
      </c>
      <c r="DQ26" s="9"/>
      <c r="DR26" s="9"/>
      <c r="DS26"/>
      <c r="DT26"/>
      <c r="DU26"/>
      <c r="DV26"/>
      <c r="DW26"/>
      <c r="DX26"/>
      <c r="DY26"/>
      <c r="DZ26"/>
      <c r="EA26"/>
      <c r="EB26"/>
      <c r="EC26"/>
      <c r="ED26"/>
    </row>
    <row r="27" spans="1:134" s="86" customFormat="1" ht="60" customHeight="1" thickBot="1" x14ac:dyDescent="0.4">
      <c r="A27" s="94" t="s">
        <v>43</v>
      </c>
      <c r="B27" s="211" t="s">
        <v>74</v>
      </c>
      <c r="C27" s="107" t="s">
        <v>44</v>
      </c>
      <c r="D27" s="107" t="s">
        <v>45</v>
      </c>
      <c r="E27" s="103"/>
      <c r="F27" s="103"/>
      <c r="G27" s="106"/>
      <c r="H27" s="104"/>
      <c r="I27" s="102"/>
      <c r="J27" s="103"/>
      <c r="K27" s="103"/>
      <c r="L27" s="104"/>
      <c r="M27" s="105"/>
      <c r="N27" s="103"/>
      <c r="O27" s="103"/>
      <c r="P27" s="106"/>
      <c r="Q27" s="105"/>
      <c r="R27" s="103"/>
      <c r="S27" s="103"/>
      <c r="T27" s="106"/>
      <c r="U27" s="104"/>
      <c r="V27" s="217"/>
      <c r="W27" s="218"/>
      <c r="X27" s="218"/>
      <c r="Y27" s="219"/>
      <c r="Z27" s="217"/>
      <c r="AA27" s="218"/>
      <c r="AB27" s="218"/>
      <c r="AC27" s="218"/>
      <c r="AD27" s="235">
        <v>10</v>
      </c>
      <c r="AE27" s="236"/>
      <c r="AF27" s="236"/>
      <c r="AG27" s="236"/>
      <c r="AH27" s="237"/>
      <c r="AI27" s="290">
        <v>10</v>
      </c>
      <c r="AJ27" s="236"/>
      <c r="AK27" s="236"/>
      <c r="AL27" s="237"/>
      <c r="AM27" s="235">
        <v>10</v>
      </c>
      <c r="AN27" s="236"/>
      <c r="AO27" s="236"/>
      <c r="AP27" s="236"/>
      <c r="AQ27" s="237"/>
      <c r="AR27" s="290">
        <v>10</v>
      </c>
      <c r="AS27" s="236"/>
      <c r="AT27" s="236"/>
      <c r="AU27" s="237"/>
      <c r="AV27" s="290">
        <v>10</v>
      </c>
      <c r="AW27" s="236"/>
      <c r="AX27" s="236"/>
      <c r="AY27" s="237"/>
      <c r="AZ27" s="235">
        <v>10</v>
      </c>
      <c r="BA27" s="236"/>
      <c r="BB27" s="236"/>
      <c r="BC27" s="236"/>
      <c r="BD27" s="237"/>
      <c r="BE27" s="290">
        <v>10</v>
      </c>
      <c r="BF27" s="236"/>
      <c r="BG27" s="236"/>
      <c r="BH27" s="237"/>
      <c r="BI27" s="290">
        <v>10</v>
      </c>
      <c r="BJ27" s="236"/>
      <c r="BK27" s="236"/>
      <c r="BL27" s="237"/>
      <c r="BM27" s="235">
        <v>10</v>
      </c>
      <c r="BN27" s="236"/>
      <c r="BO27" s="236"/>
      <c r="BP27" s="236"/>
      <c r="BQ27" s="237"/>
      <c r="BR27" s="290">
        <v>10</v>
      </c>
      <c r="BS27" s="236"/>
      <c r="BT27" s="236"/>
      <c r="BU27" s="237"/>
      <c r="BV27" s="290">
        <v>10</v>
      </c>
      <c r="BW27" s="236"/>
      <c r="BX27" s="236"/>
      <c r="BY27" s="237"/>
      <c r="BZ27" s="290">
        <v>10</v>
      </c>
      <c r="CA27" s="236"/>
      <c r="CB27" s="236"/>
      <c r="CC27" s="237"/>
      <c r="CD27" s="198">
        <v>1</v>
      </c>
      <c r="CE27" s="199">
        <f t="shared" si="33"/>
        <v>120</v>
      </c>
      <c r="CF27" s="199">
        <f t="shared" si="31"/>
        <v>120</v>
      </c>
      <c r="CG27" s="190">
        <v>202.5</v>
      </c>
      <c r="CH27" s="212">
        <f t="shared" si="32"/>
        <v>24300</v>
      </c>
      <c r="CI27" s="240"/>
      <c r="CJ27" s="183"/>
      <c r="CK27" s="183"/>
      <c r="CL27" s="183"/>
      <c r="CM27" s="108"/>
      <c r="CN27" s="108">
        <f>CM27*CE27</f>
        <v>0</v>
      </c>
      <c r="CO27" s="109"/>
      <c r="CP27" s="75"/>
      <c r="CQ27" s="75"/>
      <c r="CR27" s="83"/>
      <c r="CS27" s="84" t="str">
        <f>IFERROR(
IF(SUMIF(ProductCodes,"C",$CI:$CI)=$CI$42,(IF($A27="C",(SUMIF(#REF!,CS$17,#REF!)*$CG27)*((SUMIF(ProductCodes,"C",$CI:$CI)-SUMIF(ProductCodes,"H",$CH:$CH)-SUMIF(ProductCodes,"R",$CH:$CH)-SUMIF(ProductCodes,"B",$CH:$CH)-(SUMIF(ProductCodes,"S",$CH:$CH)/2))/SUMIF(ProductCodes,"C",$CH:$CH)),IF($A27="S",(SUMIF(#REF!,CS$17,#REF!)*$CG27)/2,
IF($A27="B",(SUMIF(#REF!,CS$17,#REF!)*$CG27),
IF($A27="R",(SUMIF(#REF!,CS$17,#REF!)*$CG27),
IF($A27="H",(SUMIF(#REF!,CS$17,#REF!)*$CG27),"")))))),
IF(SUMIF(ProductCodes,"S",$CI:$CI)=$CI$42,(IF($A27="S",(SUMIF(#REF!,CS$17,#REF!)*$CG27)*((SUMIF(ProductCodes,"S",$CI:$CI)-SUMIF(ProductCodes,"H",$CH:$CH)-SUMIF(ProductCodes,"R",$CH:$CH)-SUMIF(ProductCodes,"B",$CH:$CH)-(SUMIF(ProductCodes,"C",$CH:$CH)/4))/SUMIF(ProductCodes,"S",$CH:$CH)),
IF($A27="C",(SUMIF(#REF!,CS$17,#REF!)*$CG27)/4,
IF($A27="B",(SUMIF(#REF!,CS$17,#REF!)*$CG27),
IF($A27="R",(SUMIF(#REF!,CS$17,#REF!)*$CG27),
IF($A27="H",(SUMIF(#REF!,CS$17,#REF!)*$CG27),"")))))),
IF($A27="C",(SUMIF(#REF!,CS$17,#REF!)*$CG27)*(SUMIF(ProductCodes,"C",$CI:$CI)/(SUMIF(ProductCodes,"C",$CH:$CH))),
IF($A27="S",(SUMIF(#REF!,CS$17,#REF!)*$CG27)*(SUMIF(ProductCodes,"S",$CI:$CI)/(SUMIF(ProductCodes,"S",$CH:$CH))),
IF($A27="B",(SUMIF(#REF!,CS$17,#REF!)*$CG27)*(SUMIF(ProductCodes,"B",$CI:$CI)/(SUMIF(ProductCodes,"B",$CH:$CH))),
IF($A27="R",(SUMIF(#REF!,CS$17,#REF!)*$CG27)*(SUMIF(ProductCodes,"R",$CI:$CI)/(SUMIF(ProductCodes,"R",$CH:$CH))),
IF($A27="H",(SUMIF(#REF!,CS$17,#REF!)*$CG27)*(SUMIF(ProductCodes,"H",$CI:$CI)/(SUMIF(ProductCodes,"H",$CH:$CH))),""))))))),"Error")</f>
        <v>Error</v>
      </c>
      <c r="CT27" s="84" t="str">
        <f>IFERROR(
IF(SUMIF(ProductCodes,"C",$CI:$CI)=$CI$42,(IF($A27="C",(SUMIF(#REF!,CT$17,#REF!)*$CG27)*((SUMIF(ProductCodes,"C",$CI:$CI)-SUMIF(ProductCodes,"H",$CH:$CH)-SUMIF(ProductCodes,"R",$CH:$CH)-SUMIF(ProductCodes,"B",$CH:$CH)-(SUMIF(ProductCodes,"S",$CH:$CH)/2))/SUMIF(ProductCodes,"C",$CH:$CH)),IF($A27="S",(SUMIF(#REF!,CT$17,#REF!)*$CG27)/2,
IF($A27="B",(SUMIF(#REF!,CT$17,#REF!)*$CG27),
IF($A27="R",(SUMIF(#REF!,CT$17,#REF!)*$CG27),
IF($A27="H",(SUMIF(#REF!,CT$17,#REF!)*$CG27),"")))))),
IF(SUMIF(ProductCodes,"S",$CI:$CI)=$CI$42,(IF($A27="S",(SUMIF(#REF!,CT$17,#REF!)*$CG27)*((SUMIF(ProductCodes,"S",$CI:$CI)-SUMIF(ProductCodes,"H",$CH:$CH)-SUMIF(ProductCodes,"R",$CH:$CH)-SUMIF(ProductCodes,"B",$CH:$CH)-(SUMIF(ProductCodes,"C",$CH:$CH)/4))/SUMIF(ProductCodes,"S",$CH:$CH)),
IF($A27="C",(SUMIF(#REF!,CT$17,#REF!)*$CG27)/4,
IF($A27="B",(SUMIF(#REF!,CT$17,#REF!)*$CG27),
IF($A27="R",(SUMIF(#REF!,CT$17,#REF!)*$CG27),
IF($A27="H",(SUMIF(#REF!,CT$17,#REF!)*$CG27),"")))))),
IF($A27="C",(SUMIF(#REF!,CT$17,#REF!)*$CG27)*(SUMIF(ProductCodes,"C",$CI:$CI)/(SUMIF(ProductCodes,"C",$CH:$CH))),
IF($A27="S",(SUMIF(#REF!,CT$17,#REF!)*$CG27)*(SUMIF(ProductCodes,"S",$CI:$CI)/(SUMIF(ProductCodes,"S",$CH:$CH))),
IF($A27="B",(SUMIF(#REF!,CT$17,#REF!)*$CG27)*(SUMIF(ProductCodes,"B",$CI:$CI)/(SUMIF(ProductCodes,"B",$CH:$CH))),
IF($A27="R",(SUMIF(#REF!,CT$17,#REF!)*$CG27)*(SUMIF(ProductCodes,"R",$CI:$CI)/(SUMIF(ProductCodes,"R",$CH:$CH))),
IF($A27="H",(SUMIF(#REF!,CT$17,#REF!)*$CG27)*(SUMIF(ProductCodes,"H",$CI:$CI)/(SUMIF(ProductCodes,"H",$CH:$CH))),""))))))),"Error")</f>
        <v>Error</v>
      </c>
      <c r="CU27" s="84" t="str">
        <f>IFERROR(
IF(SUMIF(ProductCodes,"C",$CI:$CI)=$CI$42,(IF($A27="C",(SUMIF(#REF!,CU$17,#REF!)*$CG27)*((SUMIF(ProductCodes,"C",$CI:$CI)-SUMIF(ProductCodes,"H",$CH:$CH)-SUMIF(ProductCodes,"R",$CH:$CH)-SUMIF(ProductCodes,"B",$CH:$CH)-(SUMIF(ProductCodes,"S",$CH:$CH)/2))/SUMIF(ProductCodes,"C",$CH:$CH)),IF($A27="S",(SUMIF(#REF!,CU$17,#REF!)*$CG27)/2,
IF($A27="B",(SUMIF(#REF!,CU$17,#REF!)*$CG27),
IF($A27="R",(SUMIF(#REF!,CU$17,#REF!)*$CG27),
IF($A27="H",(SUMIF(#REF!,CU$17,#REF!)*$CG27),"")))))),
IF(SUMIF(ProductCodes,"S",$CI:$CI)=$CI$42,(IF($A27="S",(SUMIF(#REF!,CU$17,#REF!)*$CG27)*((SUMIF(ProductCodes,"S",$CI:$CI)-SUMIF(ProductCodes,"H",$CH:$CH)-SUMIF(ProductCodes,"R",$CH:$CH)-SUMIF(ProductCodes,"B",$CH:$CH)-(SUMIF(ProductCodes,"C",$CH:$CH)/4))/SUMIF(ProductCodes,"S",$CH:$CH)),
IF($A27="C",(SUMIF(#REF!,CU$17,#REF!)*$CG27)/4,
IF($A27="B",(SUMIF(#REF!,CU$17,#REF!)*$CG27),
IF($A27="R",(SUMIF(#REF!,CU$17,#REF!)*$CG27),
IF($A27="H",(SUMIF(#REF!,CU$17,#REF!)*$CG27),"")))))),
IF($A27="C",(SUMIF(#REF!,CU$17,#REF!)*$CG27)*(SUMIF(ProductCodes,"C",$CI:$CI)/(SUMIF(ProductCodes,"C",$CH:$CH))),
IF($A27="S",(SUMIF(#REF!,CU$17,#REF!)*$CG27)*(SUMIF(ProductCodes,"S",$CI:$CI)/(SUMIF(ProductCodes,"S",$CH:$CH))),
IF($A27="B",(SUMIF(#REF!,CU$17,#REF!)*$CG27)*(SUMIF(ProductCodes,"B",$CI:$CI)/(SUMIF(ProductCodes,"B",$CH:$CH))),
IF($A27="R",(SUMIF(#REF!,CU$17,#REF!)*$CG27)*(SUMIF(ProductCodes,"R",$CI:$CI)/(SUMIF(ProductCodes,"R",$CH:$CH))),
IF($A27="H",(SUMIF(#REF!,CU$17,#REF!)*$CG27)*(SUMIF(ProductCodes,"H",$CI:$CI)/(SUMIF(ProductCodes,"H",$CH:$CH))),""))))))),"Error")</f>
        <v>Error</v>
      </c>
      <c r="CV27" s="84" t="str">
        <f>IFERROR(
IF(SUMIF(ProductCodes,"C",$CI:$CI)=$CI$42,(IF($A27="C",(SUMIF(#REF!,CV$17,#REF!)*$CG27)*((SUMIF(ProductCodes,"C",$CI:$CI)-SUMIF(ProductCodes,"H",$CH:$CH)-SUMIF(ProductCodes,"R",$CH:$CH)-SUMIF(ProductCodes,"B",$CH:$CH)-(SUMIF(ProductCodes,"S",$CH:$CH)/2))/SUMIF(ProductCodes,"C",$CH:$CH)),IF($A27="S",(SUMIF(#REF!,CV$17,#REF!)*$CG27)/2,
IF($A27="B",(SUMIF(#REF!,CV$17,#REF!)*$CG27),
IF($A27="R",(SUMIF(#REF!,CV$17,#REF!)*$CG27),
IF($A27="H",(SUMIF(#REF!,CV$17,#REF!)*$CG27),"")))))),
IF(SUMIF(ProductCodes,"S",$CI:$CI)=$CI$42,(IF($A27="S",(SUMIF(#REF!,CV$17,#REF!)*$CG27)*((SUMIF(ProductCodes,"S",$CI:$CI)-SUMIF(ProductCodes,"H",$CH:$CH)-SUMIF(ProductCodes,"R",$CH:$CH)-SUMIF(ProductCodes,"B",$CH:$CH)-(SUMIF(ProductCodes,"C",$CH:$CH)/4))/SUMIF(ProductCodes,"S",$CH:$CH)),
IF($A27="C",(SUMIF(#REF!,CV$17,#REF!)*$CG27)/4,
IF($A27="B",(SUMIF(#REF!,CV$17,#REF!)*$CG27),
IF($A27="R",(SUMIF(#REF!,CV$17,#REF!)*$CG27),
IF($A27="H",(SUMIF(#REF!,CV$17,#REF!)*$CG27),"")))))),
IF($A27="C",(SUMIF(#REF!,CV$17,#REF!)*$CG27)*(SUMIF(ProductCodes,"C",$CI:$CI)/(SUMIF(ProductCodes,"C",$CH:$CH))),
IF($A27="S",(SUMIF(#REF!,CV$17,#REF!)*$CG27)*(SUMIF(ProductCodes,"S",$CI:$CI)/(SUMIF(ProductCodes,"S",$CH:$CH))),
IF($A27="B",(SUMIF(#REF!,CV$17,#REF!)*$CG27)*(SUMIF(ProductCodes,"B",$CI:$CI)/(SUMIF(ProductCodes,"B",$CH:$CH))),
IF($A27="R",(SUMIF(#REF!,CV$17,#REF!)*$CG27)*(SUMIF(ProductCodes,"R",$CI:$CI)/(SUMIF(ProductCodes,"R",$CH:$CH))),
IF($A27="H",(SUMIF(#REF!,CV$17,#REF!)*$CG27)*(SUMIF(ProductCodes,"H",$CI:$CI)/(SUMIF(ProductCodes,"H",$CH:$CH))),""))))))),"Error")</f>
        <v>Error</v>
      </c>
      <c r="CW27" s="84" t="str">
        <f>IFERROR(
IF(SUMIF(ProductCodes,"C",$CI:$CI)=$CI$42,(IF($A27="C",(SUMIF(#REF!,CW$17,#REF!)*$CG27)*((SUMIF(ProductCodes,"C",$CI:$CI)-SUMIF(ProductCodes,"H",$CH:$CH)-SUMIF(ProductCodes,"R",$CH:$CH)-SUMIF(ProductCodes,"B",$CH:$CH)-(SUMIF(ProductCodes,"S",$CH:$CH)/2))/SUMIF(ProductCodes,"C",$CH:$CH)),IF($A27="S",(SUMIF(#REF!,CW$17,#REF!)*$CG27)/2,
IF($A27="B",(SUMIF(#REF!,CW$17,#REF!)*$CG27),
IF($A27="R",(SUMIF(#REF!,CW$17,#REF!)*$CG27),
IF($A27="H",(SUMIF(#REF!,CW$17,#REF!)*$CG27),"")))))),
IF(SUMIF(ProductCodes,"S",$CI:$CI)=$CI$42,(IF($A27="S",(SUMIF(#REF!,CW$17,#REF!)*$CG27)*((SUMIF(ProductCodes,"S",$CI:$CI)-SUMIF(ProductCodes,"H",$CH:$CH)-SUMIF(ProductCodes,"R",$CH:$CH)-SUMIF(ProductCodes,"B",$CH:$CH)-(SUMIF(ProductCodes,"C",$CH:$CH)/4))/SUMIF(ProductCodes,"S",$CH:$CH)),
IF($A27="C",(SUMIF(#REF!,CW$17,#REF!)*$CG27)/4,
IF($A27="B",(SUMIF(#REF!,CW$17,#REF!)*$CG27),
IF($A27="R",(SUMIF(#REF!,CW$17,#REF!)*$CG27),
IF($A27="H",(SUMIF(#REF!,CW$17,#REF!)*$CG27),"")))))),
IF($A27="C",(SUMIF(#REF!,CW$17,#REF!)*$CG27)*(SUMIF(ProductCodes,"C",$CI:$CI)/(SUMIF(ProductCodes,"C",$CH:$CH))),
IF($A27="S",(SUMIF(#REF!,CW$17,#REF!)*$CG27)*(SUMIF(ProductCodes,"S",$CI:$CI)/(SUMIF(ProductCodes,"S",$CH:$CH))),
IF($A27="B",(SUMIF(#REF!,CW$17,#REF!)*$CG27)*(SUMIF(ProductCodes,"B",$CI:$CI)/(SUMIF(ProductCodes,"B",$CH:$CH))),
IF($A27="R",(SUMIF(#REF!,CW$17,#REF!)*$CG27)*(SUMIF(ProductCodes,"R",$CI:$CI)/(SUMIF(ProductCodes,"R",$CH:$CH))),
IF($A27="H",(SUMIF(#REF!,CW$17,#REF!)*$CG27)*(SUMIF(ProductCodes,"H",$CI:$CI)/(SUMIF(ProductCodes,"H",$CH:$CH))),""))))))),"Error")</f>
        <v>Error</v>
      </c>
      <c r="CX27" s="84" t="str">
        <f>IFERROR(
IF(SUMIF(ProductCodes,"C",$CI:$CI)=$CI$42,(IF($A27="C",(SUMIF(#REF!,CX$17,#REF!)*$CG27)*((SUMIF(ProductCodes,"C",$CI:$CI)-SUMIF(ProductCodes,"H",$CH:$CH)-SUMIF(ProductCodes,"R",$CH:$CH)-SUMIF(ProductCodes,"B",$CH:$CH)-(SUMIF(ProductCodes,"S",$CH:$CH)/2))/SUMIF(ProductCodes,"C",$CH:$CH)),IF($A27="S",(SUMIF(#REF!,CX$17,#REF!)*$CG27)/2,
IF($A27="B",(SUMIF(#REF!,CX$17,#REF!)*$CG27),
IF($A27="R",(SUMIF(#REF!,CX$17,#REF!)*$CG27),
IF($A27="H",(SUMIF(#REF!,CX$17,#REF!)*$CG27),"")))))),
IF(SUMIF(ProductCodes,"S",$CI:$CI)=$CI$42,(IF($A27="S",(SUMIF(#REF!,CX$17,#REF!)*$CG27)*((SUMIF(ProductCodes,"S",$CI:$CI)-SUMIF(ProductCodes,"H",$CH:$CH)-SUMIF(ProductCodes,"R",$CH:$CH)-SUMIF(ProductCodes,"B",$CH:$CH)-(SUMIF(ProductCodes,"C",$CH:$CH)/4))/SUMIF(ProductCodes,"S",$CH:$CH)),
IF($A27="C",(SUMIF(#REF!,CX$17,#REF!)*$CG27)/4,
IF($A27="B",(SUMIF(#REF!,CX$17,#REF!)*$CG27),
IF($A27="R",(SUMIF(#REF!,CX$17,#REF!)*$CG27),
IF($A27="H",(SUMIF(#REF!,CX$17,#REF!)*$CG27),"")))))),
IF($A27="C",(SUMIF(#REF!,CX$17,#REF!)*$CG27)*(SUMIF(ProductCodes,"C",$CI:$CI)/(SUMIF(ProductCodes,"C",$CH:$CH))),
IF($A27="S",(SUMIF(#REF!,CX$17,#REF!)*$CG27)*(SUMIF(ProductCodes,"S",$CI:$CI)/(SUMIF(ProductCodes,"S",$CH:$CH))),
IF($A27="B",(SUMIF(#REF!,CX$17,#REF!)*$CG27)*(SUMIF(ProductCodes,"B",$CI:$CI)/(SUMIF(ProductCodes,"B",$CH:$CH))),
IF($A27="R",(SUMIF(#REF!,CX$17,#REF!)*$CG27)*(SUMIF(ProductCodes,"R",$CI:$CI)/(SUMIF(ProductCodes,"R",$CH:$CH))),
IF($A27="H",(SUMIF(#REF!,CX$17,#REF!)*$CG27)*(SUMIF(ProductCodes,"H",$CI:$CI)/(SUMIF(ProductCodes,"H",$CH:$CH))),""))))))),"Error")</f>
        <v>Error</v>
      </c>
      <c r="CY27" s="84" t="str">
        <f>IFERROR(
IF(SUMIF(ProductCodes,"C",$CI:$CI)=$CI$42,(IF($A27="C",(SUMIF(#REF!,CY$17,#REF!)*$CG27)*((SUMIF(ProductCodes,"C",$CI:$CI)-SUMIF(ProductCodes,"H",$CH:$CH)-SUMIF(ProductCodes,"R",$CH:$CH)-SUMIF(ProductCodes,"B",$CH:$CH)-(SUMIF(ProductCodes,"S",$CH:$CH)/2))/SUMIF(ProductCodes,"C",$CH:$CH)),IF($A27="S",(SUMIF(#REF!,CY$17,#REF!)*$CG27)/2,
IF($A27="B",(SUMIF(#REF!,CY$17,#REF!)*$CG27),
IF($A27="R",(SUMIF(#REF!,CY$17,#REF!)*$CG27),
IF($A27="H",(SUMIF(#REF!,CY$17,#REF!)*$CG27),"")))))),
IF(SUMIF(ProductCodes,"S",$CI:$CI)=$CI$42,(IF($A27="S",(SUMIF(#REF!,CY$17,#REF!)*$CG27)*((SUMIF(ProductCodes,"S",$CI:$CI)-SUMIF(ProductCodes,"H",$CH:$CH)-SUMIF(ProductCodes,"R",$CH:$CH)-SUMIF(ProductCodes,"B",$CH:$CH)-(SUMIF(ProductCodes,"C",$CH:$CH)/4))/SUMIF(ProductCodes,"S",$CH:$CH)),
IF($A27="C",(SUMIF(#REF!,CY$17,#REF!)*$CG27)/4,
IF($A27="B",(SUMIF(#REF!,CY$17,#REF!)*$CG27),
IF($A27="R",(SUMIF(#REF!,CY$17,#REF!)*$CG27),
IF($A27="H",(SUMIF(#REF!,CY$17,#REF!)*$CG27),"")))))),
IF($A27="C",(SUMIF(#REF!,CY$17,#REF!)*$CG27)*(SUMIF(ProductCodes,"C",$CI:$CI)/(SUMIF(ProductCodes,"C",$CH:$CH))),
IF($A27="S",(SUMIF(#REF!,CY$17,#REF!)*$CG27)*(SUMIF(ProductCodes,"S",$CI:$CI)/(SUMIF(ProductCodes,"S",$CH:$CH))),
IF($A27="B",(SUMIF(#REF!,CY$17,#REF!)*$CG27)*(SUMIF(ProductCodes,"B",$CI:$CI)/(SUMIF(ProductCodes,"B",$CH:$CH))),
IF($A27="R",(SUMIF(#REF!,CY$17,#REF!)*$CG27)*(SUMIF(ProductCodes,"R",$CI:$CI)/(SUMIF(ProductCodes,"R",$CH:$CH))),
IF($A27="H",(SUMIF(#REF!,CY$17,#REF!)*$CG27)*(SUMIF(ProductCodes,"H",$CI:$CI)/(SUMIF(ProductCodes,"H",$CH:$CH))),""))))))),"Error")</f>
        <v>Error</v>
      </c>
      <c r="CZ27" s="84" t="str">
        <f>IFERROR(
IF(SUMIF(ProductCodes,"C",$CI:$CI)=$CI$42,(IF($A27="C",(SUMIF(#REF!,CZ$17,#REF!)*$CG27)*((SUMIF(ProductCodes,"C",$CI:$CI)-SUMIF(ProductCodes,"H",$CH:$CH)-SUMIF(ProductCodes,"R",$CH:$CH)-SUMIF(ProductCodes,"B",$CH:$CH)-(SUMIF(ProductCodes,"S",$CH:$CH)/2))/SUMIF(ProductCodes,"C",$CH:$CH)),IF($A27="S",(SUMIF(#REF!,CZ$17,#REF!)*$CG27)/2,
IF($A27="B",(SUMIF(#REF!,CZ$17,#REF!)*$CG27),
IF($A27="R",(SUMIF(#REF!,CZ$17,#REF!)*$CG27),
IF($A27="H",(SUMIF(#REF!,CZ$17,#REF!)*$CG27),"")))))),
IF(SUMIF(ProductCodes,"S",$CI:$CI)=$CI$42,(IF($A27="S",(SUMIF(#REF!,CZ$17,#REF!)*$CG27)*((SUMIF(ProductCodes,"S",$CI:$CI)-SUMIF(ProductCodes,"H",$CH:$CH)-SUMIF(ProductCodes,"R",$CH:$CH)-SUMIF(ProductCodes,"B",$CH:$CH)-(SUMIF(ProductCodes,"C",$CH:$CH)/4))/SUMIF(ProductCodes,"S",$CH:$CH)),
IF($A27="C",(SUMIF(#REF!,CZ$17,#REF!)*$CG27)/4,
IF($A27="B",(SUMIF(#REF!,CZ$17,#REF!)*$CG27),
IF($A27="R",(SUMIF(#REF!,CZ$17,#REF!)*$CG27),
IF($A27="H",(SUMIF(#REF!,CZ$17,#REF!)*$CG27),"")))))),
IF($A27="C",(SUMIF(#REF!,CZ$17,#REF!)*$CG27)*(SUMIF(ProductCodes,"C",$CI:$CI)/(SUMIF(ProductCodes,"C",$CH:$CH))),
IF($A27="S",(SUMIF(#REF!,CZ$17,#REF!)*$CG27)*(SUMIF(ProductCodes,"S",$CI:$CI)/(SUMIF(ProductCodes,"S",$CH:$CH))),
IF($A27="B",(SUMIF(#REF!,CZ$17,#REF!)*$CG27)*(SUMIF(ProductCodes,"B",$CI:$CI)/(SUMIF(ProductCodes,"B",$CH:$CH))),
IF($A27="R",(SUMIF(#REF!,CZ$17,#REF!)*$CG27)*(SUMIF(ProductCodes,"R",$CI:$CI)/(SUMIF(ProductCodes,"R",$CH:$CH))),
IF($A27="H",(SUMIF(#REF!,CZ$17,#REF!)*$CG27)*(SUMIF(ProductCodes,"H",$CI:$CI)/(SUMIF(ProductCodes,"H",$CH:$CH))),""))))))),"Error")</f>
        <v>Error</v>
      </c>
      <c r="DA27" s="84" t="str">
        <f>IFERROR(
IF(SUMIF(ProductCodes,"C",$CI:$CI)=$CI$42,(IF($A27="C",(SUMIF(#REF!,DA$17,#REF!)*$CG27)*((SUMIF(ProductCodes,"C",$CI:$CI)-SUMIF(ProductCodes,"H",$CH:$CH)-SUMIF(ProductCodes,"R",$CH:$CH)-SUMIF(ProductCodes,"B",$CH:$CH)-(SUMIF(ProductCodes,"S",$CH:$CH)/2))/SUMIF(ProductCodes,"C",$CH:$CH)),IF($A27="S",(SUMIF(#REF!,DA$17,#REF!)*$CG27)/2,
IF($A27="B",(SUMIF(#REF!,DA$17,#REF!)*$CG27),
IF($A27="R",(SUMIF(#REF!,DA$17,#REF!)*$CG27),
IF($A27="H",(SUMIF(#REF!,DA$17,#REF!)*$CG27),"")))))),
IF(SUMIF(ProductCodes,"S",$CI:$CI)=$CI$42,(IF($A27="S",(SUMIF(#REF!,DA$17,#REF!)*$CG27)*((SUMIF(ProductCodes,"S",$CI:$CI)-SUMIF(ProductCodes,"H",$CH:$CH)-SUMIF(ProductCodes,"R",$CH:$CH)-SUMIF(ProductCodes,"B",$CH:$CH)-(SUMIF(ProductCodes,"C",$CH:$CH)/4))/SUMIF(ProductCodes,"S",$CH:$CH)),
IF($A27="C",(SUMIF(#REF!,DA$17,#REF!)*$CG27)/4,
IF($A27="B",(SUMIF(#REF!,DA$17,#REF!)*$CG27),
IF($A27="R",(SUMIF(#REF!,DA$17,#REF!)*$CG27),
IF($A27="H",(SUMIF(#REF!,DA$17,#REF!)*$CG27),"")))))),
IF($A27="C",(SUMIF(#REF!,DA$17,#REF!)*$CG27)*(SUMIF(ProductCodes,"C",$CI:$CI)/(SUMIF(ProductCodes,"C",$CH:$CH))),
IF($A27="S",(SUMIF(#REF!,DA$17,#REF!)*$CG27)*(SUMIF(ProductCodes,"S",$CI:$CI)/(SUMIF(ProductCodes,"S",$CH:$CH))),
IF($A27="B",(SUMIF(#REF!,DA$17,#REF!)*$CG27)*(SUMIF(ProductCodes,"B",$CI:$CI)/(SUMIF(ProductCodes,"B",$CH:$CH))),
IF($A27="R",(SUMIF(#REF!,DA$17,#REF!)*$CG27)*(SUMIF(ProductCodes,"R",$CI:$CI)/(SUMIF(ProductCodes,"R",$CH:$CH))),
IF($A27="H",(SUMIF(#REF!,DA$17,#REF!)*$CG27)*(SUMIF(ProductCodes,"H",$CI:$CI)/(SUMIF(ProductCodes,"H",$CH:$CH))),""))))))),"Error")</f>
        <v>Error</v>
      </c>
      <c r="DB27" s="84" t="str">
        <f>IFERROR(
IF(SUMIF(ProductCodes,"C",$CI:$CI)=$CI$42,(IF($A27="C",(SUMIF(#REF!,DB$17,#REF!)*$CG27)*((SUMIF(ProductCodes,"C",$CI:$CI)-SUMIF(ProductCodes,"H",$CH:$CH)-SUMIF(ProductCodes,"R",$CH:$CH)-SUMIF(ProductCodes,"B",$CH:$CH)-(SUMIF(ProductCodes,"S",$CH:$CH)/2))/SUMIF(ProductCodes,"C",$CH:$CH)),IF($A27="S",(SUMIF(#REF!,DB$17,#REF!)*$CG27)/2,
IF($A27="B",(SUMIF(#REF!,DB$17,#REF!)*$CG27),
IF($A27="R",(SUMIF(#REF!,DB$17,#REF!)*$CG27),
IF($A27="H",(SUMIF(#REF!,DB$17,#REF!)*$CG27),"")))))),
IF(SUMIF(ProductCodes,"S",$CI:$CI)=$CI$42,(IF($A27="S",(SUMIF(#REF!,DB$17,#REF!)*$CG27)*((SUMIF(ProductCodes,"S",$CI:$CI)-SUMIF(ProductCodes,"H",$CH:$CH)-SUMIF(ProductCodes,"R",$CH:$CH)-SUMIF(ProductCodes,"B",$CH:$CH)-(SUMIF(ProductCodes,"C",$CH:$CH)/4))/SUMIF(ProductCodes,"S",$CH:$CH)),
IF($A27="C",(SUMIF(#REF!,DB$17,#REF!)*$CG27)/4,
IF($A27="B",(SUMIF(#REF!,DB$17,#REF!)*$CG27),
IF($A27="R",(SUMIF(#REF!,DB$17,#REF!)*$CG27),
IF($A27="H",(SUMIF(#REF!,DB$17,#REF!)*$CG27),"")))))),
IF($A27="C",(SUMIF(#REF!,DB$17,#REF!)*$CG27)*(SUMIF(ProductCodes,"C",$CI:$CI)/(SUMIF(ProductCodes,"C",$CH:$CH))),
IF($A27="S",(SUMIF(#REF!,DB$17,#REF!)*$CG27)*(SUMIF(ProductCodes,"S",$CI:$CI)/(SUMIF(ProductCodes,"S",$CH:$CH))),
IF($A27="B",(SUMIF(#REF!,DB$17,#REF!)*$CG27)*(SUMIF(ProductCodes,"B",$CI:$CI)/(SUMIF(ProductCodes,"B",$CH:$CH))),
IF($A27="R",(SUMIF(#REF!,DB$17,#REF!)*$CG27)*(SUMIF(ProductCodes,"R",$CI:$CI)/(SUMIF(ProductCodes,"R",$CH:$CH))),
IF($A27="H",(SUMIF(#REF!,DB$17,#REF!)*$CG27)*(SUMIF(ProductCodes,"H",$CI:$CI)/(SUMIF(ProductCodes,"H",$CH:$CH))),""))))))),"Error")</f>
        <v>Error</v>
      </c>
      <c r="DC27" s="84" t="str">
        <f>IFERROR(
IF(SUMIF(ProductCodes,"C",$CI:$CI)=$CI$42,(IF($A27="C",(SUMIF(#REF!,DC$17,#REF!)*$CG27)*((SUMIF(ProductCodes,"C",$CI:$CI)-SUMIF(ProductCodes,"H",$CH:$CH)-SUMIF(ProductCodes,"R",$CH:$CH)-SUMIF(ProductCodes,"B",$CH:$CH)-(SUMIF(ProductCodes,"S",$CH:$CH)/2))/SUMIF(ProductCodes,"C",$CH:$CH)),IF($A27="S",(SUMIF(#REF!,DC$17,#REF!)*$CG27)/2,
IF($A27="B",(SUMIF(#REF!,DC$17,#REF!)*$CG27),
IF($A27="R",(SUMIF(#REF!,DC$17,#REF!)*$CG27),
IF($A27="H",(SUMIF(#REF!,DC$17,#REF!)*$CG27),"")))))),
IF(SUMIF(ProductCodes,"S",$CI:$CI)=$CI$42,(IF($A27="S",(SUMIF(#REF!,DC$17,#REF!)*$CG27)*((SUMIF(ProductCodes,"S",$CI:$CI)-SUMIF(ProductCodes,"H",$CH:$CH)-SUMIF(ProductCodes,"R",$CH:$CH)-SUMIF(ProductCodes,"B",$CH:$CH)-(SUMIF(ProductCodes,"C",$CH:$CH)/4))/SUMIF(ProductCodes,"S",$CH:$CH)),
IF($A27="C",(SUMIF(#REF!,DC$17,#REF!)*$CG27)/4,
IF($A27="B",(SUMIF(#REF!,DC$17,#REF!)*$CG27),
IF($A27="R",(SUMIF(#REF!,DC$17,#REF!)*$CG27),
IF($A27="H",(SUMIF(#REF!,DC$17,#REF!)*$CG27),"")))))),
IF($A27="C",(SUMIF(#REF!,DC$17,#REF!)*$CG27)*(SUMIF(ProductCodes,"C",$CI:$CI)/(SUMIF(ProductCodes,"C",$CH:$CH))),
IF($A27="S",(SUMIF(#REF!,DC$17,#REF!)*$CG27)*(SUMIF(ProductCodes,"S",$CI:$CI)/(SUMIF(ProductCodes,"S",$CH:$CH))),
IF($A27="B",(SUMIF(#REF!,DC$17,#REF!)*$CG27)*(SUMIF(ProductCodes,"B",$CI:$CI)/(SUMIF(ProductCodes,"B",$CH:$CH))),
IF($A27="R",(SUMIF(#REF!,DC$17,#REF!)*$CG27)*(SUMIF(ProductCodes,"R",$CI:$CI)/(SUMIF(ProductCodes,"R",$CH:$CH))),
IF($A27="H",(SUMIF(#REF!,DC$17,#REF!)*$CG27)*(SUMIF(ProductCodes,"H",$CI:$CI)/(SUMIF(ProductCodes,"H",$CH:$CH))),""))))))),"Error")</f>
        <v>Error</v>
      </c>
      <c r="DD27" s="84" t="str">
        <f>IFERROR(
IF(SUMIF(ProductCodes,"C",$CI:$CI)=$CI$42,(IF($A27="C",(SUMIF(#REF!,DD$17,#REF!)*$CG27)*((SUMIF(ProductCodes,"C",$CI:$CI)-SUMIF(ProductCodes,"H",$CH:$CH)-SUMIF(ProductCodes,"R",$CH:$CH)-SUMIF(ProductCodes,"B",$CH:$CH)-(SUMIF(ProductCodes,"S",$CH:$CH)/2))/SUMIF(ProductCodes,"C",$CH:$CH)),IF($A27="S",(SUMIF(#REF!,DD$17,#REF!)*$CG27)/2,
IF($A27="B",(SUMIF(#REF!,DD$17,#REF!)*$CG27),
IF($A27="R",(SUMIF(#REF!,DD$17,#REF!)*$CG27),
IF($A27="H",(SUMIF(#REF!,DD$17,#REF!)*$CG27),"")))))),
IF(SUMIF(ProductCodes,"S",$CI:$CI)=$CI$42,(IF($A27="S",(SUMIF(#REF!,DD$17,#REF!)*$CG27)*((SUMIF(ProductCodes,"S",$CI:$CI)-SUMIF(ProductCodes,"H",$CH:$CH)-SUMIF(ProductCodes,"R",$CH:$CH)-SUMIF(ProductCodes,"B",$CH:$CH)-(SUMIF(ProductCodes,"C",$CH:$CH)/4))/SUMIF(ProductCodes,"S",$CH:$CH)),
IF($A27="C",(SUMIF(#REF!,DD$17,#REF!)*$CG27)/4,
IF($A27="B",(SUMIF(#REF!,DD$17,#REF!)*$CG27),
IF($A27="R",(SUMIF(#REF!,DD$17,#REF!)*$CG27),
IF($A27="H",(SUMIF(#REF!,DD$17,#REF!)*$CG27),"")))))),
IF($A27="C",(SUMIF(#REF!,DD$17,#REF!)*$CG27)*(SUMIF(ProductCodes,"C",$CI:$CI)/(SUMIF(ProductCodes,"C",$CH:$CH))),
IF($A27="S",(SUMIF(#REF!,DD$17,#REF!)*$CG27)*(SUMIF(ProductCodes,"S",$CI:$CI)/(SUMIF(ProductCodes,"S",$CH:$CH))),
IF($A27="B",(SUMIF(#REF!,DD$17,#REF!)*$CG27)*(SUMIF(ProductCodes,"B",$CI:$CI)/(SUMIF(ProductCodes,"B",$CH:$CH))),
IF($A27="R",(SUMIF(#REF!,DD$17,#REF!)*$CG27)*(SUMIF(ProductCodes,"R",$CI:$CI)/(SUMIF(ProductCodes,"R",$CH:$CH))),
IF($A27="H",(SUMIF(#REF!,DD$17,#REF!)*$CG27)*(SUMIF(ProductCodes,"H",$CI:$CI)/(SUMIF(ProductCodes,"H",$CH:$CH))),""))))))),"Error")</f>
        <v>Error</v>
      </c>
      <c r="DE27" s="84" t="str">
        <f>IFERROR(
IF(SUMIF(ProductCodes,"C",$CI:$CI)=$CI$42,(IF($A27="C",(SUMIF(#REF!,DE$17,#REF!)*$CG27)*((SUMIF(ProductCodes,"C",$CI:$CI)-SUMIF(ProductCodes,"H",$CH:$CH)-SUMIF(ProductCodes,"R",$CH:$CH)-SUMIF(ProductCodes,"B",$CH:$CH)-(SUMIF(ProductCodes,"S",$CH:$CH)/2))/SUMIF(ProductCodes,"C",$CH:$CH)),IF($A27="S",(SUMIF(#REF!,DE$17,#REF!)*$CG27)/2,
IF($A27="B",(SUMIF(#REF!,DE$17,#REF!)*$CG27),
IF($A27="R",(SUMIF(#REF!,DE$17,#REF!)*$CG27),
IF($A27="H",(SUMIF(#REF!,DE$17,#REF!)*$CG27),"")))))),
IF(SUMIF(ProductCodes,"S",$CI:$CI)=$CI$42,(IF($A27="S",(SUMIF(#REF!,DE$17,#REF!)*$CG27)*((SUMIF(ProductCodes,"S",$CI:$CI)-SUMIF(ProductCodes,"H",$CH:$CH)-SUMIF(ProductCodes,"R",$CH:$CH)-SUMIF(ProductCodes,"B",$CH:$CH)-(SUMIF(ProductCodes,"C",$CH:$CH)/4))/SUMIF(ProductCodes,"S",$CH:$CH)),
IF($A27="C",(SUMIF(#REF!,DE$17,#REF!)*$CG27)/4,
IF($A27="B",(SUMIF(#REF!,DE$17,#REF!)*$CG27),
IF($A27="R",(SUMIF(#REF!,DE$17,#REF!)*$CG27),
IF($A27="H",(SUMIF(#REF!,DE$17,#REF!)*$CG27),"")))))),
IF($A27="C",(SUMIF(#REF!,DE$17,#REF!)*$CG27)*(SUMIF(ProductCodes,"C",$CI:$CI)/(SUMIF(ProductCodes,"C",$CH:$CH))),
IF($A27="S",(SUMIF(#REF!,DE$17,#REF!)*$CG27)*(SUMIF(ProductCodes,"S",$CI:$CI)/(SUMIF(ProductCodes,"S",$CH:$CH))),
IF($A27="B",(SUMIF(#REF!,DE$17,#REF!)*$CG27)*(SUMIF(ProductCodes,"B",$CI:$CI)/(SUMIF(ProductCodes,"B",$CH:$CH))),
IF($A27="R",(SUMIF(#REF!,DE$17,#REF!)*$CG27)*(SUMIF(ProductCodes,"R",$CI:$CI)/(SUMIF(ProductCodes,"R",$CH:$CH))),
IF($A27="H",(SUMIF(#REF!,DE$17,#REF!)*$CG27)*(SUMIF(ProductCodes,"H",$CI:$CI)/(SUMIF(ProductCodes,"H",$CH:$CH))),""))))))),"Error")</f>
        <v>Error</v>
      </c>
      <c r="DF27" s="84" t="str">
        <f>IFERROR(
IF(SUMIF(ProductCodes,"C",$CI:$CI)=$CI$42,(IF($A27="C",(SUMIF(#REF!,DF$17,#REF!)*$CG27)*((SUMIF(ProductCodes,"C",$CI:$CI)-SUMIF(ProductCodes,"H",$CH:$CH)-SUMIF(ProductCodes,"R",$CH:$CH)-SUMIF(ProductCodes,"B",$CH:$CH)-(SUMIF(ProductCodes,"S",$CH:$CH)/2))/SUMIF(ProductCodes,"C",$CH:$CH)),IF($A27="S",(SUMIF(#REF!,DF$17,#REF!)*$CG27)/2,
IF($A27="B",(SUMIF(#REF!,DF$17,#REF!)*$CG27),
IF($A27="R",(SUMIF(#REF!,DF$17,#REF!)*$CG27),
IF($A27="H",(SUMIF(#REF!,DF$17,#REF!)*$CG27),"")))))),
IF(SUMIF(ProductCodes,"S",$CI:$CI)=$CI$42,(IF($A27="S",(SUMIF(#REF!,DF$17,#REF!)*$CG27)*((SUMIF(ProductCodes,"S",$CI:$CI)-SUMIF(ProductCodes,"H",$CH:$CH)-SUMIF(ProductCodes,"R",$CH:$CH)-SUMIF(ProductCodes,"B",$CH:$CH)-(SUMIF(ProductCodes,"C",$CH:$CH)/4))/SUMIF(ProductCodes,"S",$CH:$CH)),
IF($A27="C",(SUMIF(#REF!,DF$17,#REF!)*$CG27)/4,
IF($A27="B",(SUMIF(#REF!,DF$17,#REF!)*$CG27),
IF($A27="R",(SUMIF(#REF!,DF$17,#REF!)*$CG27),
IF($A27="H",(SUMIF(#REF!,DF$17,#REF!)*$CG27),"")))))),
IF($A27="C",(SUMIF(#REF!,DF$17,#REF!)*$CG27)*(SUMIF(ProductCodes,"C",$CI:$CI)/(SUMIF(ProductCodes,"C",$CH:$CH))),
IF($A27="S",(SUMIF(#REF!,DF$17,#REF!)*$CG27)*(SUMIF(ProductCodes,"S",$CI:$CI)/(SUMIF(ProductCodes,"S",$CH:$CH))),
IF($A27="B",(SUMIF(#REF!,DF$17,#REF!)*$CG27)*(SUMIF(ProductCodes,"B",$CI:$CI)/(SUMIF(ProductCodes,"B",$CH:$CH))),
IF($A27="R",(SUMIF(#REF!,DF$17,#REF!)*$CG27)*(SUMIF(ProductCodes,"R",$CI:$CI)/(SUMIF(ProductCodes,"R",$CH:$CH))),
IF($A27="H",(SUMIF(#REF!,DF$17,#REF!)*$CG27)*(SUMIF(ProductCodes,"H",$CI:$CI)/(SUMIF(ProductCodes,"H",$CH:$CH))),""))))))),"Error")</f>
        <v>Error</v>
      </c>
      <c r="DG27" s="84" t="str">
        <f>IFERROR(
IF(SUMIF(ProductCodes,"C",$CI:$CI)=$CI$42,(IF($A27="C",(SUMIF(#REF!,DG$17,#REF!)*$CG27)*((SUMIF(ProductCodes,"C",$CI:$CI)-SUMIF(ProductCodes,"H",$CH:$CH)-SUMIF(ProductCodes,"R",$CH:$CH)-SUMIF(ProductCodes,"B",$CH:$CH)-(SUMIF(ProductCodes,"S",$CH:$CH)/2))/SUMIF(ProductCodes,"C",$CH:$CH)),IF($A27="S",(SUMIF(#REF!,DG$17,#REF!)*$CG27)/2,
IF($A27="B",(SUMIF(#REF!,DG$17,#REF!)*$CG27),
IF($A27="R",(SUMIF(#REF!,DG$17,#REF!)*$CG27),
IF($A27="H",(SUMIF(#REF!,DG$17,#REF!)*$CG27),"")))))),
IF(SUMIF(ProductCodes,"S",$CI:$CI)=$CI$42,(IF($A27="S",(SUMIF(#REF!,DG$17,#REF!)*$CG27)*((SUMIF(ProductCodes,"S",$CI:$CI)-SUMIF(ProductCodes,"H",$CH:$CH)-SUMIF(ProductCodes,"R",$CH:$CH)-SUMIF(ProductCodes,"B",$CH:$CH)-(SUMIF(ProductCodes,"C",$CH:$CH)/4))/SUMIF(ProductCodes,"S",$CH:$CH)),
IF($A27="C",(SUMIF(#REF!,DG$17,#REF!)*$CG27)/4,
IF($A27="B",(SUMIF(#REF!,DG$17,#REF!)*$CG27),
IF($A27="R",(SUMIF(#REF!,DG$17,#REF!)*$CG27),
IF($A27="H",(SUMIF(#REF!,DG$17,#REF!)*$CG27),"")))))),
IF($A27="C",(SUMIF(#REF!,DG$17,#REF!)*$CG27)*(SUMIF(ProductCodes,"C",$CI:$CI)/(SUMIF(ProductCodes,"C",$CH:$CH))),
IF($A27="S",(SUMIF(#REF!,DG$17,#REF!)*$CG27)*(SUMIF(ProductCodes,"S",$CI:$CI)/(SUMIF(ProductCodes,"S",$CH:$CH))),
IF($A27="B",(SUMIF(#REF!,DG$17,#REF!)*$CG27)*(SUMIF(ProductCodes,"B",$CI:$CI)/(SUMIF(ProductCodes,"B",$CH:$CH))),
IF($A27="R",(SUMIF(#REF!,DG$17,#REF!)*$CG27)*(SUMIF(ProductCodes,"R",$CI:$CI)/(SUMIF(ProductCodes,"R",$CH:$CH))),
IF($A27="H",(SUMIF(#REF!,DG$17,#REF!)*$CG27)*(SUMIF(ProductCodes,"H",$CI:$CI)/(SUMIF(ProductCodes,"H",$CH:$CH))),""))))))),"Error")</f>
        <v>Error</v>
      </c>
      <c r="DH27" s="84" t="str">
        <f>IFERROR(
IF(SUMIF(ProductCodes,"C",$CI:$CI)=$CI$42,(IF($A27="C",(SUMIF(#REF!,DH$17,#REF!)*$CG27)*((SUMIF(ProductCodes,"C",$CI:$CI)-SUMIF(ProductCodes,"H",$CH:$CH)-SUMIF(ProductCodes,"R",$CH:$CH)-SUMIF(ProductCodes,"B",$CH:$CH)-(SUMIF(ProductCodes,"S",$CH:$CH)/2))/SUMIF(ProductCodes,"C",$CH:$CH)),IF($A27="S",(SUMIF(#REF!,DH$17,#REF!)*$CG27)/2,
IF($A27="B",(SUMIF(#REF!,DH$17,#REF!)*$CG27),
IF($A27="R",(SUMIF(#REF!,DH$17,#REF!)*$CG27),
IF($A27="H",(SUMIF(#REF!,DH$17,#REF!)*$CG27),"")))))),
IF(SUMIF(ProductCodes,"S",$CI:$CI)=$CI$42,(IF($A27="S",(SUMIF(#REF!,DH$17,#REF!)*$CG27)*((SUMIF(ProductCodes,"S",$CI:$CI)-SUMIF(ProductCodes,"H",$CH:$CH)-SUMIF(ProductCodes,"R",$CH:$CH)-SUMIF(ProductCodes,"B",$CH:$CH)-(SUMIF(ProductCodes,"C",$CH:$CH)/4))/SUMIF(ProductCodes,"S",$CH:$CH)),
IF($A27="C",(SUMIF(#REF!,DH$17,#REF!)*$CG27)/4,
IF($A27="B",(SUMIF(#REF!,DH$17,#REF!)*$CG27),
IF($A27="R",(SUMIF(#REF!,DH$17,#REF!)*$CG27),
IF($A27="H",(SUMIF(#REF!,DH$17,#REF!)*$CG27),"")))))),
IF($A27="C",(SUMIF(#REF!,DH$17,#REF!)*$CG27)*(SUMIF(ProductCodes,"C",$CI:$CI)/(SUMIF(ProductCodes,"C",$CH:$CH))),
IF($A27="S",(SUMIF(#REF!,DH$17,#REF!)*$CG27)*(SUMIF(ProductCodes,"S",$CI:$CI)/(SUMIF(ProductCodes,"S",$CH:$CH))),
IF($A27="B",(SUMIF(#REF!,DH$17,#REF!)*$CG27)*(SUMIF(ProductCodes,"B",$CI:$CI)/(SUMIF(ProductCodes,"B",$CH:$CH))),
IF($A27="R",(SUMIF(#REF!,DH$17,#REF!)*$CG27)*(SUMIF(ProductCodes,"R",$CI:$CI)/(SUMIF(ProductCodes,"R",$CH:$CH))),
IF($A27="H",(SUMIF(#REF!,DH$17,#REF!)*$CG27)*(SUMIF(ProductCodes,"H",$CI:$CI)/(SUMIF(ProductCodes,"H",$CH:$CH))),""))))))),"Error")</f>
        <v>Error</v>
      </c>
      <c r="DI27" s="84" t="str">
        <f>IFERROR(
IF(SUMIF(ProductCodes,"C",$CI:$CI)=$CI$42,(IF($A27="C",(SUMIF(#REF!,DI$17,#REF!)*$CG27)*((SUMIF(ProductCodes,"C",$CI:$CI)-SUMIF(ProductCodes,"H",$CH:$CH)-SUMIF(ProductCodes,"R",$CH:$CH)-SUMIF(ProductCodes,"B",$CH:$CH)-(SUMIF(ProductCodes,"S",$CH:$CH)/2))/SUMIF(ProductCodes,"C",$CH:$CH)),IF($A27="S",(SUMIF(#REF!,DI$17,#REF!)*$CG27)/2,
IF($A27="B",(SUMIF(#REF!,DI$17,#REF!)*$CG27),
IF($A27="R",(SUMIF(#REF!,DI$17,#REF!)*$CG27),
IF($A27="H",(SUMIF(#REF!,DI$17,#REF!)*$CG27),"")))))),
IF(SUMIF(ProductCodes,"S",$CI:$CI)=$CI$42,(IF($A27="S",(SUMIF(#REF!,DI$17,#REF!)*$CG27)*((SUMIF(ProductCodes,"S",$CI:$CI)-SUMIF(ProductCodes,"H",$CH:$CH)-SUMIF(ProductCodes,"R",$CH:$CH)-SUMIF(ProductCodes,"B",$CH:$CH)-(SUMIF(ProductCodes,"C",$CH:$CH)/4))/SUMIF(ProductCodes,"S",$CH:$CH)),
IF($A27="C",(SUMIF(#REF!,DI$17,#REF!)*$CG27)/4,
IF($A27="B",(SUMIF(#REF!,DI$17,#REF!)*$CG27),
IF($A27="R",(SUMIF(#REF!,DI$17,#REF!)*$CG27),
IF($A27="H",(SUMIF(#REF!,DI$17,#REF!)*$CG27),"")))))),
IF($A27="C",(SUMIF(#REF!,DI$17,#REF!)*$CG27)*(SUMIF(ProductCodes,"C",$CI:$CI)/(SUMIF(ProductCodes,"C",$CH:$CH))),
IF($A27="S",(SUMIF(#REF!,DI$17,#REF!)*$CG27)*(SUMIF(ProductCodes,"S",$CI:$CI)/(SUMIF(ProductCodes,"S",$CH:$CH))),
IF($A27="B",(SUMIF(#REF!,DI$17,#REF!)*$CG27)*(SUMIF(ProductCodes,"B",$CI:$CI)/(SUMIF(ProductCodes,"B",$CH:$CH))),
IF($A27="R",(SUMIF(#REF!,DI$17,#REF!)*$CG27)*(SUMIF(ProductCodes,"R",$CI:$CI)/(SUMIF(ProductCodes,"R",$CH:$CH))),
IF($A27="H",(SUMIF(#REF!,DI$17,#REF!)*$CG27)*(SUMIF(ProductCodes,"H",$CI:$CI)/(SUMIF(ProductCodes,"H",$CH:$CH))),""))))))),"Error")</f>
        <v>Error</v>
      </c>
      <c r="DJ27" s="84" t="str">
        <f>IFERROR(
IF(SUMIF(ProductCodes,"C",$CI:$CI)=$CI$42,(IF($A27="C",(SUMIF(#REF!,DJ$17,#REF!)*$CG27)*((SUMIF(ProductCodes,"C",$CI:$CI)-SUMIF(ProductCodes,"H",$CH:$CH)-SUMIF(ProductCodes,"R",$CH:$CH)-SUMIF(ProductCodes,"B",$CH:$CH)-(SUMIF(ProductCodes,"S",$CH:$CH)/2))/SUMIF(ProductCodes,"C",$CH:$CH)),IF($A27="S",(SUMIF(#REF!,DJ$17,#REF!)*$CG27)/2,
IF($A27="B",(SUMIF(#REF!,DJ$17,#REF!)*$CG27),
IF($A27="R",(SUMIF(#REF!,DJ$17,#REF!)*$CG27),
IF($A27="H",(SUMIF(#REF!,DJ$17,#REF!)*$CG27),"")))))),
IF(SUMIF(ProductCodes,"S",$CI:$CI)=$CI$42,(IF($A27="S",(SUMIF(#REF!,DJ$17,#REF!)*$CG27)*((SUMIF(ProductCodes,"S",$CI:$CI)-SUMIF(ProductCodes,"H",$CH:$CH)-SUMIF(ProductCodes,"R",$CH:$CH)-SUMIF(ProductCodes,"B",$CH:$CH)-(SUMIF(ProductCodes,"C",$CH:$CH)/4))/SUMIF(ProductCodes,"S",$CH:$CH)),
IF($A27="C",(SUMIF(#REF!,DJ$17,#REF!)*$CG27)/4,
IF($A27="B",(SUMIF(#REF!,DJ$17,#REF!)*$CG27),
IF($A27="R",(SUMIF(#REF!,DJ$17,#REF!)*$CG27),
IF($A27="H",(SUMIF(#REF!,DJ$17,#REF!)*$CG27),"")))))),
IF($A27="C",(SUMIF(#REF!,DJ$17,#REF!)*$CG27)*(SUMIF(ProductCodes,"C",$CI:$CI)/(SUMIF(ProductCodes,"C",$CH:$CH))),
IF($A27="S",(SUMIF(#REF!,DJ$17,#REF!)*$CG27)*(SUMIF(ProductCodes,"S",$CI:$CI)/(SUMIF(ProductCodes,"S",$CH:$CH))),
IF($A27="B",(SUMIF(#REF!,DJ$17,#REF!)*$CG27)*(SUMIF(ProductCodes,"B",$CI:$CI)/(SUMIF(ProductCodes,"B",$CH:$CH))),
IF($A27="R",(SUMIF(#REF!,DJ$17,#REF!)*$CG27)*(SUMIF(ProductCodes,"R",$CI:$CI)/(SUMIF(ProductCodes,"R",$CH:$CH))),
IF($A27="H",(SUMIF(#REF!,DJ$17,#REF!)*$CG27)*(SUMIF(ProductCodes,"H",$CI:$CI)/(SUMIF(ProductCodes,"H",$CH:$CH))),""))))))),"Error")</f>
        <v>Error</v>
      </c>
      <c r="DK27" s="84" t="str">
        <f>IFERROR(
IF(SUMIF(ProductCodes,"C",$CI:$CI)=$CI$42,(IF($A27="C",(SUMIF(#REF!,DK$17,#REF!)*$CG27)*((SUMIF(ProductCodes,"C",$CI:$CI)-SUMIF(ProductCodes,"H",$CH:$CH)-SUMIF(ProductCodes,"R",$CH:$CH)-SUMIF(ProductCodes,"B",$CH:$CH)-(SUMIF(ProductCodes,"S",$CH:$CH)/2))/SUMIF(ProductCodes,"C",$CH:$CH)),IF($A27="S",(SUMIF(#REF!,DK$17,#REF!)*$CG27)/2,
IF($A27="B",(SUMIF(#REF!,DK$17,#REF!)*$CG27),
IF($A27="R",(SUMIF(#REF!,DK$17,#REF!)*$CG27),
IF($A27="H",(SUMIF(#REF!,DK$17,#REF!)*$CG27),"")))))),
IF(SUMIF(ProductCodes,"S",$CI:$CI)=$CI$42,(IF($A27="S",(SUMIF(#REF!,DK$17,#REF!)*$CG27)*((SUMIF(ProductCodes,"S",$CI:$CI)-SUMIF(ProductCodes,"H",$CH:$CH)-SUMIF(ProductCodes,"R",$CH:$CH)-SUMIF(ProductCodes,"B",$CH:$CH)-(SUMIF(ProductCodes,"C",$CH:$CH)/4))/SUMIF(ProductCodes,"S",$CH:$CH)),
IF($A27="C",(SUMIF(#REF!,DK$17,#REF!)*$CG27)/4,
IF($A27="B",(SUMIF(#REF!,DK$17,#REF!)*$CG27),
IF($A27="R",(SUMIF(#REF!,DK$17,#REF!)*$CG27),
IF($A27="H",(SUMIF(#REF!,DK$17,#REF!)*$CG27),"")))))),
IF($A27="C",(SUMIF(#REF!,DK$17,#REF!)*$CG27)*(SUMIF(ProductCodes,"C",$CI:$CI)/(SUMIF(ProductCodes,"C",$CH:$CH))),
IF($A27="S",(SUMIF(#REF!,DK$17,#REF!)*$CG27)*(SUMIF(ProductCodes,"S",$CI:$CI)/(SUMIF(ProductCodes,"S",$CH:$CH))),
IF($A27="B",(SUMIF(#REF!,DK$17,#REF!)*$CG27)*(SUMIF(ProductCodes,"B",$CI:$CI)/(SUMIF(ProductCodes,"B",$CH:$CH))),
IF($A27="R",(SUMIF(#REF!,DK$17,#REF!)*$CG27)*(SUMIF(ProductCodes,"R",$CI:$CI)/(SUMIF(ProductCodes,"R",$CH:$CH))),
IF($A27="H",(SUMIF(#REF!,DK$17,#REF!)*$CG27)*(SUMIF(ProductCodes,"H",$CI:$CI)/(SUMIF(ProductCodes,"H",$CH:$CH))),""))))))),"Error")</f>
        <v>Error</v>
      </c>
      <c r="DL27" s="84" t="str">
        <f>IFERROR(
IF(SUMIF(ProductCodes,"C",$CI:$CI)=$CI$42,(IF($A27="C",(SUMIF(#REF!,DL$17,#REF!)*$CG27)*((SUMIF(ProductCodes,"C",$CI:$CI)-SUMIF(ProductCodes,"H",$CH:$CH)-SUMIF(ProductCodes,"R",$CH:$CH)-SUMIF(ProductCodes,"B",$CH:$CH)-(SUMIF(ProductCodes,"S",$CH:$CH)/2))/SUMIF(ProductCodes,"C",$CH:$CH)),IF($A27="S",(SUMIF(#REF!,DL$17,#REF!)*$CG27)/2,
IF($A27="B",(SUMIF(#REF!,DL$17,#REF!)*$CG27),
IF($A27="R",(SUMIF(#REF!,DL$17,#REF!)*$CG27),
IF($A27="H",(SUMIF(#REF!,DL$17,#REF!)*$CG27),"")))))),
IF(SUMIF(ProductCodes,"S",$CI:$CI)=$CI$42,(IF($A27="S",(SUMIF(#REF!,DL$17,#REF!)*$CG27)*((SUMIF(ProductCodes,"S",$CI:$CI)-SUMIF(ProductCodes,"H",$CH:$CH)-SUMIF(ProductCodes,"R",$CH:$CH)-SUMIF(ProductCodes,"B",$CH:$CH)-(SUMIF(ProductCodes,"C",$CH:$CH)/4))/SUMIF(ProductCodes,"S",$CH:$CH)),
IF($A27="C",(SUMIF(#REF!,DL$17,#REF!)*$CG27)/4,
IF($A27="B",(SUMIF(#REF!,DL$17,#REF!)*$CG27),
IF($A27="R",(SUMIF(#REF!,DL$17,#REF!)*$CG27),
IF($A27="H",(SUMIF(#REF!,DL$17,#REF!)*$CG27),"")))))),
IF($A27="C",(SUMIF(#REF!,DL$17,#REF!)*$CG27)*(SUMIF(ProductCodes,"C",$CI:$CI)/(SUMIF(ProductCodes,"C",$CH:$CH))),
IF($A27="S",(SUMIF(#REF!,DL$17,#REF!)*$CG27)*(SUMIF(ProductCodes,"S",$CI:$CI)/(SUMIF(ProductCodes,"S",$CH:$CH))),
IF($A27="B",(SUMIF(#REF!,DL$17,#REF!)*$CG27)*(SUMIF(ProductCodes,"B",$CI:$CI)/(SUMIF(ProductCodes,"B",$CH:$CH))),
IF($A27="R",(SUMIF(#REF!,DL$17,#REF!)*$CG27)*(SUMIF(ProductCodes,"R",$CI:$CI)/(SUMIF(ProductCodes,"R",$CH:$CH))),
IF($A27="H",(SUMIF(#REF!,DL$17,#REF!)*$CG27)*(SUMIF(ProductCodes,"H",$CI:$CI)/(SUMIF(ProductCodes,"H",$CH:$CH))),""))))))),"Error")</f>
        <v>Error</v>
      </c>
      <c r="DM27" s="84" t="str">
        <f>IFERROR(
IF(SUMIF(ProductCodes,"C",$CI:$CI)=$CI$42,(IF($A27="C",(SUMIF(#REF!,DM$17,#REF!)*$CG27)*((SUMIF(ProductCodes,"C",$CI:$CI)-SUMIF(ProductCodes,"H",$CH:$CH)-SUMIF(ProductCodes,"R",$CH:$CH)-SUMIF(ProductCodes,"B",$CH:$CH)-(SUMIF(ProductCodes,"S",$CH:$CH)/2))/SUMIF(ProductCodes,"C",$CH:$CH)),IF($A27="S",(SUMIF(#REF!,DM$17,#REF!)*$CG27)/2,
IF($A27="B",(SUMIF(#REF!,DM$17,#REF!)*$CG27),
IF($A27="R",(SUMIF(#REF!,DM$17,#REF!)*$CG27),
IF($A27="H",(SUMIF(#REF!,DM$17,#REF!)*$CG27),"")))))),
IF(SUMIF(ProductCodes,"S",$CI:$CI)=$CI$42,(IF($A27="S",(SUMIF(#REF!,DM$17,#REF!)*$CG27)*((SUMIF(ProductCodes,"S",$CI:$CI)-SUMIF(ProductCodes,"H",$CH:$CH)-SUMIF(ProductCodes,"R",$CH:$CH)-SUMIF(ProductCodes,"B",$CH:$CH)-(SUMIF(ProductCodes,"C",$CH:$CH)/4))/SUMIF(ProductCodes,"S",$CH:$CH)),
IF($A27="C",(SUMIF(#REF!,DM$17,#REF!)*$CG27)/4,
IF($A27="B",(SUMIF(#REF!,DM$17,#REF!)*$CG27),
IF($A27="R",(SUMIF(#REF!,DM$17,#REF!)*$CG27),
IF($A27="H",(SUMIF(#REF!,DM$17,#REF!)*$CG27),"")))))),
IF($A27="C",(SUMIF(#REF!,DM$17,#REF!)*$CG27)*(SUMIF(ProductCodes,"C",$CI:$CI)/(SUMIF(ProductCodes,"C",$CH:$CH))),
IF($A27="S",(SUMIF(#REF!,DM$17,#REF!)*$CG27)*(SUMIF(ProductCodes,"S",$CI:$CI)/(SUMIF(ProductCodes,"S",$CH:$CH))),
IF($A27="B",(SUMIF(#REF!,DM$17,#REF!)*$CG27)*(SUMIF(ProductCodes,"B",$CI:$CI)/(SUMIF(ProductCodes,"B",$CH:$CH))),
IF($A27="R",(SUMIF(#REF!,DM$17,#REF!)*$CG27)*(SUMIF(ProductCodes,"R",$CI:$CI)/(SUMIF(ProductCodes,"R",$CH:$CH))),
IF($A27="H",(SUMIF(#REF!,DM$17,#REF!)*$CG27)*(SUMIF(ProductCodes,"H",$CI:$CI)/(SUMIF(ProductCodes,"H",$CH:$CH))),""))))))),"Error")</f>
        <v>Error</v>
      </c>
      <c r="DN27" s="84" t="str">
        <f>IFERROR(
IF(SUMIF(ProductCodes,"C",$CI:$CI)=$CI$42,(IF($A27="C",(SUMIF(#REF!,DN$17,#REF!)*$CG27)*((SUMIF(ProductCodes,"C",$CI:$CI)-SUMIF(ProductCodes,"H",$CH:$CH)-SUMIF(ProductCodes,"R",$CH:$CH)-SUMIF(ProductCodes,"B",$CH:$CH)-(SUMIF(ProductCodes,"S",$CH:$CH)/2))/SUMIF(ProductCodes,"C",$CH:$CH)),IF($A27="S",(SUMIF(#REF!,DN$17,#REF!)*$CG27)/2,
IF($A27="B",(SUMIF(#REF!,DN$17,#REF!)*$CG27),
IF($A27="R",(SUMIF(#REF!,DN$17,#REF!)*$CG27),
IF($A27="H",(SUMIF(#REF!,DN$17,#REF!)*$CG27),"")))))),
IF(SUMIF(ProductCodes,"S",$CI:$CI)=$CI$42,(IF($A27="S",(SUMIF(#REF!,DN$17,#REF!)*$CG27)*((SUMIF(ProductCodes,"S",$CI:$CI)-SUMIF(ProductCodes,"H",$CH:$CH)-SUMIF(ProductCodes,"R",$CH:$CH)-SUMIF(ProductCodes,"B",$CH:$CH)-(SUMIF(ProductCodes,"C",$CH:$CH)/4))/SUMIF(ProductCodes,"S",$CH:$CH)),
IF($A27="C",(SUMIF(#REF!,DN$17,#REF!)*$CG27)/4,
IF($A27="B",(SUMIF(#REF!,DN$17,#REF!)*$CG27),
IF($A27="R",(SUMIF(#REF!,DN$17,#REF!)*$CG27),
IF($A27="H",(SUMIF(#REF!,DN$17,#REF!)*$CG27),"")))))),
IF($A27="C",(SUMIF(#REF!,DN$17,#REF!)*$CG27)*(SUMIF(ProductCodes,"C",$CI:$CI)/(SUMIF(ProductCodes,"C",$CH:$CH))),
IF($A27="S",(SUMIF(#REF!,DN$17,#REF!)*$CG27)*(SUMIF(ProductCodes,"S",$CI:$CI)/(SUMIF(ProductCodes,"S",$CH:$CH))),
IF($A27="B",(SUMIF(#REF!,DN$17,#REF!)*$CG27)*(SUMIF(ProductCodes,"B",$CI:$CI)/(SUMIF(ProductCodes,"B",$CH:$CH))),
IF($A27="R",(SUMIF(#REF!,DN$17,#REF!)*$CG27)*(SUMIF(ProductCodes,"R",$CI:$CI)/(SUMIF(ProductCodes,"R",$CH:$CH))),
IF($A27="H",(SUMIF(#REF!,DN$17,#REF!)*$CG27)*(SUMIF(ProductCodes,"H",$CI:$CI)/(SUMIF(ProductCodes,"H",$CH:$CH))),""))))))),"Error")</f>
        <v>Error</v>
      </c>
      <c r="DO27" s="84" t="str">
        <f>IFERROR(
IF(SUMIF(ProductCodes,"C",$CI:$CI)=$CI$42,(IF($A27="C",(SUMIF(#REF!,DO$17,#REF!)*$CG27)*((SUMIF(ProductCodes,"C",$CI:$CI)-SUMIF(ProductCodes,"H",$CH:$CH)-SUMIF(ProductCodes,"R",$CH:$CH)-SUMIF(ProductCodes,"B",$CH:$CH)-(SUMIF(ProductCodes,"S",$CH:$CH)/2))/SUMIF(ProductCodes,"C",$CH:$CH)),IF($A27="S",(SUMIF(#REF!,DO$17,#REF!)*$CG27)/2,
IF($A27="B",(SUMIF(#REF!,DO$17,#REF!)*$CG27),
IF($A27="R",(SUMIF(#REF!,DO$17,#REF!)*$CG27),
IF($A27="H",(SUMIF(#REF!,DO$17,#REF!)*$CG27),"")))))),
IF(SUMIF(ProductCodes,"S",$CI:$CI)=$CI$42,(IF($A27="S",(SUMIF(#REF!,DO$17,#REF!)*$CG27)*((SUMIF(ProductCodes,"S",$CI:$CI)-SUMIF(ProductCodes,"H",$CH:$CH)-SUMIF(ProductCodes,"R",$CH:$CH)-SUMIF(ProductCodes,"B",$CH:$CH)-(SUMIF(ProductCodes,"C",$CH:$CH)/4))/SUMIF(ProductCodes,"S",$CH:$CH)),
IF($A27="C",(SUMIF(#REF!,DO$17,#REF!)*$CG27)/4,
IF($A27="B",(SUMIF(#REF!,DO$17,#REF!)*$CG27),
IF($A27="R",(SUMIF(#REF!,DO$17,#REF!)*$CG27),
IF($A27="H",(SUMIF(#REF!,DO$17,#REF!)*$CG27),"")))))),
IF($A27="C",(SUMIF(#REF!,DO$17,#REF!)*$CG27)*(SUMIF(ProductCodes,"C",$CI:$CI)/(SUMIF(ProductCodes,"C",$CH:$CH))),
IF($A27="S",(SUMIF(#REF!,DO$17,#REF!)*$CG27)*(SUMIF(ProductCodes,"S",$CI:$CI)/(SUMIF(ProductCodes,"S",$CH:$CH))),
IF($A27="B",(SUMIF(#REF!,DO$17,#REF!)*$CG27)*(SUMIF(ProductCodes,"B",$CI:$CI)/(SUMIF(ProductCodes,"B",$CH:$CH))),
IF($A27="R",(SUMIF(#REF!,DO$17,#REF!)*$CG27)*(SUMIF(ProductCodes,"R",$CI:$CI)/(SUMIF(ProductCodes,"R",$CH:$CH))),
IF($A27="H",(SUMIF(#REF!,DO$17,#REF!)*$CG27)*(SUMIF(ProductCodes,"H",$CI:$CI)/(SUMIF(ProductCodes,"H",$CH:$CH))),""))))))),"Error")</f>
        <v>Error</v>
      </c>
      <c r="DP27" s="85" t="str">
        <f>IFERROR(
IF(SUMIF(ProductCodes,"C",$CI:$CI)=$CI$42,(IF($A27="C",(SUMIF(#REF!,DP$17,#REF!)*$CG27)*((SUMIF(ProductCodes,"C",$CI:$CI)-SUMIF(ProductCodes,"H",$CH:$CH)-SUMIF(ProductCodes,"R",$CH:$CH)-SUMIF(ProductCodes,"B",$CH:$CH)-(SUMIF(ProductCodes,"S",$CH:$CH)/2))/SUMIF(ProductCodes,"C",$CH:$CH)),IF($A27="S",(SUMIF(#REF!,DP$17,#REF!)*$CG27)/2,
IF($A27="B",(SUMIF(#REF!,DP$17,#REF!)*$CG27),
IF($A27="R",(SUMIF(#REF!,DP$17,#REF!)*$CG27),
IF($A27="H",(SUMIF(#REF!,DP$17,#REF!)*$CG27),"")))))),
IF(SUMIF(ProductCodes,"S",$CI:$CI)=$CI$42,(IF($A27="S",(SUMIF(#REF!,DP$17,#REF!)*$CG27)*((SUMIF(ProductCodes,"S",$CI:$CI)-SUMIF(ProductCodes,"H",$CH:$CH)-SUMIF(ProductCodes,"R",$CH:$CH)-SUMIF(ProductCodes,"B",$CH:$CH)-(SUMIF(ProductCodes,"C",$CH:$CH)/4))/SUMIF(ProductCodes,"S",$CH:$CH)),
IF($A27="C",(SUMIF(#REF!,DP$17,#REF!)*$CG27)/4,
IF($A27="B",(SUMIF(#REF!,DP$17,#REF!)*$CG27),
IF($A27="R",(SUMIF(#REF!,DP$17,#REF!)*$CG27),
IF($A27="H",(SUMIF(#REF!,DP$17,#REF!)*$CG27),"")))))),
IF($A27="C",(SUMIF(#REF!,DP$17,#REF!)*$CG27)*(SUMIF(ProductCodes,"C",$CI:$CI)/(SUMIF(ProductCodes,"C",$CH:$CH))),
IF($A27="S",(SUMIF(#REF!,DP$17,#REF!)*$CG27)*(SUMIF(ProductCodes,"S",$CI:$CI)/(SUMIF(ProductCodes,"S",$CH:$CH))),
IF($A27="B",(SUMIF(#REF!,DP$17,#REF!)*$CG27)*(SUMIF(ProductCodes,"B",$CI:$CI)/(SUMIF(ProductCodes,"B",$CH:$CH))),
IF($A27="R",(SUMIF(#REF!,DP$17,#REF!)*$CG27)*(SUMIF(ProductCodes,"R",$CI:$CI)/(SUMIF(ProductCodes,"R",$CH:$CH))),
IF($A27="H",(SUMIF(#REF!,DP$17,#REF!)*$CG27)*(SUMIF(ProductCodes,"H",$CI:$CI)/(SUMIF(ProductCodes,"H",$CH:$CH))),""))))))),"Error")</f>
        <v>Error</v>
      </c>
      <c r="DQ27" s="9"/>
      <c r="DR27" s="9"/>
      <c r="DS27"/>
      <c r="DT27"/>
      <c r="DU27"/>
      <c r="DV27"/>
      <c r="DW27"/>
      <c r="DX27"/>
      <c r="DY27"/>
      <c r="DZ27"/>
      <c r="EA27"/>
      <c r="EB27"/>
      <c r="EC27"/>
      <c r="ED27"/>
    </row>
    <row r="28" spans="1:134" s="86" customFormat="1" ht="35.25" customHeight="1" thickBot="1" x14ac:dyDescent="0.4">
      <c r="A28" s="76"/>
      <c r="B28" s="87" t="s">
        <v>47</v>
      </c>
      <c r="C28" s="88"/>
      <c r="D28" s="88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77"/>
      <c r="Z28" s="77"/>
      <c r="AA28" s="77"/>
      <c r="AB28" s="77"/>
      <c r="AC28" s="77"/>
      <c r="AD28" s="222"/>
      <c r="AE28" s="223"/>
      <c r="AF28" s="223"/>
      <c r="AG28" s="223"/>
      <c r="AH28" s="224"/>
      <c r="AI28" s="225"/>
      <c r="AJ28" s="223"/>
      <c r="AK28" s="223"/>
      <c r="AL28" s="224"/>
      <c r="AM28" s="222"/>
      <c r="AN28" s="223"/>
      <c r="AO28" s="223"/>
      <c r="AP28" s="223"/>
      <c r="AQ28" s="224"/>
      <c r="AR28" s="225"/>
      <c r="AS28" s="223"/>
      <c r="AT28" s="223"/>
      <c r="AU28" s="224"/>
      <c r="AV28" s="225"/>
      <c r="AW28" s="223"/>
      <c r="AX28" s="223"/>
      <c r="AY28" s="224"/>
      <c r="AZ28" s="222"/>
      <c r="BA28" s="223"/>
      <c r="BB28" s="223"/>
      <c r="BC28" s="223"/>
      <c r="BD28" s="224"/>
      <c r="BE28" s="225"/>
      <c r="BF28" s="223"/>
      <c r="BG28" s="223"/>
      <c r="BH28" s="224"/>
      <c r="BI28" s="225"/>
      <c r="BJ28" s="223"/>
      <c r="BK28" s="223"/>
      <c r="BL28" s="224"/>
      <c r="BM28" s="222"/>
      <c r="BN28" s="223"/>
      <c r="BO28" s="223"/>
      <c r="BP28" s="223"/>
      <c r="BQ28" s="224"/>
      <c r="BR28" s="225"/>
      <c r="BS28" s="223"/>
      <c r="BT28" s="223"/>
      <c r="BU28" s="224"/>
      <c r="BV28" s="225"/>
      <c r="BW28" s="223"/>
      <c r="BX28" s="223"/>
      <c r="BY28" s="224"/>
      <c r="BZ28" s="225"/>
      <c r="CA28" s="223"/>
      <c r="CB28" s="223"/>
      <c r="CC28" s="224"/>
      <c r="CD28" s="77"/>
      <c r="CE28" s="89">
        <f t="shared" si="33"/>
        <v>0</v>
      </c>
      <c r="CF28" s="89">
        <f t="shared" si="31"/>
        <v>0</v>
      </c>
      <c r="CG28" s="77"/>
      <c r="CH28" s="78">
        <f t="shared" si="32"/>
        <v>0</v>
      </c>
      <c r="CI28" s="240"/>
      <c r="CJ28" s="79"/>
      <c r="CK28" s="79"/>
      <c r="CL28" s="79"/>
      <c r="CM28" s="80"/>
      <c r="CN28" s="81"/>
      <c r="CO28" s="82"/>
      <c r="CP28" s="75"/>
      <c r="CQ28" s="75"/>
      <c r="CR28" s="83"/>
      <c r="CS28" s="84" t="str">
        <f>IFERROR(
IF(SUMIF(ProductCodes,"C",$CI:$CI)=$CI$42,(IF($A28="C",(SUMIF(#REF!,CS$17,#REF!)*$CG28)*((SUMIF(ProductCodes,"C",$CI:$CI)-SUMIF(ProductCodes,"H",$CH:$CH)-SUMIF(ProductCodes,"R",$CH:$CH)-SUMIF(ProductCodes,"B",$CH:$CH)-(SUMIF(ProductCodes,"S",$CH:$CH)/2))/SUMIF(ProductCodes,"C",$CH:$CH)),IF($A28="S",(SUMIF(#REF!,CS$17,#REF!)*$CG28)/2,
IF($A28="B",(SUMIF(#REF!,CS$17,#REF!)*$CG28),
IF($A28="R",(SUMIF(#REF!,CS$17,#REF!)*$CG28),
IF($A28="H",(SUMIF(#REF!,CS$17,#REF!)*$CG28),"")))))),
IF(SUMIF(ProductCodes,"S",$CI:$CI)=$CI$42,(IF($A28="S",(SUMIF(#REF!,CS$17,#REF!)*$CG28)*((SUMIF(ProductCodes,"S",$CI:$CI)-SUMIF(ProductCodes,"H",$CH:$CH)-SUMIF(ProductCodes,"R",$CH:$CH)-SUMIF(ProductCodes,"B",$CH:$CH)-(SUMIF(ProductCodes,"C",$CH:$CH)/4))/SUMIF(ProductCodes,"S",$CH:$CH)),
IF($A28="C",(SUMIF(#REF!,CS$17,#REF!)*$CG28)/4,
IF($A28="B",(SUMIF(#REF!,CS$17,#REF!)*$CG28),
IF($A28="R",(SUMIF(#REF!,CS$17,#REF!)*$CG28),
IF($A28="H",(SUMIF(#REF!,CS$17,#REF!)*$CG28),"")))))),
IF($A28="C",(SUMIF(#REF!,CS$17,#REF!)*$CG28)*(SUMIF(ProductCodes,"C",$CI:$CI)/(SUMIF(ProductCodes,"C",$CH:$CH))),
IF($A28="S",(SUMIF(#REF!,CS$17,#REF!)*$CG28)*(SUMIF(ProductCodes,"S",$CI:$CI)/(SUMIF(ProductCodes,"S",$CH:$CH))),
IF($A28="B",(SUMIF(#REF!,CS$17,#REF!)*$CG28)*(SUMIF(ProductCodes,"B",$CI:$CI)/(SUMIF(ProductCodes,"B",$CH:$CH))),
IF($A28="R",(SUMIF(#REF!,CS$17,#REF!)*$CG28)*(SUMIF(ProductCodes,"R",$CI:$CI)/(SUMIF(ProductCodes,"R",$CH:$CH))),
IF($A28="H",(SUMIF(#REF!,CS$17,#REF!)*$CG28)*(SUMIF(ProductCodes,"H",$CI:$CI)/(SUMIF(ProductCodes,"H",$CH:$CH))),""))))))),"Error")</f>
        <v/>
      </c>
      <c r="CT28" s="84" t="str">
        <f>IFERROR(
IF(SUMIF(ProductCodes,"C",$CI:$CI)=$CI$42,(IF($A28="C",(SUMIF(#REF!,CT$17,#REF!)*$CG28)*((SUMIF(ProductCodes,"C",$CI:$CI)-SUMIF(ProductCodes,"H",$CH:$CH)-SUMIF(ProductCodes,"R",$CH:$CH)-SUMIF(ProductCodes,"B",$CH:$CH)-(SUMIF(ProductCodes,"S",$CH:$CH)/2))/SUMIF(ProductCodes,"C",$CH:$CH)),IF($A28="S",(SUMIF(#REF!,CT$17,#REF!)*$CG28)/2,
IF($A28="B",(SUMIF(#REF!,CT$17,#REF!)*$CG28),
IF($A28="R",(SUMIF(#REF!,CT$17,#REF!)*$CG28),
IF($A28="H",(SUMIF(#REF!,CT$17,#REF!)*$CG28),"")))))),
IF(SUMIF(ProductCodes,"S",$CI:$CI)=$CI$42,(IF($A28="S",(SUMIF(#REF!,CT$17,#REF!)*$CG28)*((SUMIF(ProductCodes,"S",$CI:$CI)-SUMIF(ProductCodes,"H",$CH:$CH)-SUMIF(ProductCodes,"R",$CH:$CH)-SUMIF(ProductCodes,"B",$CH:$CH)-(SUMIF(ProductCodes,"C",$CH:$CH)/4))/SUMIF(ProductCodes,"S",$CH:$CH)),
IF($A28="C",(SUMIF(#REF!,CT$17,#REF!)*$CG28)/4,
IF($A28="B",(SUMIF(#REF!,CT$17,#REF!)*$CG28),
IF($A28="R",(SUMIF(#REF!,CT$17,#REF!)*$CG28),
IF($A28="H",(SUMIF(#REF!,CT$17,#REF!)*$CG28),"")))))),
IF($A28="C",(SUMIF(#REF!,CT$17,#REF!)*$CG28)*(SUMIF(ProductCodes,"C",$CI:$CI)/(SUMIF(ProductCodes,"C",$CH:$CH))),
IF($A28="S",(SUMIF(#REF!,CT$17,#REF!)*$CG28)*(SUMIF(ProductCodes,"S",$CI:$CI)/(SUMIF(ProductCodes,"S",$CH:$CH))),
IF($A28="B",(SUMIF(#REF!,CT$17,#REF!)*$CG28)*(SUMIF(ProductCodes,"B",$CI:$CI)/(SUMIF(ProductCodes,"B",$CH:$CH))),
IF($A28="R",(SUMIF(#REF!,CT$17,#REF!)*$CG28)*(SUMIF(ProductCodes,"R",$CI:$CI)/(SUMIF(ProductCodes,"R",$CH:$CH))),
IF($A28="H",(SUMIF(#REF!,CT$17,#REF!)*$CG28)*(SUMIF(ProductCodes,"H",$CI:$CI)/(SUMIF(ProductCodes,"H",$CH:$CH))),""))))))),"Error")</f>
        <v/>
      </c>
      <c r="CU28" s="84" t="str">
        <f>IFERROR(
IF(SUMIF(ProductCodes,"C",$CI:$CI)=$CI$42,(IF($A28="C",(SUMIF(#REF!,CU$17,#REF!)*$CG28)*((SUMIF(ProductCodes,"C",$CI:$CI)-SUMIF(ProductCodes,"H",$CH:$CH)-SUMIF(ProductCodes,"R",$CH:$CH)-SUMIF(ProductCodes,"B",$CH:$CH)-(SUMIF(ProductCodes,"S",$CH:$CH)/2))/SUMIF(ProductCodes,"C",$CH:$CH)),IF($A28="S",(SUMIF(#REF!,CU$17,#REF!)*$CG28)/2,
IF($A28="B",(SUMIF(#REF!,CU$17,#REF!)*$CG28),
IF($A28="R",(SUMIF(#REF!,CU$17,#REF!)*$CG28),
IF($A28="H",(SUMIF(#REF!,CU$17,#REF!)*$CG28),"")))))),
IF(SUMIF(ProductCodes,"S",$CI:$CI)=$CI$42,(IF($A28="S",(SUMIF(#REF!,CU$17,#REF!)*$CG28)*((SUMIF(ProductCodes,"S",$CI:$CI)-SUMIF(ProductCodes,"H",$CH:$CH)-SUMIF(ProductCodes,"R",$CH:$CH)-SUMIF(ProductCodes,"B",$CH:$CH)-(SUMIF(ProductCodes,"C",$CH:$CH)/4))/SUMIF(ProductCodes,"S",$CH:$CH)),
IF($A28="C",(SUMIF(#REF!,CU$17,#REF!)*$CG28)/4,
IF($A28="B",(SUMIF(#REF!,CU$17,#REF!)*$CG28),
IF($A28="R",(SUMIF(#REF!,CU$17,#REF!)*$CG28),
IF($A28="H",(SUMIF(#REF!,CU$17,#REF!)*$CG28),"")))))),
IF($A28="C",(SUMIF(#REF!,CU$17,#REF!)*$CG28)*(SUMIF(ProductCodes,"C",$CI:$CI)/(SUMIF(ProductCodes,"C",$CH:$CH))),
IF($A28="S",(SUMIF(#REF!,CU$17,#REF!)*$CG28)*(SUMIF(ProductCodes,"S",$CI:$CI)/(SUMIF(ProductCodes,"S",$CH:$CH))),
IF($A28="B",(SUMIF(#REF!,CU$17,#REF!)*$CG28)*(SUMIF(ProductCodes,"B",$CI:$CI)/(SUMIF(ProductCodes,"B",$CH:$CH))),
IF($A28="R",(SUMIF(#REF!,CU$17,#REF!)*$CG28)*(SUMIF(ProductCodes,"R",$CI:$CI)/(SUMIF(ProductCodes,"R",$CH:$CH))),
IF($A28="H",(SUMIF(#REF!,CU$17,#REF!)*$CG28)*(SUMIF(ProductCodes,"H",$CI:$CI)/(SUMIF(ProductCodes,"H",$CH:$CH))),""))))))),"Error")</f>
        <v/>
      </c>
      <c r="CV28" s="84" t="str">
        <f>IFERROR(
IF(SUMIF(ProductCodes,"C",$CI:$CI)=$CI$42,(IF($A28="C",(SUMIF(#REF!,CV$17,#REF!)*$CG28)*((SUMIF(ProductCodes,"C",$CI:$CI)-SUMIF(ProductCodes,"H",$CH:$CH)-SUMIF(ProductCodes,"R",$CH:$CH)-SUMIF(ProductCodes,"B",$CH:$CH)-(SUMIF(ProductCodes,"S",$CH:$CH)/2))/SUMIF(ProductCodes,"C",$CH:$CH)),IF($A28="S",(SUMIF(#REF!,CV$17,#REF!)*$CG28)/2,
IF($A28="B",(SUMIF(#REF!,CV$17,#REF!)*$CG28),
IF($A28="R",(SUMIF(#REF!,CV$17,#REF!)*$CG28),
IF($A28="H",(SUMIF(#REF!,CV$17,#REF!)*$CG28),"")))))),
IF(SUMIF(ProductCodes,"S",$CI:$CI)=$CI$42,(IF($A28="S",(SUMIF(#REF!,CV$17,#REF!)*$CG28)*((SUMIF(ProductCodes,"S",$CI:$CI)-SUMIF(ProductCodes,"H",$CH:$CH)-SUMIF(ProductCodes,"R",$CH:$CH)-SUMIF(ProductCodes,"B",$CH:$CH)-(SUMIF(ProductCodes,"C",$CH:$CH)/4))/SUMIF(ProductCodes,"S",$CH:$CH)),
IF($A28="C",(SUMIF(#REF!,CV$17,#REF!)*$CG28)/4,
IF($A28="B",(SUMIF(#REF!,CV$17,#REF!)*$CG28),
IF($A28="R",(SUMIF(#REF!,CV$17,#REF!)*$CG28),
IF($A28="H",(SUMIF(#REF!,CV$17,#REF!)*$CG28),"")))))),
IF($A28="C",(SUMIF(#REF!,CV$17,#REF!)*$CG28)*(SUMIF(ProductCodes,"C",$CI:$CI)/(SUMIF(ProductCodes,"C",$CH:$CH))),
IF($A28="S",(SUMIF(#REF!,CV$17,#REF!)*$CG28)*(SUMIF(ProductCodes,"S",$CI:$CI)/(SUMIF(ProductCodes,"S",$CH:$CH))),
IF($A28="B",(SUMIF(#REF!,CV$17,#REF!)*$CG28)*(SUMIF(ProductCodes,"B",$CI:$CI)/(SUMIF(ProductCodes,"B",$CH:$CH))),
IF($A28="R",(SUMIF(#REF!,CV$17,#REF!)*$CG28)*(SUMIF(ProductCodes,"R",$CI:$CI)/(SUMIF(ProductCodes,"R",$CH:$CH))),
IF($A28="H",(SUMIF(#REF!,CV$17,#REF!)*$CG28)*(SUMIF(ProductCodes,"H",$CI:$CI)/(SUMIF(ProductCodes,"H",$CH:$CH))),""))))))),"Error")</f>
        <v/>
      </c>
      <c r="CW28" s="84" t="str">
        <f>IFERROR(
IF(SUMIF(ProductCodes,"C",$CI:$CI)=$CI$42,(IF($A28="C",(SUMIF(#REF!,CW$17,#REF!)*$CG28)*((SUMIF(ProductCodes,"C",$CI:$CI)-SUMIF(ProductCodes,"H",$CH:$CH)-SUMIF(ProductCodes,"R",$CH:$CH)-SUMIF(ProductCodes,"B",$CH:$CH)-(SUMIF(ProductCodes,"S",$CH:$CH)/2))/SUMIF(ProductCodes,"C",$CH:$CH)),IF($A28="S",(SUMIF(#REF!,CW$17,#REF!)*$CG28)/2,
IF($A28="B",(SUMIF(#REF!,CW$17,#REF!)*$CG28),
IF($A28="R",(SUMIF(#REF!,CW$17,#REF!)*$CG28),
IF($A28="H",(SUMIF(#REF!,CW$17,#REF!)*$CG28),"")))))),
IF(SUMIF(ProductCodes,"S",$CI:$CI)=$CI$42,(IF($A28="S",(SUMIF(#REF!,CW$17,#REF!)*$CG28)*((SUMIF(ProductCodes,"S",$CI:$CI)-SUMIF(ProductCodes,"H",$CH:$CH)-SUMIF(ProductCodes,"R",$CH:$CH)-SUMIF(ProductCodes,"B",$CH:$CH)-(SUMIF(ProductCodes,"C",$CH:$CH)/4))/SUMIF(ProductCodes,"S",$CH:$CH)),
IF($A28="C",(SUMIF(#REF!,CW$17,#REF!)*$CG28)/4,
IF($A28="B",(SUMIF(#REF!,CW$17,#REF!)*$CG28),
IF($A28="R",(SUMIF(#REF!,CW$17,#REF!)*$CG28),
IF($A28="H",(SUMIF(#REF!,CW$17,#REF!)*$CG28),"")))))),
IF($A28="C",(SUMIF(#REF!,CW$17,#REF!)*$CG28)*(SUMIF(ProductCodes,"C",$CI:$CI)/(SUMIF(ProductCodes,"C",$CH:$CH))),
IF($A28="S",(SUMIF(#REF!,CW$17,#REF!)*$CG28)*(SUMIF(ProductCodes,"S",$CI:$CI)/(SUMIF(ProductCodes,"S",$CH:$CH))),
IF($A28="B",(SUMIF(#REF!,CW$17,#REF!)*$CG28)*(SUMIF(ProductCodes,"B",$CI:$CI)/(SUMIF(ProductCodes,"B",$CH:$CH))),
IF($A28="R",(SUMIF(#REF!,CW$17,#REF!)*$CG28)*(SUMIF(ProductCodes,"R",$CI:$CI)/(SUMIF(ProductCodes,"R",$CH:$CH))),
IF($A28="H",(SUMIF(#REF!,CW$17,#REF!)*$CG28)*(SUMIF(ProductCodes,"H",$CI:$CI)/(SUMIF(ProductCodes,"H",$CH:$CH))),""))))))),"Error")</f>
        <v/>
      </c>
      <c r="CX28" s="84" t="str">
        <f>IFERROR(
IF(SUMIF(ProductCodes,"C",$CI:$CI)=$CI$42,(IF($A28="C",(SUMIF(#REF!,CX$17,#REF!)*$CG28)*((SUMIF(ProductCodes,"C",$CI:$CI)-SUMIF(ProductCodes,"H",$CH:$CH)-SUMIF(ProductCodes,"R",$CH:$CH)-SUMIF(ProductCodes,"B",$CH:$CH)-(SUMIF(ProductCodes,"S",$CH:$CH)/2))/SUMIF(ProductCodes,"C",$CH:$CH)),IF($A28="S",(SUMIF(#REF!,CX$17,#REF!)*$CG28)/2,
IF($A28="B",(SUMIF(#REF!,CX$17,#REF!)*$CG28),
IF($A28="R",(SUMIF(#REF!,CX$17,#REF!)*$CG28),
IF($A28="H",(SUMIF(#REF!,CX$17,#REF!)*$CG28),"")))))),
IF(SUMIF(ProductCodes,"S",$CI:$CI)=$CI$42,(IF($A28="S",(SUMIF(#REF!,CX$17,#REF!)*$CG28)*((SUMIF(ProductCodes,"S",$CI:$CI)-SUMIF(ProductCodes,"H",$CH:$CH)-SUMIF(ProductCodes,"R",$CH:$CH)-SUMIF(ProductCodes,"B",$CH:$CH)-(SUMIF(ProductCodes,"C",$CH:$CH)/4))/SUMIF(ProductCodes,"S",$CH:$CH)),
IF($A28="C",(SUMIF(#REF!,CX$17,#REF!)*$CG28)/4,
IF($A28="B",(SUMIF(#REF!,CX$17,#REF!)*$CG28),
IF($A28="R",(SUMIF(#REF!,CX$17,#REF!)*$CG28),
IF($A28="H",(SUMIF(#REF!,CX$17,#REF!)*$CG28),"")))))),
IF($A28="C",(SUMIF(#REF!,CX$17,#REF!)*$CG28)*(SUMIF(ProductCodes,"C",$CI:$CI)/(SUMIF(ProductCodes,"C",$CH:$CH))),
IF($A28="S",(SUMIF(#REF!,CX$17,#REF!)*$CG28)*(SUMIF(ProductCodes,"S",$CI:$CI)/(SUMIF(ProductCodes,"S",$CH:$CH))),
IF($A28="B",(SUMIF(#REF!,CX$17,#REF!)*$CG28)*(SUMIF(ProductCodes,"B",$CI:$CI)/(SUMIF(ProductCodes,"B",$CH:$CH))),
IF($A28="R",(SUMIF(#REF!,CX$17,#REF!)*$CG28)*(SUMIF(ProductCodes,"R",$CI:$CI)/(SUMIF(ProductCodes,"R",$CH:$CH))),
IF($A28="H",(SUMIF(#REF!,CX$17,#REF!)*$CG28)*(SUMIF(ProductCodes,"H",$CI:$CI)/(SUMIF(ProductCodes,"H",$CH:$CH))),""))))))),"Error")</f>
        <v/>
      </c>
      <c r="CY28" s="84" t="str">
        <f>IFERROR(
IF(SUMIF(ProductCodes,"C",$CI:$CI)=$CI$42,(IF($A28="C",(SUMIF(#REF!,CY$17,#REF!)*$CG28)*((SUMIF(ProductCodes,"C",$CI:$CI)-SUMIF(ProductCodes,"H",$CH:$CH)-SUMIF(ProductCodes,"R",$CH:$CH)-SUMIF(ProductCodes,"B",$CH:$CH)-(SUMIF(ProductCodes,"S",$CH:$CH)/2))/SUMIF(ProductCodes,"C",$CH:$CH)),IF($A28="S",(SUMIF(#REF!,CY$17,#REF!)*$CG28)/2,
IF($A28="B",(SUMIF(#REF!,CY$17,#REF!)*$CG28),
IF($A28="R",(SUMIF(#REF!,CY$17,#REF!)*$CG28),
IF($A28="H",(SUMIF(#REF!,CY$17,#REF!)*$CG28),"")))))),
IF(SUMIF(ProductCodes,"S",$CI:$CI)=$CI$42,(IF($A28="S",(SUMIF(#REF!,CY$17,#REF!)*$CG28)*((SUMIF(ProductCodes,"S",$CI:$CI)-SUMIF(ProductCodes,"H",$CH:$CH)-SUMIF(ProductCodes,"R",$CH:$CH)-SUMIF(ProductCodes,"B",$CH:$CH)-(SUMIF(ProductCodes,"C",$CH:$CH)/4))/SUMIF(ProductCodes,"S",$CH:$CH)),
IF($A28="C",(SUMIF(#REF!,CY$17,#REF!)*$CG28)/4,
IF($A28="B",(SUMIF(#REF!,CY$17,#REF!)*$CG28),
IF($A28="R",(SUMIF(#REF!,CY$17,#REF!)*$CG28),
IF($A28="H",(SUMIF(#REF!,CY$17,#REF!)*$CG28),"")))))),
IF($A28="C",(SUMIF(#REF!,CY$17,#REF!)*$CG28)*(SUMIF(ProductCodes,"C",$CI:$CI)/(SUMIF(ProductCodes,"C",$CH:$CH))),
IF($A28="S",(SUMIF(#REF!,CY$17,#REF!)*$CG28)*(SUMIF(ProductCodes,"S",$CI:$CI)/(SUMIF(ProductCodes,"S",$CH:$CH))),
IF($A28="B",(SUMIF(#REF!,CY$17,#REF!)*$CG28)*(SUMIF(ProductCodes,"B",$CI:$CI)/(SUMIF(ProductCodes,"B",$CH:$CH))),
IF($A28="R",(SUMIF(#REF!,CY$17,#REF!)*$CG28)*(SUMIF(ProductCodes,"R",$CI:$CI)/(SUMIF(ProductCodes,"R",$CH:$CH))),
IF($A28="H",(SUMIF(#REF!,CY$17,#REF!)*$CG28)*(SUMIF(ProductCodes,"H",$CI:$CI)/(SUMIF(ProductCodes,"H",$CH:$CH))),""))))))),"Error")</f>
        <v/>
      </c>
      <c r="CZ28" s="84" t="str">
        <f>IFERROR(
IF(SUMIF(ProductCodes,"C",$CI:$CI)=$CI$42,(IF($A28="C",(SUMIF(#REF!,CZ$17,#REF!)*$CG28)*((SUMIF(ProductCodes,"C",$CI:$CI)-SUMIF(ProductCodes,"H",$CH:$CH)-SUMIF(ProductCodes,"R",$CH:$CH)-SUMIF(ProductCodes,"B",$CH:$CH)-(SUMIF(ProductCodes,"S",$CH:$CH)/2))/SUMIF(ProductCodes,"C",$CH:$CH)),IF($A28="S",(SUMIF(#REF!,CZ$17,#REF!)*$CG28)/2,
IF($A28="B",(SUMIF(#REF!,CZ$17,#REF!)*$CG28),
IF($A28="R",(SUMIF(#REF!,CZ$17,#REF!)*$CG28),
IF($A28="H",(SUMIF(#REF!,CZ$17,#REF!)*$CG28),"")))))),
IF(SUMIF(ProductCodes,"S",$CI:$CI)=$CI$42,(IF($A28="S",(SUMIF(#REF!,CZ$17,#REF!)*$CG28)*((SUMIF(ProductCodes,"S",$CI:$CI)-SUMIF(ProductCodes,"H",$CH:$CH)-SUMIF(ProductCodes,"R",$CH:$CH)-SUMIF(ProductCodes,"B",$CH:$CH)-(SUMIF(ProductCodes,"C",$CH:$CH)/4))/SUMIF(ProductCodes,"S",$CH:$CH)),
IF($A28="C",(SUMIF(#REF!,CZ$17,#REF!)*$CG28)/4,
IF($A28="B",(SUMIF(#REF!,CZ$17,#REF!)*$CG28),
IF($A28="R",(SUMIF(#REF!,CZ$17,#REF!)*$CG28),
IF($A28="H",(SUMIF(#REF!,CZ$17,#REF!)*$CG28),"")))))),
IF($A28="C",(SUMIF(#REF!,CZ$17,#REF!)*$CG28)*(SUMIF(ProductCodes,"C",$CI:$CI)/(SUMIF(ProductCodes,"C",$CH:$CH))),
IF($A28="S",(SUMIF(#REF!,CZ$17,#REF!)*$CG28)*(SUMIF(ProductCodes,"S",$CI:$CI)/(SUMIF(ProductCodes,"S",$CH:$CH))),
IF($A28="B",(SUMIF(#REF!,CZ$17,#REF!)*$CG28)*(SUMIF(ProductCodes,"B",$CI:$CI)/(SUMIF(ProductCodes,"B",$CH:$CH))),
IF($A28="R",(SUMIF(#REF!,CZ$17,#REF!)*$CG28)*(SUMIF(ProductCodes,"R",$CI:$CI)/(SUMIF(ProductCodes,"R",$CH:$CH))),
IF($A28="H",(SUMIF(#REF!,CZ$17,#REF!)*$CG28)*(SUMIF(ProductCodes,"H",$CI:$CI)/(SUMIF(ProductCodes,"H",$CH:$CH))),""))))))),"Error")</f>
        <v/>
      </c>
      <c r="DA28" s="84" t="str">
        <f>IFERROR(
IF(SUMIF(ProductCodes,"C",$CI:$CI)=$CI$42,(IF($A28="C",(SUMIF(#REF!,DA$17,#REF!)*$CG28)*((SUMIF(ProductCodes,"C",$CI:$CI)-SUMIF(ProductCodes,"H",$CH:$CH)-SUMIF(ProductCodes,"R",$CH:$CH)-SUMIF(ProductCodes,"B",$CH:$CH)-(SUMIF(ProductCodes,"S",$CH:$CH)/2))/SUMIF(ProductCodes,"C",$CH:$CH)),IF($A28="S",(SUMIF(#REF!,DA$17,#REF!)*$CG28)/2,
IF($A28="B",(SUMIF(#REF!,DA$17,#REF!)*$CG28),
IF($A28="R",(SUMIF(#REF!,DA$17,#REF!)*$CG28),
IF($A28="H",(SUMIF(#REF!,DA$17,#REF!)*$CG28),"")))))),
IF(SUMIF(ProductCodes,"S",$CI:$CI)=$CI$42,(IF($A28="S",(SUMIF(#REF!,DA$17,#REF!)*$CG28)*((SUMIF(ProductCodes,"S",$CI:$CI)-SUMIF(ProductCodes,"H",$CH:$CH)-SUMIF(ProductCodes,"R",$CH:$CH)-SUMIF(ProductCodes,"B",$CH:$CH)-(SUMIF(ProductCodes,"C",$CH:$CH)/4))/SUMIF(ProductCodes,"S",$CH:$CH)),
IF($A28="C",(SUMIF(#REF!,DA$17,#REF!)*$CG28)/4,
IF($A28="B",(SUMIF(#REF!,DA$17,#REF!)*$CG28),
IF($A28="R",(SUMIF(#REF!,DA$17,#REF!)*$CG28),
IF($A28="H",(SUMIF(#REF!,DA$17,#REF!)*$CG28),"")))))),
IF($A28="C",(SUMIF(#REF!,DA$17,#REF!)*$CG28)*(SUMIF(ProductCodes,"C",$CI:$CI)/(SUMIF(ProductCodes,"C",$CH:$CH))),
IF($A28="S",(SUMIF(#REF!,DA$17,#REF!)*$CG28)*(SUMIF(ProductCodes,"S",$CI:$CI)/(SUMIF(ProductCodes,"S",$CH:$CH))),
IF($A28="B",(SUMIF(#REF!,DA$17,#REF!)*$CG28)*(SUMIF(ProductCodes,"B",$CI:$CI)/(SUMIF(ProductCodes,"B",$CH:$CH))),
IF($A28="R",(SUMIF(#REF!,DA$17,#REF!)*$CG28)*(SUMIF(ProductCodes,"R",$CI:$CI)/(SUMIF(ProductCodes,"R",$CH:$CH))),
IF($A28="H",(SUMIF(#REF!,DA$17,#REF!)*$CG28)*(SUMIF(ProductCodes,"H",$CI:$CI)/(SUMIF(ProductCodes,"H",$CH:$CH))),""))))))),"Error")</f>
        <v/>
      </c>
      <c r="DB28" s="84" t="str">
        <f>IFERROR(
IF(SUMIF(ProductCodes,"C",$CI:$CI)=$CI$42,(IF($A28="C",(SUMIF(#REF!,DB$17,#REF!)*$CG28)*((SUMIF(ProductCodes,"C",$CI:$CI)-SUMIF(ProductCodes,"H",$CH:$CH)-SUMIF(ProductCodes,"R",$CH:$CH)-SUMIF(ProductCodes,"B",$CH:$CH)-(SUMIF(ProductCodes,"S",$CH:$CH)/2))/SUMIF(ProductCodes,"C",$CH:$CH)),IF($A28="S",(SUMIF(#REF!,DB$17,#REF!)*$CG28)/2,
IF($A28="B",(SUMIF(#REF!,DB$17,#REF!)*$CG28),
IF($A28="R",(SUMIF(#REF!,DB$17,#REF!)*$CG28),
IF($A28="H",(SUMIF(#REF!,DB$17,#REF!)*$CG28),"")))))),
IF(SUMIF(ProductCodes,"S",$CI:$CI)=$CI$42,(IF($A28="S",(SUMIF(#REF!,DB$17,#REF!)*$CG28)*((SUMIF(ProductCodes,"S",$CI:$CI)-SUMIF(ProductCodes,"H",$CH:$CH)-SUMIF(ProductCodes,"R",$CH:$CH)-SUMIF(ProductCodes,"B",$CH:$CH)-(SUMIF(ProductCodes,"C",$CH:$CH)/4))/SUMIF(ProductCodes,"S",$CH:$CH)),
IF($A28="C",(SUMIF(#REF!,DB$17,#REF!)*$CG28)/4,
IF($A28="B",(SUMIF(#REF!,DB$17,#REF!)*$CG28),
IF($A28="R",(SUMIF(#REF!,DB$17,#REF!)*$CG28),
IF($A28="H",(SUMIF(#REF!,DB$17,#REF!)*$CG28),"")))))),
IF($A28="C",(SUMIF(#REF!,DB$17,#REF!)*$CG28)*(SUMIF(ProductCodes,"C",$CI:$CI)/(SUMIF(ProductCodes,"C",$CH:$CH))),
IF($A28="S",(SUMIF(#REF!,DB$17,#REF!)*$CG28)*(SUMIF(ProductCodes,"S",$CI:$CI)/(SUMIF(ProductCodes,"S",$CH:$CH))),
IF($A28="B",(SUMIF(#REF!,DB$17,#REF!)*$CG28)*(SUMIF(ProductCodes,"B",$CI:$CI)/(SUMIF(ProductCodes,"B",$CH:$CH))),
IF($A28="R",(SUMIF(#REF!,DB$17,#REF!)*$CG28)*(SUMIF(ProductCodes,"R",$CI:$CI)/(SUMIF(ProductCodes,"R",$CH:$CH))),
IF($A28="H",(SUMIF(#REF!,DB$17,#REF!)*$CG28)*(SUMIF(ProductCodes,"H",$CI:$CI)/(SUMIF(ProductCodes,"H",$CH:$CH))),""))))))),"Error")</f>
        <v/>
      </c>
      <c r="DC28" s="84" t="str">
        <f>IFERROR(
IF(SUMIF(ProductCodes,"C",$CI:$CI)=$CI$42,(IF($A28="C",(SUMIF(#REF!,DC$17,#REF!)*$CG28)*((SUMIF(ProductCodes,"C",$CI:$CI)-SUMIF(ProductCodes,"H",$CH:$CH)-SUMIF(ProductCodes,"R",$CH:$CH)-SUMIF(ProductCodes,"B",$CH:$CH)-(SUMIF(ProductCodes,"S",$CH:$CH)/2))/SUMIF(ProductCodes,"C",$CH:$CH)),IF($A28="S",(SUMIF(#REF!,DC$17,#REF!)*$CG28)/2,
IF($A28="B",(SUMIF(#REF!,DC$17,#REF!)*$CG28),
IF($A28="R",(SUMIF(#REF!,DC$17,#REF!)*$CG28),
IF($A28="H",(SUMIF(#REF!,DC$17,#REF!)*$CG28),"")))))),
IF(SUMIF(ProductCodes,"S",$CI:$CI)=$CI$42,(IF($A28="S",(SUMIF(#REF!,DC$17,#REF!)*$CG28)*((SUMIF(ProductCodes,"S",$CI:$CI)-SUMIF(ProductCodes,"H",$CH:$CH)-SUMIF(ProductCodes,"R",$CH:$CH)-SUMIF(ProductCodes,"B",$CH:$CH)-(SUMIF(ProductCodes,"C",$CH:$CH)/4))/SUMIF(ProductCodes,"S",$CH:$CH)),
IF($A28="C",(SUMIF(#REF!,DC$17,#REF!)*$CG28)/4,
IF($A28="B",(SUMIF(#REF!,DC$17,#REF!)*$CG28),
IF($A28="R",(SUMIF(#REF!,DC$17,#REF!)*$CG28),
IF($A28="H",(SUMIF(#REF!,DC$17,#REF!)*$CG28),"")))))),
IF($A28="C",(SUMIF(#REF!,DC$17,#REF!)*$CG28)*(SUMIF(ProductCodes,"C",$CI:$CI)/(SUMIF(ProductCodes,"C",$CH:$CH))),
IF($A28="S",(SUMIF(#REF!,DC$17,#REF!)*$CG28)*(SUMIF(ProductCodes,"S",$CI:$CI)/(SUMIF(ProductCodes,"S",$CH:$CH))),
IF($A28="B",(SUMIF(#REF!,DC$17,#REF!)*$CG28)*(SUMIF(ProductCodes,"B",$CI:$CI)/(SUMIF(ProductCodes,"B",$CH:$CH))),
IF($A28="R",(SUMIF(#REF!,DC$17,#REF!)*$CG28)*(SUMIF(ProductCodes,"R",$CI:$CI)/(SUMIF(ProductCodes,"R",$CH:$CH))),
IF($A28="H",(SUMIF(#REF!,DC$17,#REF!)*$CG28)*(SUMIF(ProductCodes,"H",$CI:$CI)/(SUMIF(ProductCodes,"H",$CH:$CH))),""))))))),"Error")</f>
        <v/>
      </c>
      <c r="DD28" s="84" t="str">
        <f>IFERROR(
IF(SUMIF(ProductCodes,"C",$CI:$CI)=$CI$42,(IF($A28="C",(SUMIF(#REF!,DD$17,#REF!)*$CG28)*((SUMIF(ProductCodes,"C",$CI:$CI)-SUMIF(ProductCodes,"H",$CH:$CH)-SUMIF(ProductCodes,"R",$CH:$CH)-SUMIF(ProductCodes,"B",$CH:$CH)-(SUMIF(ProductCodes,"S",$CH:$CH)/2))/SUMIF(ProductCodes,"C",$CH:$CH)),IF($A28="S",(SUMIF(#REF!,DD$17,#REF!)*$CG28)/2,
IF($A28="B",(SUMIF(#REF!,DD$17,#REF!)*$CG28),
IF($A28="R",(SUMIF(#REF!,DD$17,#REF!)*$CG28),
IF($A28="H",(SUMIF(#REF!,DD$17,#REF!)*$CG28),"")))))),
IF(SUMIF(ProductCodes,"S",$CI:$CI)=$CI$42,(IF($A28="S",(SUMIF(#REF!,DD$17,#REF!)*$CG28)*((SUMIF(ProductCodes,"S",$CI:$CI)-SUMIF(ProductCodes,"H",$CH:$CH)-SUMIF(ProductCodes,"R",$CH:$CH)-SUMIF(ProductCodes,"B",$CH:$CH)-(SUMIF(ProductCodes,"C",$CH:$CH)/4))/SUMIF(ProductCodes,"S",$CH:$CH)),
IF($A28="C",(SUMIF(#REF!,DD$17,#REF!)*$CG28)/4,
IF($A28="B",(SUMIF(#REF!,DD$17,#REF!)*$CG28),
IF($A28="R",(SUMIF(#REF!,DD$17,#REF!)*$CG28),
IF($A28="H",(SUMIF(#REF!,DD$17,#REF!)*$CG28),"")))))),
IF($A28="C",(SUMIF(#REF!,DD$17,#REF!)*$CG28)*(SUMIF(ProductCodes,"C",$CI:$CI)/(SUMIF(ProductCodes,"C",$CH:$CH))),
IF($A28="S",(SUMIF(#REF!,DD$17,#REF!)*$CG28)*(SUMIF(ProductCodes,"S",$CI:$CI)/(SUMIF(ProductCodes,"S",$CH:$CH))),
IF($A28="B",(SUMIF(#REF!,DD$17,#REF!)*$CG28)*(SUMIF(ProductCodes,"B",$CI:$CI)/(SUMIF(ProductCodes,"B",$CH:$CH))),
IF($A28="R",(SUMIF(#REF!,DD$17,#REF!)*$CG28)*(SUMIF(ProductCodes,"R",$CI:$CI)/(SUMIF(ProductCodes,"R",$CH:$CH))),
IF($A28="H",(SUMIF(#REF!,DD$17,#REF!)*$CG28)*(SUMIF(ProductCodes,"H",$CI:$CI)/(SUMIF(ProductCodes,"H",$CH:$CH))),""))))))),"Error")</f>
        <v/>
      </c>
      <c r="DE28" s="84" t="str">
        <f>IFERROR(
IF(SUMIF(ProductCodes,"C",$CI:$CI)=$CI$42,(IF($A28="C",(SUMIF(#REF!,DE$17,#REF!)*$CG28)*((SUMIF(ProductCodes,"C",$CI:$CI)-SUMIF(ProductCodes,"H",$CH:$CH)-SUMIF(ProductCodes,"R",$CH:$CH)-SUMIF(ProductCodes,"B",$CH:$CH)-(SUMIF(ProductCodes,"S",$CH:$CH)/2))/SUMIF(ProductCodes,"C",$CH:$CH)),IF($A28="S",(SUMIF(#REF!,DE$17,#REF!)*$CG28)/2,
IF($A28="B",(SUMIF(#REF!,DE$17,#REF!)*$CG28),
IF($A28="R",(SUMIF(#REF!,DE$17,#REF!)*$CG28),
IF($A28="H",(SUMIF(#REF!,DE$17,#REF!)*$CG28),"")))))),
IF(SUMIF(ProductCodes,"S",$CI:$CI)=$CI$42,(IF($A28="S",(SUMIF(#REF!,DE$17,#REF!)*$CG28)*((SUMIF(ProductCodes,"S",$CI:$CI)-SUMIF(ProductCodes,"H",$CH:$CH)-SUMIF(ProductCodes,"R",$CH:$CH)-SUMIF(ProductCodes,"B",$CH:$CH)-(SUMIF(ProductCodes,"C",$CH:$CH)/4))/SUMIF(ProductCodes,"S",$CH:$CH)),
IF($A28="C",(SUMIF(#REF!,DE$17,#REF!)*$CG28)/4,
IF($A28="B",(SUMIF(#REF!,DE$17,#REF!)*$CG28),
IF($A28="R",(SUMIF(#REF!,DE$17,#REF!)*$CG28),
IF($A28="H",(SUMIF(#REF!,DE$17,#REF!)*$CG28),"")))))),
IF($A28="C",(SUMIF(#REF!,DE$17,#REF!)*$CG28)*(SUMIF(ProductCodes,"C",$CI:$CI)/(SUMIF(ProductCodes,"C",$CH:$CH))),
IF($A28="S",(SUMIF(#REF!,DE$17,#REF!)*$CG28)*(SUMIF(ProductCodes,"S",$CI:$CI)/(SUMIF(ProductCodes,"S",$CH:$CH))),
IF($A28="B",(SUMIF(#REF!,DE$17,#REF!)*$CG28)*(SUMIF(ProductCodes,"B",$CI:$CI)/(SUMIF(ProductCodes,"B",$CH:$CH))),
IF($A28="R",(SUMIF(#REF!,DE$17,#REF!)*$CG28)*(SUMIF(ProductCodes,"R",$CI:$CI)/(SUMIF(ProductCodes,"R",$CH:$CH))),
IF($A28="H",(SUMIF(#REF!,DE$17,#REF!)*$CG28)*(SUMIF(ProductCodes,"H",$CI:$CI)/(SUMIF(ProductCodes,"H",$CH:$CH))),""))))))),"Error")</f>
        <v/>
      </c>
      <c r="DF28" s="84" t="str">
        <f>IFERROR(
IF(SUMIF(ProductCodes,"C",$CI:$CI)=$CI$42,(IF($A28="C",(SUMIF(#REF!,DF$17,#REF!)*$CG28)*((SUMIF(ProductCodes,"C",$CI:$CI)-SUMIF(ProductCodes,"H",$CH:$CH)-SUMIF(ProductCodes,"R",$CH:$CH)-SUMIF(ProductCodes,"B",$CH:$CH)-(SUMIF(ProductCodes,"S",$CH:$CH)/2))/SUMIF(ProductCodes,"C",$CH:$CH)),IF($A28="S",(SUMIF(#REF!,DF$17,#REF!)*$CG28)/2,
IF($A28="B",(SUMIF(#REF!,DF$17,#REF!)*$CG28),
IF($A28="R",(SUMIF(#REF!,DF$17,#REF!)*$CG28),
IF($A28="H",(SUMIF(#REF!,DF$17,#REF!)*$CG28),"")))))),
IF(SUMIF(ProductCodes,"S",$CI:$CI)=$CI$42,(IF($A28="S",(SUMIF(#REF!,DF$17,#REF!)*$CG28)*((SUMIF(ProductCodes,"S",$CI:$CI)-SUMIF(ProductCodes,"H",$CH:$CH)-SUMIF(ProductCodes,"R",$CH:$CH)-SUMIF(ProductCodes,"B",$CH:$CH)-(SUMIF(ProductCodes,"C",$CH:$CH)/4))/SUMIF(ProductCodes,"S",$CH:$CH)),
IF($A28="C",(SUMIF(#REF!,DF$17,#REF!)*$CG28)/4,
IF($A28="B",(SUMIF(#REF!,DF$17,#REF!)*$CG28),
IF($A28="R",(SUMIF(#REF!,DF$17,#REF!)*$CG28),
IF($A28="H",(SUMIF(#REF!,DF$17,#REF!)*$CG28),"")))))),
IF($A28="C",(SUMIF(#REF!,DF$17,#REF!)*$CG28)*(SUMIF(ProductCodes,"C",$CI:$CI)/(SUMIF(ProductCodes,"C",$CH:$CH))),
IF($A28="S",(SUMIF(#REF!,DF$17,#REF!)*$CG28)*(SUMIF(ProductCodes,"S",$CI:$CI)/(SUMIF(ProductCodes,"S",$CH:$CH))),
IF($A28="B",(SUMIF(#REF!,DF$17,#REF!)*$CG28)*(SUMIF(ProductCodes,"B",$CI:$CI)/(SUMIF(ProductCodes,"B",$CH:$CH))),
IF($A28="R",(SUMIF(#REF!,DF$17,#REF!)*$CG28)*(SUMIF(ProductCodes,"R",$CI:$CI)/(SUMIF(ProductCodes,"R",$CH:$CH))),
IF($A28="H",(SUMIF(#REF!,DF$17,#REF!)*$CG28)*(SUMIF(ProductCodes,"H",$CI:$CI)/(SUMIF(ProductCodes,"H",$CH:$CH))),""))))))),"Error")</f>
        <v/>
      </c>
      <c r="DG28" s="84" t="str">
        <f>IFERROR(
IF(SUMIF(ProductCodes,"C",$CI:$CI)=$CI$42,(IF($A28="C",(SUMIF(#REF!,DG$17,#REF!)*$CG28)*((SUMIF(ProductCodes,"C",$CI:$CI)-SUMIF(ProductCodes,"H",$CH:$CH)-SUMIF(ProductCodes,"R",$CH:$CH)-SUMIF(ProductCodes,"B",$CH:$CH)-(SUMIF(ProductCodes,"S",$CH:$CH)/2))/SUMIF(ProductCodes,"C",$CH:$CH)),IF($A28="S",(SUMIF(#REF!,DG$17,#REF!)*$CG28)/2,
IF($A28="B",(SUMIF(#REF!,DG$17,#REF!)*$CG28),
IF($A28="R",(SUMIF(#REF!,DG$17,#REF!)*$CG28),
IF($A28="H",(SUMIF(#REF!,DG$17,#REF!)*$CG28),"")))))),
IF(SUMIF(ProductCodes,"S",$CI:$CI)=$CI$42,(IF($A28="S",(SUMIF(#REF!,DG$17,#REF!)*$CG28)*((SUMIF(ProductCodes,"S",$CI:$CI)-SUMIF(ProductCodes,"H",$CH:$CH)-SUMIF(ProductCodes,"R",$CH:$CH)-SUMIF(ProductCodes,"B",$CH:$CH)-(SUMIF(ProductCodes,"C",$CH:$CH)/4))/SUMIF(ProductCodes,"S",$CH:$CH)),
IF($A28="C",(SUMIF(#REF!,DG$17,#REF!)*$CG28)/4,
IF($A28="B",(SUMIF(#REF!,DG$17,#REF!)*$CG28),
IF($A28="R",(SUMIF(#REF!,DG$17,#REF!)*$CG28),
IF($A28="H",(SUMIF(#REF!,DG$17,#REF!)*$CG28),"")))))),
IF($A28="C",(SUMIF(#REF!,DG$17,#REF!)*$CG28)*(SUMIF(ProductCodes,"C",$CI:$CI)/(SUMIF(ProductCodes,"C",$CH:$CH))),
IF($A28="S",(SUMIF(#REF!,DG$17,#REF!)*$CG28)*(SUMIF(ProductCodes,"S",$CI:$CI)/(SUMIF(ProductCodes,"S",$CH:$CH))),
IF($A28="B",(SUMIF(#REF!,DG$17,#REF!)*$CG28)*(SUMIF(ProductCodes,"B",$CI:$CI)/(SUMIF(ProductCodes,"B",$CH:$CH))),
IF($A28="R",(SUMIF(#REF!,DG$17,#REF!)*$CG28)*(SUMIF(ProductCodes,"R",$CI:$CI)/(SUMIF(ProductCodes,"R",$CH:$CH))),
IF($A28="H",(SUMIF(#REF!,DG$17,#REF!)*$CG28)*(SUMIF(ProductCodes,"H",$CI:$CI)/(SUMIF(ProductCodes,"H",$CH:$CH))),""))))))),"Error")</f>
        <v/>
      </c>
      <c r="DH28" s="84" t="str">
        <f>IFERROR(
IF(SUMIF(ProductCodes,"C",$CI:$CI)=$CI$42,(IF($A28="C",(SUMIF(#REF!,DH$17,#REF!)*$CG28)*((SUMIF(ProductCodes,"C",$CI:$CI)-SUMIF(ProductCodes,"H",$CH:$CH)-SUMIF(ProductCodes,"R",$CH:$CH)-SUMIF(ProductCodes,"B",$CH:$CH)-(SUMIF(ProductCodes,"S",$CH:$CH)/2))/SUMIF(ProductCodes,"C",$CH:$CH)),IF($A28="S",(SUMIF(#REF!,DH$17,#REF!)*$CG28)/2,
IF($A28="B",(SUMIF(#REF!,DH$17,#REF!)*$CG28),
IF($A28="R",(SUMIF(#REF!,DH$17,#REF!)*$CG28),
IF($A28="H",(SUMIF(#REF!,DH$17,#REF!)*$CG28),"")))))),
IF(SUMIF(ProductCodes,"S",$CI:$CI)=$CI$42,(IF($A28="S",(SUMIF(#REF!,DH$17,#REF!)*$CG28)*((SUMIF(ProductCodes,"S",$CI:$CI)-SUMIF(ProductCodes,"H",$CH:$CH)-SUMIF(ProductCodes,"R",$CH:$CH)-SUMIF(ProductCodes,"B",$CH:$CH)-(SUMIF(ProductCodes,"C",$CH:$CH)/4))/SUMIF(ProductCodes,"S",$CH:$CH)),
IF($A28="C",(SUMIF(#REF!,DH$17,#REF!)*$CG28)/4,
IF($A28="B",(SUMIF(#REF!,DH$17,#REF!)*$CG28),
IF($A28="R",(SUMIF(#REF!,DH$17,#REF!)*$CG28),
IF($A28="H",(SUMIF(#REF!,DH$17,#REF!)*$CG28),"")))))),
IF($A28="C",(SUMIF(#REF!,DH$17,#REF!)*$CG28)*(SUMIF(ProductCodes,"C",$CI:$CI)/(SUMIF(ProductCodes,"C",$CH:$CH))),
IF($A28="S",(SUMIF(#REF!,DH$17,#REF!)*$CG28)*(SUMIF(ProductCodes,"S",$CI:$CI)/(SUMIF(ProductCodes,"S",$CH:$CH))),
IF($A28="B",(SUMIF(#REF!,DH$17,#REF!)*$CG28)*(SUMIF(ProductCodes,"B",$CI:$CI)/(SUMIF(ProductCodes,"B",$CH:$CH))),
IF($A28="R",(SUMIF(#REF!,DH$17,#REF!)*$CG28)*(SUMIF(ProductCodes,"R",$CI:$CI)/(SUMIF(ProductCodes,"R",$CH:$CH))),
IF($A28="H",(SUMIF(#REF!,DH$17,#REF!)*$CG28)*(SUMIF(ProductCodes,"H",$CI:$CI)/(SUMIF(ProductCodes,"H",$CH:$CH))),""))))))),"Error")</f>
        <v/>
      </c>
      <c r="DI28" s="84" t="str">
        <f>IFERROR(
IF(SUMIF(ProductCodes,"C",$CI:$CI)=$CI$42,(IF($A28="C",(SUMIF(#REF!,DI$17,#REF!)*$CG28)*((SUMIF(ProductCodes,"C",$CI:$CI)-SUMIF(ProductCodes,"H",$CH:$CH)-SUMIF(ProductCodes,"R",$CH:$CH)-SUMIF(ProductCodes,"B",$CH:$CH)-(SUMIF(ProductCodes,"S",$CH:$CH)/2))/SUMIF(ProductCodes,"C",$CH:$CH)),IF($A28="S",(SUMIF(#REF!,DI$17,#REF!)*$CG28)/2,
IF($A28="B",(SUMIF(#REF!,DI$17,#REF!)*$CG28),
IF($A28="R",(SUMIF(#REF!,DI$17,#REF!)*$CG28),
IF($A28="H",(SUMIF(#REF!,DI$17,#REF!)*$CG28),"")))))),
IF(SUMIF(ProductCodes,"S",$CI:$CI)=$CI$42,(IF($A28="S",(SUMIF(#REF!,DI$17,#REF!)*$CG28)*((SUMIF(ProductCodes,"S",$CI:$CI)-SUMIF(ProductCodes,"H",$CH:$CH)-SUMIF(ProductCodes,"R",$CH:$CH)-SUMIF(ProductCodes,"B",$CH:$CH)-(SUMIF(ProductCodes,"C",$CH:$CH)/4))/SUMIF(ProductCodes,"S",$CH:$CH)),
IF($A28="C",(SUMIF(#REF!,DI$17,#REF!)*$CG28)/4,
IF($A28="B",(SUMIF(#REF!,DI$17,#REF!)*$CG28),
IF($A28="R",(SUMIF(#REF!,DI$17,#REF!)*$CG28),
IF($A28="H",(SUMIF(#REF!,DI$17,#REF!)*$CG28),"")))))),
IF($A28="C",(SUMIF(#REF!,DI$17,#REF!)*$CG28)*(SUMIF(ProductCodes,"C",$CI:$CI)/(SUMIF(ProductCodes,"C",$CH:$CH))),
IF($A28="S",(SUMIF(#REF!,DI$17,#REF!)*$CG28)*(SUMIF(ProductCodes,"S",$CI:$CI)/(SUMIF(ProductCodes,"S",$CH:$CH))),
IF($A28="B",(SUMIF(#REF!,DI$17,#REF!)*$CG28)*(SUMIF(ProductCodes,"B",$CI:$CI)/(SUMIF(ProductCodes,"B",$CH:$CH))),
IF($A28="R",(SUMIF(#REF!,DI$17,#REF!)*$CG28)*(SUMIF(ProductCodes,"R",$CI:$CI)/(SUMIF(ProductCodes,"R",$CH:$CH))),
IF($A28="H",(SUMIF(#REF!,DI$17,#REF!)*$CG28)*(SUMIF(ProductCodes,"H",$CI:$CI)/(SUMIF(ProductCodes,"H",$CH:$CH))),""))))))),"Error")</f>
        <v/>
      </c>
      <c r="DJ28" s="84" t="str">
        <f>IFERROR(
IF(SUMIF(ProductCodes,"C",$CI:$CI)=$CI$42,(IF($A28="C",(SUMIF(#REF!,DJ$17,#REF!)*$CG28)*((SUMIF(ProductCodes,"C",$CI:$CI)-SUMIF(ProductCodes,"H",$CH:$CH)-SUMIF(ProductCodes,"R",$CH:$CH)-SUMIF(ProductCodes,"B",$CH:$CH)-(SUMIF(ProductCodes,"S",$CH:$CH)/2))/SUMIF(ProductCodes,"C",$CH:$CH)),IF($A28="S",(SUMIF(#REF!,DJ$17,#REF!)*$CG28)/2,
IF($A28="B",(SUMIF(#REF!,DJ$17,#REF!)*$CG28),
IF($A28="R",(SUMIF(#REF!,DJ$17,#REF!)*$CG28),
IF($A28="H",(SUMIF(#REF!,DJ$17,#REF!)*$CG28),"")))))),
IF(SUMIF(ProductCodes,"S",$CI:$CI)=$CI$42,(IF($A28="S",(SUMIF(#REF!,DJ$17,#REF!)*$CG28)*((SUMIF(ProductCodes,"S",$CI:$CI)-SUMIF(ProductCodes,"H",$CH:$CH)-SUMIF(ProductCodes,"R",$CH:$CH)-SUMIF(ProductCodes,"B",$CH:$CH)-(SUMIF(ProductCodes,"C",$CH:$CH)/4))/SUMIF(ProductCodes,"S",$CH:$CH)),
IF($A28="C",(SUMIF(#REF!,DJ$17,#REF!)*$CG28)/4,
IF($A28="B",(SUMIF(#REF!,DJ$17,#REF!)*$CG28),
IF($A28="R",(SUMIF(#REF!,DJ$17,#REF!)*$CG28),
IF($A28="H",(SUMIF(#REF!,DJ$17,#REF!)*$CG28),"")))))),
IF($A28="C",(SUMIF(#REF!,DJ$17,#REF!)*$CG28)*(SUMIF(ProductCodes,"C",$CI:$CI)/(SUMIF(ProductCodes,"C",$CH:$CH))),
IF($A28="S",(SUMIF(#REF!,DJ$17,#REF!)*$CG28)*(SUMIF(ProductCodes,"S",$CI:$CI)/(SUMIF(ProductCodes,"S",$CH:$CH))),
IF($A28="B",(SUMIF(#REF!,DJ$17,#REF!)*$CG28)*(SUMIF(ProductCodes,"B",$CI:$CI)/(SUMIF(ProductCodes,"B",$CH:$CH))),
IF($A28="R",(SUMIF(#REF!,DJ$17,#REF!)*$CG28)*(SUMIF(ProductCodes,"R",$CI:$CI)/(SUMIF(ProductCodes,"R",$CH:$CH))),
IF($A28="H",(SUMIF(#REF!,DJ$17,#REF!)*$CG28)*(SUMIF(ProductCodes,"H",$CI:$CI)/(SUMIF(ProductCodes,"H",$CH:$CH))),""))))))),"Error")</f>
        <v/>
      </c>
      <c r="DK28" s="84" t="str">
        <f>IFERROR(
IF(SUMIF(ProductCodes,"C",$CI:$CI)=$CI$42,(IF($A28="C",(SUMIF(#REF!,DK$17,#REF!)*$CG28)*((SUMIF(ProductCodes,"C",$CI:$CI)-SUMIF(ProductCodes,"H",$CH:$CH)-SUMIF(ProductCodes,"R",$CH:$CH)-SUMIF(ProductCodes,"B",$CH:$CH)-(SUMIF(ProductCodes,"S",$CH:$CH)/2))/SUMIF(ProductCodes,"C",$CH:$CH)),IF($A28="S",(SUMIF(#REF!,DK$17,#REF!)*$CG28)/2,
IF($A28="B",(SUMIF(#REF!,DK$17,#REF!)*$CG28),
IF($A28="R",(SUMIF(#REF!,DK$17,#REF!)*$CG28),
IF($A28="H",(SUMIF(#REF!,DK$17,#REF!)*$CG28),"")))))),
IF(SUMIF(ProductCodes,"S",$CI:$CI)=$CI$42,(IF($A28="S",(SUMIF(#REF!,DK$17,#REF!)*$CG28)*((SUMIF(ProductCodes,"S",$CI:$CI)-SUMIF(ProductCodes,"H",$CH:$CH)-SUMIF(ProductCodes,"R",$CH:$CH)-SUMIF(ProductCodes,"B",$CH:$CH)-(SUMIF(ProductCodes,"C",$CH:$CH)/4))/SUMIF(ProductCodes,"S",$CH:$CH)),
IF($A28="C",(SUMIF(#REF!,DK$17,#REF!)*$CG28)/4,
IF($A28="B",(SUMIF(#REF!,DK$17,#REF!)*$CG28),
IF($A28="R",(SUMIF(#REF!,DK$17,#REF!)*$CG28),
IF($A28="H",(SUMIF(#REF!,DK$17,#REF!)*$CG28),"")))))),
IF($A28="C",(SUMIF(#REF!,DK$17,#REF!)*$CG28)*(SUMIF(ProductCodes,"C",$CI:$CI)/(SUMIF(ProductCodes,"C",$CH:$CH))),
IF($A28="S",(SUMIF(#REF!,DK$17,#REF!)*$CG28)*(SUMIF(ProductCodes,"S",$CI:$CI)/(SUMIF(ProductCodes,"S",$CH:$CH))),
IF($A28="B",(SUMIF(#REF!,DK$17,#REF!)*$CG28)*(SUMIF(ProductCodes,"B",$CI:$CI)/(SUMIF(ProductCodes,"B",$CH:$CH))),
IF($A28="R",(SUMIF(#REF!,DK$17,#REF!)*$CG28)*(SUMIF(ProductCodes,"R",$CI:$CI)/(SUMIF(ProductCodes,"R",$CH:$CH))),
IF($A28="H",(SUMIF(#REF!,DK$17,#REF!)*$CG28)*(SUMIF(ProductCodes,"H",$CI:$CI)/(SUMIF(ProductCodes,"H",$CH:$CH))),""))))))),"Error")</f>
        <v/>
      </c>
      <c r="DL28" s="84" t="str">
        <f>IFERROR(
IF(SUMIF(ProductCodes,"C",$CI:$CI)=$CI$42,(IF($A28="C",(SUMIF(#REF!,DL$17,#REF!)*$CG28)*((SUMIF(ProductCodes,"C",$CI:$CI)-SUMIF(ProductCodes,"H",$CH:$CH)-SUMIF(ProductCodes,"R",$CH:$CH)-SUMIF(ProductCodes,"B",$CH:$CH)-(SUMIF(ProductCodes,"S",$CH:$CH)/2))/SUMIF(ProductCodes,"C",$CH:$CH)),IF($A28="S",(SUMIF(#REF!,DL$17,#REF!)*$CG28)/2,
IF($A28="B",(SUMIF(#REF!,DL$17,#REF!)*$CG28),
IF($A28="R",(SUMIF(#REF!,DL$17,#REF!)*$CG28),
IF($A28="H",(SUMIF(#REF!,DL$17,#REF!)*$CG28),"")))))),
IF(SUMIF(ProductCodes,"S",$CI:$CI)=$CI$42,(IF($A28="S",(SUMIF(#REF!,DL$17,#REF!)*$CG28)*((SUMIF(ProductCodes,"S",$CI:$CI)-SUMIF(ProductCodes,"H",$CH:$CH)-SUMIF(ProductCodes,"R",$CH:$CH)-SUMIF(ProductCodes,"B",$CH:$CH)-(SUMIF(ProductCodes,"C",$CH:$CH)/4))/SUMIF(ProductCodes,"S",$CH:$CH)),
IF($A28="C",(SUMIF(#REF!,DL$17,#REF!)*$CG28)/4,
IF($A28="B",(SUMIF(#REF!,DL$17,#REF!)*$CG28),
IF($A28="R",(SUMIF(#REF!,DL$17,#REF!)*$CG28),
IF($A28="H",(SUMIF(#REF!,DL$17,#REF!)*$CG28),"")))))),
IF($A28="C",(SUMIF(#REF!,DL$17,#REF!)*$CG28)*(SUMIF(ProductCodes,"C",$CI:$CI)/(SUMIF(ProductCodes,"C",$CH:$CH))),
IF($A28="S",(SUMIF(#REF!,DL$17,#REF!)*$CG28)*(SUMIF(ProductCodes,"S",$CI:$CI)/(SUMIF(ProductCodes,"S",$CH:$CH))),
IF($A28="B",(SUMIF(#REF!,DL$17,#REF!)*$CG28)*(SUMIF(ProductCodes,"B",$CI:$CI)/(SUMIF(ProductCodes,"B",$CH:$CH))),
IF($A28="R",(SUMIF(#REF!,DL$17,#REF!)*$CG28)*(SUMIF(ProductCodes,"R",$CI:$CI)/(SUMIF(ProductCodes,"R",$CH:$CH))),
IF($A28="H",(SUMIF(#REF!,DL$17,#REF!)*$CG28)*(SUMIF(ProductCodes,"H",$CI:$CI)/(SUMIF(ProductCodes,"H",$CH:$CH))),""))))))),"Error")</f>
        <v/>
      </c>
      <c r="DM28" s="84" t="str">
        <f>IFERROR(
IF(SUMIF(ProductCodes,"C",$CI:$CI)=$CI$42,(IF($A28="C",(SUMIF(#REF!,DM$17,#REF!)*$CG28)*((SUMIF(ProductCodes,"C",$CI:$CI)-SUMIF(ProductCodes,"H",$CH:$CH)-SUMIF(ProductCodes,"R",$CH:$CH)-SUMIF(ProductCodes,"B",$CH:$CH)-(SUMIF(ProductCodes,"S",$CH:$CH)/2))/SUMIF(ProductCodes,"C",$CH:$CH)),IF($A28="S",(SUMIF(#REF!,DM$17,#REF!)*$CG28)/2,
IF($A28="B",(SUMIF(#REF!,DM$17,#REF!)*$CG28),
IF($A28="R",(SUMIF(#REF!,DM$17,#REF!)*$CG28),
IF($A28="H",(SUMIF(#REF!,DM$17,#REF!)*$CG28),"")))))),
IF(SUMIF(ProductCodes,"S",$CI:$CI)=$CI$42,(IF($A28="S",(SUMIF(#REF!,DM$17,#REF!)*$CG28)*((SUMIF(ProductCodes,"S",$CI:$CI)-SUMIF(ProductCodes,"H",$CH:$CH)-SUMIF(ProductCodes,"R",$CH:$CH)-SUMIF(ProductCodes,"B",$CH:$CH)-(SUMIF(ProductCodes,"C",$CH:$CH)/4))/SUMIF(ProductCodes,"S",$CH:$CH)),
IF($A28="C",(SUMIF(#REF!,DM$17,#REF!)*$CG28)/4,
IF($A28="B",(SUMIF(#REF!,DM$17,#REF!)*$CG28),
IF($A28="R",(SUMIF(#REF!,DM$17,#REF!)*$CG28),
IF($A28="H",(SUMIF(#REF!,DM$17,#REF!)*$CG28),"")))))),
IF($A28="C",(SUMIF(#REF!,DM$17,#REF!)*$CG28)*(SUMIF(ProductCodes,"C",$CI:$CI)/(SUMIF(ProductCodes,"C",$CH:$CH))),
IF($A28="S",(SUMIF(#REF!,DM$17,#REF!)*$CG28)*(SUMIF(ProductCodes,"S",$CI:$CI)/(SUMIF(ProductCodes,"S",$CH:$CH))),
IF($A28="B",(SUMIF(#REF!,DM$17,#REF!)*$CG28)*(SUMIF(ProductCodes,"B",$CI:$CI)/(SUMIF(ProductCodes,"B",$CH:$CH))),
IF($A28="R",(SUMIF(#REF!,DM$17,#REF!)*$CG28)*(SUMIF(ProductCodes,"R",$CI:$CI)/(SUMIF(ProductCodes,"R",$CH:$CH))),
IF($A28="H",(SUMIF(#REF!,DM$17,#REF!)*$CG28)*(SUMIF(ProductCodes,"H",$CI:$CI)/(SUMIF(ProductCodes,"H",$CH:$CH))),""))))))),"Error")</f>
        <v/>
      </c>
      <c r="DN28" s="84" t="str">
        <f>IFERROR(
IF(SUMIF(ProductCodes,"C",$CI:$CI)=$CI$42,(IF($A28="C",(SUMIF(#REF!,DN$17,#REF!)*$CG28)*((SUMIF(ProductCodes,"C",$CI:$CI)-SUMIF(ProductCodes,"H",$CH:$CH)-SUMIF(ProductCodes,"R",$CH:$CH)-SUMIF(ProductCodes,"B",$CH:$CH)-(SUMIF(ProductCodes,"S",$CH:$CH)/2))/SUMIF(ProductCodes,"C",$CH:$CH)),IF($A28="S",(SUMIF(#REF!,DN$17,#REF!)*$CG28)/2,
IF($A28="B",(SUMIF(#REF!,DN$17,#REF!)*$CG28),
IF($A28="R",(SUMIF(#REF!,DN$17,#REF!)*$CG28),
IF($A28="H",(SUMIF(#REF!,DN$17,#REF!)*$CG28),"")))))),
IF(SUMIF(ProductCodes,"S",$CI:$CI)=$CI$42,(IF($A28="S",(SUMIF(#REF!,DN$17,#REF!)*$CG28)*((SUMIF(ProductCodes,"S",$CI:$CI)-SUMIF(ProductCodes,"H",$CH:$CH)-SUMIF(ProductCodes,"R",$CH:$CH)-SUMIF(ProductCodes,"B",$CH:$CH)-(SUMIF(ProductCodes,"C",$CH:$CH)/4))/SUMIF(ProductCodes,"S",$CH:$CH)),
IF($A28="C",(SUMIF(#REF!,DN$17,#REF!)*$CG28)/4,
IF($A28="B",(SUMIF(#REF!,DN$17,#REF!)*$CG28),
IF($A28="R",(SUMIF(#REF!,DN$17,#REF!)*$CG28),
IF($A28="H",(SUMIF(#REF!,DN$17,#REF!)*$CG28),"")))))),
IF($A28="C",(SUMIF(#REF!,DN$17,#REF!)*$CG28)*(SUMIF(ProductCodes,"C",$CI:$CI)/(SUMIF(ProductCodes,"C",$CH:$CH))),
IF($A28="S",(SUMIF(#REF!,DN$17,#REF!)*$CG28)*(SUMIF(ProductCodes,"S",$CI:$CI)/(SUMIF(ProductCodes,"S",$CH:$CH))),
IF($A28="B",(SUMIF(#REF!,DN$17,#REF!)*$CG28)*(SUMIF(ProductCodes,"B",$CI:$CI)/(SUMIF(ProductCodes,"B",$CH:$CH))),
IF($A28="R",(SUMIF(#REF!,DN$17,#REF!)*$CG28)*(SUMIF(ProductCodes,"R",$CI:$CI)/(SUMIF(ProductCodes,"R",$CH:$CH))),
IF($A28="H",(SUMIF(#REF!,DN$17,#REF!)*$CG28)*(SUMIF(ProductCodes,"H",$CI:$CI)/(SUMIF(ProductCodes,"H",$CH:$CH))),""))))))),"Error")</f>
        <v/>
      </c>
      <c r="DO28" s="84" t="str">
        <f>IFERROR(
IF(SUMIF(ProductCodes,"C",$CI:$CI)=$CI$42,(IF($A28="C",(SUMIF(#REF!,DO$17,#REF!)*$CG28)*((SUMIF(ProductCodes,"C",$CI:$CI)-SUMIF(ProductCodes,"H",$CH:$CH)-SUMIF(ProductCodes,"R",$CH:$CH)-SUMIF(ProductCodes,"B",$CH:$CH)-(SUMIF(ProductCodes,"S",$CH:$CH)/2))/SUMIF(ProductCodes,"C",$CH:$CH)),IF($A28="S",(SUMIF(#REF!,DO$17,#REF!)*$CG28)/2,
IF($A28="B",(SUMIF(#REF!,DO$17,#REF!)*$CG28),
IF($A28="R",(SUMIF(#REF!,DO$17,#REF!)*$CG28),
IF($A28="H",(SUMIF(#REF!,DO$17,#REF!)*$CG28),"")))))),
IF(SUMIF(ProductCodes,"S",$CI:$CI)=$CI$42,(IF($A28="S",(SUMIF(#REF!,DO$17,#REF!)*$CG28)*((SUMIF(ProductCodes,"S",$CI:$CI)-SUMIF(ProductCodes,"H",$CH:$CH)-SUMIF(ProductCodes,"R",$CH:$CH)-SUMIF(ProductCodes,"B",$CH:$CH)-(SUMIF(ProductCodes,"C",$CH:$CH)/4))/SUMIF(ProductCodes,"S",$CH:$CH)),
IF($A28="C",(SUMIF(#REF!,DO$17,#REF!)*$CG28)/4,
IF($A28="B",(SUMIF(#REF!,DO$17,#REF!)*$CG28),
IF($A28="R",(SUMIF(#REF!,DO$17,#REF!)*$CG28),
IF($A28="H",(SUMIF(#REF!,DO$17,#REF!)*$CG28),"")))))),
IF($A28="C",(SUMIF(#REF!,DO$17,#REF!)*$CG28)*(SUMIF(ProductCodes,"C",$CI:$CI)/(SUMIF(ProductCodes,"C",$CH:$CH))),
IF($A28="S",(SUMIF(#REF!,DO$17,#REF!)*$CG28)*(SUMIF(ProductCodes,"S",$CI:$CI)/(SUMIF(ProductCodes,"S",$CH:$CH))),
IF($A28="B",(SUMIF(#REF!,DO$17,#REF!)*$CG28)*(SUMIF(ProductCodes,"B",$CI:$CI)/(SUMIF(ProductCodes,"B",$CH:$CH))),
IF($A28="R",(SUMIF(#REF!,DO$17,#REF!)*$CG28)*(SUMIF(ProductCodes,"R",$CI:$CI)/(SUMIF(ProductCodes,"R",$CH:$CH))),
IF($A28="H",(SUMIF(#REF!,DO$17,#REF!)*$CG28)*(SUMIF(ProductCodes,"H",$CI:$CI)/(SUMIF(ProductCodes,"H",$CH:$CH))),""))))))),"Error")</f>
        <v/>
      </c>
      <c r="DP28" s="85" t="str">
        <f>IFERROR(
IF(SUMIF(ProductCodes,"C",$CI:$CI)=$CI$42,(IF($A28="C",(SUMIF(#REF!,DP$17,#REF!)*$CG28)*((SUMIF(ProductCodes,"C",$CI:$CI)-SUMIF(ProductCodes,"H",$CH:$CH)-SUMIF(ProductCodes,"R",$CH:$CH)-SUMIF(ProductCodes,"B",$CH:$CH)-(SUMIF(ProductCodes,"S",$CH:$CH)/2))/SUMIF(ProductCodes,"C",$CH:$CH)),IF($A28="S",(SUMIF(#REF!,DP$17,#REF!)*$CG28)/2,
IF($A28="B",(SUMIF(#REF!,DP$17,#REF!)*$CG28),
IF($A28="R",(SUMIF(#REF!,DP$17,#REF!)*$CG28),
IF($A28="H",(SUMIF(#REF!,DP$17,#REF!)*$CG28),"")))))),
IF(SUMIF(ProductCodes,"S",$CI:$CI)=$CI$42,(IF($A28="S",(SUMIF(#REF!,DP$17,#REF!)*$CG28)*((SUMIF(ProductCodes,"S",$CI:$CI)-SUMIF(ProductCodes,"H",$CH:$CH)-SUMIF(ProductCodes,"R",$CH:$CH)-SUMIF(ProductCodes,"B",$CH:$CH)-(SUMIF(ProductCodes,"C",$CH:$CH)/4))/SUMIF(ProductCodes,"S",$CH:$CH)),
IF($A28="C",(SUMIF(#REF!,DP$17,#REF!)*$CG28)/4,
IF($A28="B",(SUMIF(#REF!,DP$17,#REF!)*$CG28),
IF($A28="R",(SUMIF(#REF!,DP$17,#REF!)*$CG28),
IF($A28="H",(SUMIF(#REF!,DP$17,#REF!)*$CG28),"")))))),
IF($A28="C",(SUMIF(#REF!,DP$17,#REF!)*$CG28)*(SUMIF(ProductCodes,"C",$CI:$CI)/(SUMIF(ProductCodes,"C",$CH:$CH))),
IF($A28="S",(SUMIF(#REF!,DP$17,#REF!)*$CG28)*(SUMIF(ProductCodes,"S",$CI:$CI)/(SUMIF(ProductCodes,"S",$CH:$CH))),
IF($A28="B",(SUMIF(#REF!,DP$17,#REF!)*$CG28)*(SUMIF(ProductCodes,"B",$CI:$CI)/(SUMIF(ProductCodes,"B",$CH:$CH))),
IF($A28="R",(SUMIF(#REF!,DP$17,#REF!)*$CG28)*(SUMIF(ProductCodes,"R",$CI:$CI)/(SUMIF(ProductCodes,"R",$CH:$CH))),
IF($A28="H",(SUMIF(#REF!,DP$17,#REF!)*$CG28)*(SUMIF(ProductCodes,"H",$CI:$CI)/(SUMIF(ProductCodes,"H",$CH:$CH))),""))))))),"Error")</f>
        <v/>
      </c>
      <c r="DQ28" s="9"/>
      <c r="DR28" s="9"/>
      <c r="DS28"/>
      <c r="DT28"/>
      <c r="DU28"/>
      <c r="DV28"/>
      <c r="DW28"/>
      <c r="DX28"/>
      <c r="DY28"/>
      <c r="DZ28"/>
      <c r="EA28"/>
      <c r="EB28"/>
      <c r="EC28"/>
      <c r="ED28"/>
    </row>
    <row r="29" spans="1:134" s="86" customFormat="1" ht="66.75" customHeight="1" thickBot="1" x14ac:dyDescent="0.4">
      <c r="A29" s="90" t="s">
        <v>43</v>
      </c>
      <c r="B29" s="111" t="s">
        <v>75</v>
      </c>
      <c r="C29" s="207" t="s">
        <v>44</v>
      </c>
      <c r="D29" s="208" t="s">
        <v>45</v>
      </c>
      <c r="E29" s="103"/>
      <c r="F29" s="103"/>
      <c r="G29" s="106"/>
      <c r="H29" s="104"/>
      <c r="I29" s="102"/>
      <c r="J29" s="103"/>
      <c r="K29" s="103"/>
      <c r="L29" s="104"/>
      <c r="M29" s="105"/>
      <c r="N29" s="103"/>
      <c r="O29" s="103"/>
      <c r="P29" s="106"/>
      <c r="Q29" s="105"/>
      <c r="R29" s="103"/>
      <c r="S29" s="103"/>
      <c r="T29" s="106"/>
      <c r="U29" s="104"/>
      <c r="V29" s="214"/>
      <c r="W29" s="215"/>
      <c r="X29" s="215"/>
      <c r="Y29" s="216"/>
      <c r="Z29" s="214"/>
      <c r="AA29" s="215"/>
      <c r="AB29" s="215"/>
      <c r="AC29" s="215"/>
      <c r="AD29" s="286">
        <v>15</v>
      </c>
      <c r="AE29" s="287"/>
      <c r="AF29" s="287"/>
      <c r="AG29" s="287"/>
      <c r="AH29" s="288"/>
      <c r="AI29" s="289">
        <v>10</v>
      </c>
      <c r="AJ29" s="287"/>
      <c r="AK29" s="287"/>
      <c r="AL29" s="288"/>
      <c r="AM29" s="286">
        <v>15</v>
      </c>
      <c r="AN29" s="287"/>
      <c r="AO29" s="287"/>
      <c r="AP29" s="287"/>
      <c r="AQ29" s="288"/>
      <c r="AR29" s="289">
        <v>10</v>
      </c>
      <c r="AS29" s="287"/>
      <c r="AT29" s="287"/>
      <c r="AU29" s="288"/>
      <c r="AV29" s="289">
        <v>10</v>
      </c>
      <c r="AW29" s="287"/>
      <c r="AX29" s="287"/>
      <c r="AY29" s="288"/>
      <c r="AZ29" s="286">
        <v>15</v>
      </c>
      <c r="BA29" s="287"/>
      <c r="BB29" s="287"/>
      <c r="BC29" s="287"/>
      <c r="BD29" s="288"/>
      <c r="BE29" s="289">
        <v>10</v>
      </c>
      <c r="BF29" s="287"/>
      <c r="BG29" s="287"/>
      <c r="BH29" s="288"/>
      <c r="BI29" s="289">
        <v>10</v>
      </c>
      <c r="BJ29" s="287"/>
      <c r="BK29" s="287"/>
      <c r="BL29" s="288"/>
      <c r="BM29" s="286">
        <v>15</v>
      </c>
      <c r="BN29" s="287"/>
      <c r="BO29" s="287"/>
      <c r="BP29" s="287"/>
      <c r="BQ29" s="288"/>
      <c r="BR29" s="289">
        <v>10</v>
      </c>
      <c r="BS29" s="287"/>
      <c r="BT29" s="287"/>
      <c r="BU29" s="288"/>
      <c r="BV29" s="289">
        <v>10</v>
      </c>
      <c r="BW29" s="287"/>
      <c r="BX29" s="287"/>
      <c r="BY29" s="288"/>
      <c r="BZ29" s="289">
        <v>10</v>
      </c>
      <c r="CA29" s="287"/>
      <c r="CB29" s="287"/>
      <c r="CC29" s="288"/>
      <c r="CD29" s="198">
        <v>1</v>
      </c>
      <c r="CE29" s="199">
        <f t="shared" si="33"/>
        <v>140</v>
      </c>
      <c r="CF29" s="199">
        <f t="shared" si="31"/>
        <v>140</v>
      </c>
      <c r="CG29" s="190">
        <v>50</v>
      </c>
      <c r="CH29" s="212">
        <f t="shared" si="32"/>
        <v>7000</v>
      </c>
      <c r="CI29" s="240"/>
      <c r="CJ29" s="91"/>
      <c r="CK29" s="91"/>
      <c r="CL29" s="91"/>
      <c r="CM29" s="92"/>
      <c r="CN29" s="92">
        <f t="shared" ref="CN29:CN35" si="36">CM29*CE29</f>
        <v>0</v>
      </c>
      <c r="CO29" s="93"/>
      <c r="CP29" s="75"/>
      <c r="CQ29" s="75"/>
      <c r="CR29" s="83"/>
      <c r="CS29" s="84" t="str">
        <f>IFERROR(
IF(SUMIF(ProductCodes,"C",$CI:$CI)=$CI$782,(IF($A29="C",(SUMIF(#REF!,CS$17,#REF!)*$CG29)*((SUMIF(ProductCodes,"C",$CI:$CI)-SUMIF(ProductCodes,"H",$CH:$CH)-SUMIF(ProductCodes,"R",$CH:$CH)-SUMIF(ProductCodes,"B",$CH:$CH)-(SUMIF(ProductCodes,"S",$CH:$CH)/2))/SUMIF(ProductCodes,"C",$CH:$CH)),IF($A29="S",(SUMIF(#REF!,CS$17,#REF!)*$CG29)/2,
IF($A29="B",(SUMIF(#REF!,CS$17,#REF!)*$CG29),
IF($A29="R",(SUMIF(#REF!,CS$17,#REF!)*$CG29),
IF($A29="H",(SUMIF(#REF!,CS$17,#REF!)*$CG29),"")))))),
IF(SUMIF(ProductCodes,"S",$CI:$CI)=$CI$782,(IF($A29="S",(SUMIF(#REF!,CS$17,#REF!)*$CG29)*((SUMIF(ProductCodes,"S",$CI:$CI)-SUMIF(ProductCodes,"H",$CH:$CH)-SUMIF(ProductCodes,"R",$CH:$CH)-SUMIF(ProductCodes,"B",$CH:$CH)-(SUMIF(ProductCodes,"C",$CH:$CH)/4))/SUMIF(ProductCodes,"S",$CH:$CH)),
IF($A29="C",(SUMIF(#REF!,CS$17,#REF!)*$CG29)/4,
IF($A29="B",(SUMIF(#REF!,CS$17,#REF!)*$CG29),
IF($A29="R",(SUMIF(#REF!,CS$17,#REF!)*$CG29),
IF($A29="H",(SUMIF(#REF!,CS$17,#REF!)*$CG29),"")))))),
IF($A29="C",(SUMIF(#REF!,CS$17,#REF!)*$CG29)*(SUMIF(ProductCodes,"C",$CI:$CI)/(SUMIF(ProductCodes,"C",$CH:$CH))),
IF($A29="S",(SUMIF(#REF!,CS$17,#REF!)*$CG29)*(SUMIF(ProductCodes,"S",$CI:$CI)/(SUMIF(ProductCodes,"S",$CH:$CH))),
IF($A29="B",(SUMIF(#REF!,CS$17,#REF!)*$CG29)*(SUMIF(ProductCodes,"B",$CI:$CI)/(SUMIF(ProductCodes,"B",$CH:$CH))),
IF($A29="R",(SUMIF(#REF!,CS$17,#REF!)*$CG29)*(SUMIF(ProductCodes,"R",$CI:$CI)/(SUMIF(ProductCodes,"R",$CH:$CH))),
IF($A29="H",(SUMIF(#REF!,CS$17,#REF!)*$CG29)*(SUMIF(ProductCodes,"H",$CI:$CI)/(SUMIF(ProductCodes,"H",$CH:$CH))),""))))))),"Error")</f>
        <v>Error</v>
      </c>
      <c r="CT29" s="84" t="str">
        <f>IFERROR(
IF(SUMIF(ProductCodes,"C",$CI:$CI)=$CI$782,(IF($A29="C",(SUMIF(#REF!,CT$17,#REF!)*$CG29)*((SUMIF(ProductCodes,"C",$CI:$CI)-SUMIF(ProductCodes,"H",$CH:$CH)-SUMIF(ProductCodes,"R",$CH:$CH)-SUMIF(ProductCodes,"B",$CH:$CH)-(SUMIF(ProductCodes,"S",$CH:$CH)/2))/SUMIF(ProductCodes,"C",$CH:$CH)),IF($A29="S",(SUMIF(#REF!,CT$17,#REF!)*$CG29)/2,
IF($A29="B",(SUMIF(#REF!,CT$17,#REF!)*$CG29),
IF($A29="R",(SUMIF(#REF!,CT$17,#REF!)*$CG29),
IF($A29="H",(SUMIF(#REF!,CT$17,#REF!)*$CG29),"")))))),
IF(SUMIF(ProductCodes,"S",$CI:$CI)=$CI$782,(IF($A29="S",(SUMIF(#REF!,CT$17,#REF!)*$CG29)*((SUMIF(ProductCodes,"S",$CI:$CI)-SUMIF(ProductCodes,"H",$CH:$CH)-SUMIF(ProductCodes,"R",$CH:$CH)-SUMIF(ProductCodes,"B",$CH:$CH)-(SUMIF(ProductCodes,"C",$CH:$CH)/4))/SUMIF(ProductCodes,"S",$CH:$CH)),
IF($A29="C",(SUMIF(#REF!,CT$17,#REF!)*$CG29)/4,
IF($A29="B",(SUMIF(#REF!,CT$17,#REF!)*$CG29),
IF($A29="R",(SUMIF(#REF!,CT$17,#REF!)*$CG29),
IF($A29="H",(SUMIF(#REF!,CT$17,#REF!)*$CG29),"")))))),
IF($A29="C",(SUMIF(#REF!,CT$17,#REF!)*$CG29)*(SUMIF(ProductCodes,"C",$CI:$CI)/(SUMIF(ProductCodes,"C",$CH:$CH))),
IF($A29="S",(SUMIF(#REF!,CT$17,#REF!)*$CG29)*(SUMIF(ProductCodes,"S",$CI:$CI)/(SUMIF(ProductCodes,"S",$CH:$CH))),
IF($A29="B",(SUMIF(#REF!,CT$17,#REF!)*$CG29)*(SUMIF(ProductCodes,"B",$CI:$CI)/(SUMIF(ProductCodes,"B",$CH:$CH))),
IF($A29="R",(SUMIF(#REF!,CT$17,#REF!)*$CG29)*(SUMIF(ProductCodes,"R",$CI:$CI)/(SUMIF(ProductCodes,"R",$CH:$CH))),
IF($A29="H",(SUMIF(#REF!,CT$17,#REF!)*$CG29)*(SUMIF(ProductCodes,"H",$CI:$CI)/(SUMIF(ProductCodes,"H",$CH:$CH))),""))))))),"Error")</f>
        <v>Error</v>
      </c>
      <c r="CU29" s="84" t="str">
        <f>IFERROR(
IF(SUMIF(ProductCodes,"C",$CI:$CI)=$CI$782,(IF($A29="C",(SUMIF(#REF!,CU$17,#REF!)*$CG29)*((SUMIF(ProductCodes,"C",$CI:$CI)-SUMIF(ProductCodes,"H",$CH:$CH)-SUMIF(ProductCodes,"R",$CH:$CH)-SUMIF(ProductCodes,"B",$CH:$CH)-(SUMIF(ProductCodes,"S",$CH:$CH)/2))/SUMIF(ProductCodes,"C",$CH:$CH)),IF($A29="S",(SUMIF(#REF!,CU$17,#REF!)*$CG29)/2,
IF($A29="B",(SUMIF(#REF!,CU$17,#REF!)*$CG29),
IF($A29="R",(SUMIF(#REF!,CU$17,#REF!)*$CG29),
IF($A29="H",(SUMIF(#REF!,CU$17,#REF!)*$CG29),"")))))),
IF(SUMIF(ProductCodes,"S",$CI:$CI)=$CI$782,(IF($A29="S",(SUMIF(#REF!,CU$17,#REF!)*$CG29)*((SUMIF(ProductCodes,"S",$CI:$CI)-SUMIF(ProductCodes,"H",$CH:$CH)-SUMIF(ProductCodes,"R",$CH:$CH)-SUMIF(ProductCodes,"B",$CH:$CH)-(SUMIF(ProductCodes,"C",$CH:$CH)/4))/SUMIF(ProductCodes,"S",$CH:$CH)),
IF($A29="C",(SUMIF(#REF!,CU$17,#REF!)*$CG29)/4,
IF($A29="B",(SUMIF(#REF!,CU$17,#REF!)*$CG29),
IF($A29="R",(SUMIF(#REF!,CU$17,#REF!)*$CG29),
IF($A29="H",(SUMIF(#REF!,CU$17,#REF!)*$CG29),"")))))),
IF($A29="C",(SUMIF(#REF!,CU$17,#REF!)*$CG29)*(SUMIF(ProductCodes,"C",$CI:$CI)/(SUMIF(ProductCodes,"C",$CH:$CH))),
IF($A29="S",(SUMIF(#REF!,CU$17,#REF!)*$CG29)*(SUMIF(ProductCodes,"S",$CI:$CI)/(SUMIF(ProductCodes,"S",$CH:$CH))),
IF($A29="B",(SUMIF(#REF!,CU$17,#REF!)*$CG29)*(SUMIF(ProductCodes,"B",$CI:$CI)/(SUMIF(ProductCodes,"B",$CH:$CH))),
IF($A29="R",(SUMIF(#REF!,CU$17,#REF!)*$CG29)*(SUMIF(ProductCodes,"R",$CI:$CI)/(SUMIF(ProductCodes,"R",$CH:$CH))),
IF($A29="H",(SUMIF(#REF!,CU$17,#REF!)*$CG29)*(SUMIF(ProductCodes,"H",$CI:$CI)/(SUMIF(ProductCodes,"H",$CH:$CH))),""))))))),"Error")</f>
        <v>Error</v>
      </c>
      <c r="CV29" s="84" t="str">
        <f>IFERROR(
IF(SUMIF(ProductCodes,"C",$CI:$CI)=$CI$782,(IF($A29="C",(SUMIF(#REF!,CV$17,#REF!)*$CG29)*((SUMIF(ProductCodes,"C",$CI:$CI)-SUMIF(ProductCodes,"H",$CH:$CH)-SUMIF(ProductCodes,"R",$CH:$CH)-SUMIF(ProductCodes,"B",$CH:$CH)-(SUMIF(ProductCodes,"S",$CH:$CH)/2))/SUMIF(ProductCodes,"C",$CH:$CH)),IF($A29="S",(SUMIF(#REF!,CV$17,#REF!)*$CG29)/2,
IF($A29="B",(SUMIF(#REF!,CV$17,#REF!)*$CG29),
IF($A29="R",(SUMIF(#REF!,CV$17,#REF!)*$CG29),
IF($A29="H",(SUMIF(#REF!,CV$17,#REF!)*$CG29),"")))))),
IF(SUMIF(ProductCodes,"S",$CI:$CI)=$CI$782,(IF($A29="S",(SUMIF(#REF!,CV$17,#REF!)*$CG29)*((SUMIF(ProductCodes,"S",$CI:$CI)-SUMIF(ProductCodes,"H",$CH:$CH)-SUMIF(ProductCodes,"R",$CH:$CH)-SUMIF(ProductCodes,"B",$CH:$CH)-(SUMIF(ProductCodes,"C",$CH:$CH)/4))/SUMIF(ProductCodes,"S",$CH:$CH)),
IF($A29="C",(SUMIF(#REF!,CV$17,#REF!)*$CG29)/4,
IF($A29="B",(SUMIF(#REF!,CV$17,#REF!)*$CG29),
IF($A29="R",(SUMIF(#REF!,CV$17,#REF!)*$CG29),
IF($A29="H",(SUMIF(#REF!,CV$17,#REF!)*$CG29),"")))))),
IF($A29="C",(SUMIF(#REF!,CV$17,#REF!)*$CG29)*(SUMIF(ProductCodes,"C",$CI:$CI)/(SUMIF(ProductCodes,"C",$CH:$CH))),
IF($A29="S",(SUMIF(#REF!,CV$17,#REF!)*$CG29)*(SUMIF(ProductCodes,"S",$CI:$CI)/(SUMIF(ProductCodes,"S",$CH:$CH))),
IF($A29="B",(SUMIF(#REF!,CV$17,#REF!)*$CG29)*(SUMIF(ProductCodes,"B",$CI:$CI)/(SUMIF(ProductCodes,"B",$CH:$CH))),
IF($A29="R",(SUMIF(#REF!,CV$17,#REF!)*$CG29)*(SUMIF(ProductCodes,"R",$CI:$CI)/(SUMIF(ProductCodes,"R",$CH:$CH))),
IF($A29="H",(SUMIF(#REF!,CV$17,#REF!)*$CG29)*(SUMIF(ProductCodes,"H",$CI:$CI)/(SUMIF(ProductCodes,"H",$CH:$CH))),""))))))),"Error")</f>
        <v>Error</v>
      </c>
      <c r="CW29" s="84" t="str">
        <f>IFERROR(
IF(SUMIF(ProductCodes,"C",$CI:$CI)=$CI$782,(IF($A29="C",(SUMIF(#REF!,CW$17,#REF!)*$CG29)*((SUMIF(ProductCodes,"C",$CI:$CI)-SUMIF(ProductCodes,"H",$CH:$CH)-SUMIF(ProductCodes,"R",$CH:$CH)-SUMIF(ProductCodes,"B",$CH:$CH)-(SUMIF(ProductCodes,"S",$CH:$CH)/2))/SUMIF(ProductCodes,"C",$CH:$CH)),IF($A29="S",(SUMIF(#REF!,CW$17,#REF!)*$CG29)/2,
IF($A29="B",(SUMIF(#REF!,CW$17,#REF!)*$CG29),
IF($A29="R",(SUMIF(#REF!,CW$17,#REF!)*$CG29),
IF($A29="H",(SUMIF(#REF!,CW$17,#REF!)*$CG29),"")))))),
IF(SUMIF(ProductCodes,"S",$CI:$CI)=$CI$782,(IF($A29="S",(SUMIF(#REF!,CW$17,#REF!)*$CG29)*((SUMIF(ProductCodes,"S",$CI:$CI)-SUMIF(ProductCodes,"H",$CH:$CH)-SUMIF(ProductCodes,"R",$CH:$CH)-SUMIF(ProductCodes,"B",$CH:$CH)-(SUMIF(ProductCodes,"C",$CH:$CH)/4))/SUMIF(ProductCodes,"S",$CH:$CH)),
IF($A29="C",(SUMIF(#REF!,CW$17,#REF!)*$CG29)/4,
IF($A29="B",(SUMIF(#REF!,CW$17,#REF!)*$CG29),
IF($A29="R",(SUMIF(#REF!,CW$17,#REF!)*$CG29),
IF($A29="H",(SUMIF(#REF!,CW$17,#REF!)*$CG29),"")))))),
IF($A29="C",(SUMIF(#REF!,CW$17,#REF!)*$CG29)*(SUMIF(ProductCodes,"C",$CI:$CI)/(SUMIF(ProductCodes,"C",$CH:$CH))),
IF($A29="S",(SUMIF(#REF!,CW$17,#REF!)*$CG29)*(SUMIF(ProductCodes,"S",$CI:$CI)/(SUMIF(ProductCodes,"S",$CH:$CH))),
IF($A29="B",(SUMIF(#REF!,CW$17,#REF!)*$CG29)*(SUMIF(ProductCodes,"B",$CI:$CI)/(SUMIF(ProductCodes,"B",$CH:$CH))),
IF($A29="R",(SUMIF(#REF!,CW$17,#REF!)*$CG29)*(SUMIF(ProductCodes,"R",$CI:$CI)/(SUMIF(ProductCodes,"R",$CH:$CH))),
IF($A29="H",(SUMIF(#REF!,CW$17,#REF!)*$CG29)*(SUMIF(ProductCodes,"H",$CI:$CI)/(SUMIF(ProductCodes,"H",$CH:$CH))),""))))))),"Error")</f>
        <v>Error</v>
      </c>
      <c r="CX29" s="84" t="str">
        <f>IFERROR(
IF(SUMIF(ProductCodes,"C",$CI:$CI)=$CI$782,(IF($A29="C",(SUMIF(#REF!,CX$17,#REF!)*$CG29)*((SUMIF(ProductCodes,"C",$CI:$CI)-SUMIF(ProductCodes,"H",$CH:$CH)-SUMIF(ProductCodes,"R",$CH:$CH)-SUMIF(ProductCodes,"B",$CH:$CH)-(SUMIF(ProductCodes,"S",$CH:$CH)/2))/SUMIF(ProductCodes,"C",$CH:$CH)),IF($A29="S",(SUMIF(#REF!,CX$17,#REF!)*$CG29)/2,
IF($A29="B",(SUMIF(#REF!,CX$17,#REF!)*$CG29),
IF($A29="R",(SUMIF(#REF!,CX$17,#REF!)*$CG29),
IF($A29="H",(SUMIF(#REF!,CX$17,#REF!)*$CG29),"")))))),
IF(SUMIF(ProductCodes,"S",$CI:$CI)=$CI$782,(IF($A29="S",(SUMIF(#REF!,CX$17,#REF!)*$CG29)*((SUMIF(ProductCodes,"S",$CI:$CI)-SUMIF(ProductCodes,"H",$CH:$CH)-SUMIF(ProductCodes,"R",$CH:$CH)-SUMIF(ProductCodes,"B",$CH:$CH)-(SUMIF(ProductCodes,"C",$CH:$CH)/4))/SUMIF(ProductCodes,"S",$CH:$CH)),
IF($A29="C",(SUMIF(#REF!,CX$17,#REF!)*$CG29)/4,
IF($A29="B",(SUMIF(#REF!,CX$17,#REF!)*$CG29),
IF($A29="R",(SUMIF(#REF!,CX$17,#REF!)*$CG29),
IF($A29="H",(SUMIF(#REF!,CX$17,#REF!)*$CG29),"")))))),
IF($A29="C",(SUMIF(#REF!,CX$17,#REF!)*$CG29)*(SUMIF(ProductCodes,"C",$CI:$CI)/(SUMIF(ProductCodes,"C",$CH:$CH))),
IF($A29="S",(SUMIF(#REF!,CX$17,#REF!)*$CG29)*(SUMIF(ProductCodes,"S",$CI:$CI)/(SUMIF(ProductCodes,"S",$CH:$CH))),
IF($A29="B",(SUMIF(#REF!,CX$17,#REF!)*$CG29)*(SUMIF(ProductCodes,"B",$CI:$CI)/(SUMIF(ProductCodes,"B",$CH:$CH))),
IF($A29="R",(SUMIF(#REF!,CX$17,#REF!)*$CG29)*(SUMIF(ProductCodes,"R",$CI:$CI)/(SUMIF(ProductCodes,"R",$CH:$CH))),
IF($A29="H",(SUMIF(#REF!,CX$17,#REF!)*$CG29)*(SUMIF(ProductCodes,"H",$CI:$CI)/(SUMIF(ProductCodes,"H",$CH:$CH))),""))))))),"Error")</f>
        <v>Error</v>
      </c>
      <c r="CY29" s="84" t="str">
        <f>IFERROR(
IF(SUMIF(ProductCodes,"C",$CI:$CI)=$CI$782,(IF($A29="C",(SUMIF(#REF!,CY$17,#REF!)*$CG29)*((SUMIF(ProductCodes,"C",$CI:$CI)-SUMIF(ProductCodes,"H",$CH:$CH)-SUMIF(ProductCodes,"R",$CH:$CH)-SUMIF(ProductCodes,"B",$CH:$CH)-(SUMIF(ProductCodes,"S",$CH:$CH)/2))/SUMIF(ProductCodes,"C",$CH:$CH)),IF($A29="S",(SUMIF(#REF!,CY$17,#REF!)*$CG29)/2,
IF($A29="B",(SUMIF(#REF!,CY$17,#REF!)*$CG29),
IF($A29="R",(SUMIF(#REF!,CY$17,#REF!)*$CG29),
IF($A29="H",(SUMIF(#REF!,CY$17,#REF!)*$CG29),"")))))),
IF(SUMIF(ProductCodes,"S",$CI:$CI)=$CI$782,(IF($A29="S",(SUMIF(#REF!,CY$17,#REF!)*$CG29)*((SUMIF(ProductCodes,"S",$CI:$CI)-SUMIF(ProductCodes,"H",$CH:$CH)-SUMIF(ProductCodes,"R",$CH:$CH)-SUMIF(ProductCodes,"B",$CH:$CH)-(SUMIF(ProductCodes,"C",$CH:$CH)/4))/SUMIF(ProductCodes,"S",$CH:$CH)),
IF($A29="C",(SUMIF(#REF!,CY$17,#REF!)*$CG29)/4,
IF($A29="B",(SUMIF(#REF!,CY$17,#REF!)*$CG29),
IF($A29="R",(SUMIF(#REF!,CY$17,#REF!)*$CG29),
IF($A29="H",(SUMIF(#REF!,CY$17,#REF!)*$CG29),"")))))),
IF($A29="C",(SUMIF(#REF!,CY$17,#REF!)*$CG29)*(SUMIF(ProductCodes,"C",$CI:$CI)/(SUMIF(ProductCodes,"C",$CH:$CH))),
IF($A29="S",(SUMIF(#REF!,CY$17,#REF!)*$CG29)*(SUMIF(ProductCodes,"S",$CI:$CI)/(SUMIF(ProductCodes,"S",$CH:$CH))),
IF($A29="B",(SUMIF(#REF!,CY$17,#REF!)*$CG29)*(SUMIF(ProductCodes,"B",$CI:$CI)/(SUMIF(ProductCodes,"B",$CH:$CH))),
IF($A29="R",(SUMIF(#REF!,CY$17,#REF!)*$CG29)*(SUMIF(ProductCodes,"R",$CI:$CI)/(SUMIF(ProductCodes,"R",$CH:$CH))),
IF($A29="H",(SUMIF(#REF!,CY$17,#REF!)*$CG29)*(SUMIF(ProductCodes,"H",$CI:$CI)/(SUMIF(ProductCodes,"H",$CH:$CH))),""))))))),"Error")</f>
        <v>Error</v>
      </c>
      <c r="CZ29" s="84" t="str">
        <f>IFERROR(
IF(SUMIF(ProductCodes,"C",$CI:$CI)=$CI$782,(IF($A29="C",(SUMIF(#REF!,CZ$17,#REF!)*$CG29)*((SUMIF(ProductCodes,"C",$CI:$CI)-SUMIF(ProductCodes,"H",$CH:$CH)-SUMIF(ProductCodes,"R",$CH:$CH)-SUMIF(ProductCodes,"B",$CH:$CH)-(SUMIF(ProductCodes,"S",$CH:$CH)/2))/SUMIF(ProductCodes,"C",$CH:$CH)),IF($A29="S",(SUMIF(#REF!,CZ$17,#REF!)*$CG29)/2,
IF($A29="B",(SUMIF(#REF!,CZ$17,#REF!)*$CG29),
IF($A29="R",(SUMIF(#REF!,CZ$17,#REF!)*$CG29),
IF($A29="H",(SUMIF(#REF!,CZ$17,#REF!)*$CG29),"")))))),
IF(SUMIF(ProductCodes,"S",$CI:$CI)=$CI$782,(IF($A29="S",(SUMIF(#REF!,CZ$17,#REF!)*$CG29)*((SUMIF(ProductCodes,"S",$CI:$CI)-SUMIF(ProductCodes,"H",$CH:$CH)-SUMIF(ProductCodes,"R",$CH:$CH)-SUMIF(ProductCodes,"B",$CH:$CH)-(SUMIF(ProductCodes,"C",$CH:$CH)/4))/SUMIF(ProductCodes,"S",$CH:$CH)),
IF($A29="C",(SUMIF(#REF!,CZ$17,#REF!)*$CG29)/4,
IF($A29="B",(SUMIF(#REF!,CZ$17,#REF!)*$CG29),
IF($A29="R",(SUMIF(#REF!,CZ$17,#REF!)*$CG29),
IF($A29="H",(SUMIF(#REF!,CZ$17,#REF!)*$CG29),"")))))),
IF($A29="C",(SUMIF(#REF!,CZ$17,#REF!)*$CG29)*(SUMIF(ProductCodes,"C",$CI:$CI)/(SUMIF(ProductCodes,"C",$CH:$CH))),
IF($A29="S",(SUMIF(#REF!,CZ$17,#REF!)*$CG29)*(SUMIF(ProductCodes,"S",$CI:$CI)/(SUMIF(ProductCodes,"S",$CH:$CH))),
IF($A29="B",(SUMIF(#REF!,CZ$17,#REF!)*$CG29)*(SUMIF(ProductCodes,"B",$CI:$CI)/(SUMIF(ProductCodes,"B",$CH:$CH))),
IF($A29="R",(SUMIF(#REF!,CZ$17,#REF!)*$CG29)*(SUMIF(ProductCodes,"R",$CI:$CI)/(SUMIF(ProductCodes,"R",$CH:$CH))),
IF($A29="H",(SUMIF(#REF!,CZ$17,#REF!)*$CG29)*(SUMIF(ProductCodes,"H",$CI:$CI)/(SUMIF(ProductCodes,"H",$CH:$CH))),""))))))),"Error")</f>
        <v>Error</v>
      </c>
      <c r="DA29" s="84" t="str">
        <f>IFERROR(
IF(SUMIF(ProductCodes,"C",$CI:$CI)=$CI$782,(IF($A29="C",(SUMIF(#REF!,DA$17,#REF!)*$CG29)*((SUMIF(ProductCodes,"C",$CI:$CI)-SUMIF(ProductCodes,"H",$CH:$CH)-SUMIF(ProductCodes,"R",$CH:$CH)-SUMIF(ProductCodes,"B",$CH:$CH)-(SUMIF(ProductCodes,"S",$CH:$CH)/2))/SUMIF(ProductCodes,"C",$CH:$CH)),IF($A29="S",(SUMIF(#REF!,DA$17,#REF!)*$CG29)/2,
IF($A29="B",(SUMIF(#REF!,DA$17,#REF!)*$CG29),
IF($A29="R",(SUMIF(#REF!,DA$17,#REF!)*$CG29),
IF($A29="H",(SUMIF(#REF!,DA$17,#REF!)*$CG29),"")))))),
IF(SUMIF(ProductCodes,"S",$CI:$CI)=$CI$782,(IF($A29="S",(SUMIF(#REF!,DA$17,#REF!)*$CG29)*((SUMIF(ProductCodes,"S",$CI:$CI)-SUMIF(ProductCodes,"H",$CH:$CH)-SUMIF(ProductCodes,"R",$CH:$CH)-SUMIF(ProductCodes,"B",$CH:$CH)-(SUMIF(ProductCodes,"C",$CH:$CH)/4))/SUMIF(ProductCodes,"S",$CH:$CH)),
IF($A29="C",(SUMIF(#REF!,DA$17,#REF!)*$CG29)/4,
IF($A29="B",(SUMIF(#REF!,DA$17,#REF!)*$CG29),
IF($A29="R",(SUMIF(#REF!,DA$17,#REF!)*$CG29),
IF($A29="H",(SUMIF(#REF!,DA$17,#REF!)*$CG29),"")))))),
IF($A29="C",(SUMIF(#REF!,DA$17,#REF!)*$CG29)*(SUMIF(ProductCodes,"C",$CI:$CI)/(SUMIF(ProductCodes,"C",$CH:$CH))),
IF($A29="S",(SUMIF(#REF!,DA$17,#REF!)*$CG29)*(SUMIF(ProductCodes,"S",$CI:$CI)/(SUMIF(ProductCodes,"S",$CH:$CH))),
IF($A29="B",(SUMIF(#REF!,DA$17,#REF!)*$CG29)*(SUMIF(ProductCodes,"B",$CI:$CI)/(SUMIF(ProductCodes,"B",$CH:$CH))),
IF($A29="R",(SUMIF(#REF!,DA$17,#REF!)*$CG29)*(SUMIF(ProductCodes,"R",$CI:$CI)/(SUMIF(ProductCodes,"R",$CH:$CH))),
IF($A29="H",(SUMIF(#REF!,DA$17,#REF!)*$CG29)*(SUMIF(ProductCodes,"H",$CI:$CI)/(SUMIF(ProductCodes,"H",$CH:$CH))),""))))))),"Error")</f>
        <v>Error</v>
      </c>
      <c r="DB29" s="84" t="str">
        <f>IFERROR(
IF(SUMIF(ProductCodes,"C",$CI:$CI)=$CI$782,(IF($A29="C",(SUMIF(#REF!,DB$17,#REF!)*$CG29)*((SUMIF(ProductCodes,"C",$CI:$CI)-SUMIF(ProductCodes,"H",$CH:$CH)-SUMIF(ProductCodes,"R",$CH:$CH)-SUMIF(ProductCodes,"B",$CH:$CH)-(SUMIF(ProductCodes,"S",$CH:$CH)/2))/SUMIF(ProductCodes,"C",$CH:$CH)),IF($A29="S",(SUMIF(#REF!,DB$17,#REF!)*$CG29)/2,
IF($A29="B",(SUMIF(#REF!,DB$17,#REF!)*$CG29),
IF($A29="R",(SUMIF(#REF!,DB$17,#REF!)*$CG29),
IF($A29="H",(SUMIF(#REF!,DB$17,#REF!)*$CG29),"")))))),
IF(SUMIF(ProductCodes,"S",$CI:$CI)=$CI$782,(IF($A29="S",(SUMIF(#REF!,DB$17,#REF!)*$CG29)*((SUMIF(ProductCodes,"S",$CI:$CI)-SUMIF(ProductCodes,"H",$CH:$CH)-SUMIF(ProductCodes,"R",$CH:$CH)-SUMIF(ProductCodes,"B",$CH:$CH)-(SUMIF(ProductCodes,"C",$CH:$CH)/4))/SUMIF(ProductCodes,"S",$CH:$CH)),
IF($A29="C",(SUMIF(#REF!,DB$17,#REF!)*$CG29)/4,
IF($A29="B",(SUMIF(#REF!,DB$17,#REF!)*$CG29),
IF($A29="R",(SUMIF(#REF!,DB$17,#REF!)*$CG29),
IF($A29="H",(SUMIF(#REF!,DB$17,#REF!)*$CG29),"")))))),
IF($A29="C",(SUMIF(#REF!,DB$17,#REF!)*$CG29)*(SUMIF(ProductCodes,"C",$CI:$CI)/(SUMIF(ProductCodes,"C",$CH:$CH))),
IF($A29="S",(SUMIF(#REF!,DB$17,#REF!)*$CG29)*(SUMIF(ProductCodes,"S",$CI:$CI)/(SUMIF(ProductCodes,"S",$CH:$CH))),
IF($A29="B",(SUMIF(#REF!,DB$17,#REF!)*$CG29)*(SUMIF(ProductCodes,"B",$CI:$CI)/(SUMIF(ProductCodes,"B",$CH:$CH))),
IF($A29="R",(SUMIF(#REF!,DB$17,#REF!)*$CG29)*(SUMIF(ProductCodes,"R",$CI:$CI)/(SUMIF(ProductCodes,"R",$CH:$CH))),
IF($A29="H",(SUMIF(#REF!,DB$17,#REF!)*$CG29)*(SUMIF(ProductCodes,"H",$CI:$CI)/(SUMIF(ProductCodes,"H",$CH:$CH))),""))))))),"Error")</f>
        <v>Error</v>
      </c>
      <c r="DC29" s="84" t="str">
        <f>IFERROR(
IF(SUMIF(ProductCodes,"C",$CI:$CI)=$CI$782,(IF($A29="C",(SUMIF(#REF!,DC$17,#REF!)*$CG29)*((SUMIF(ProductCodes,"C",$CI:$CI)-SUMIF(ProductCodes,"H",$CH:$CH)-SUMIF(ProductCodes,"R",$CH:$CH)-SUMIF(ProductCodes,"B",$CH:$CH)-(SUMIF(ProductCodes,"S",$CH:$CH)/2))/SUMIF(ProductCodes,"C",$CH:$CH)),IF($A29="S",(SUMIF(#REF!,DC$17,#REF!)*$CG29)/2,
IF($A29="B",(SUMIF(#REF!,DC$17,#REF!)*$CG29),
IF($A29="R",(SUMIF(#REF!,DC$17,#REF!)*$CG29),
IF($A29="H",(SUMIF(#REF!,DC$17,#REF!)*$CG29),"")))))),
IF(SUMIF(ProductCodes,"S",$CI:$CI)=$CI$782,(IF($A29="S",(SUMIF(#REF!,DC$17,#REF!)*$CG29)*((SUMIF(ProductCodes,"S",$CI:$CI)-SUMIF(ProductCodes,"H",$CH:$CH)-SUMIF(ProductCodes,"R",$CH:$CH)-SUMIF(ProductCodes,"B",$CH:$CH)-(SUMIF(ProductCodes,"C",$CH:$CH)/4))/SUMIF(ProductCodes,"S",$CH:$CH)),
IF($A29="C",(SUMIF(#REF!,DC$17,#REF!)*$CG29)/4,
IF($A29="B",(SUMIF(#REF!,DC$17,#REF!)*$CG29),
IF($A29="R",(SUMIF(#REF!,DC$17,#REF!)*$CG29),
IF($A29="H",(SUMIF(#REF!,DC$17,#REF!)*$CG29),"")))))),
IF($A29="C",(SUMIF(#REF!,DC$17,#REF!)*$CG29)*(SUMIF(ProductCodes,"C",$CI:$CI)/(SUMIF(ProductCodes,"C",$CH:$CH))),
IF($A29="S",(SUMIF(#REF!,DC$17,#REF!)*$CG29)*(SUMIF(ProductCodes,"S",$CI:$CI)/(SUMIF(ProductCodes,"S",$CH:$CH))),
IF($A29="B",(SUMIF(#REF!,DC$17,#REF!)*$CG29)*(SUMIF(ProductCodes,"B",$CI:$CI)/(SUMIF(ProductCodes,"B",$CH:$CH))),
IF($A29="R",(SUMIF(#REF!,DC$17,#REF!)*$CG29)*(SUMIF(ProductCodes,"R",$CI:$CI)/(SUMIF(ProductCodes,"R",$CH:$CH))),
IF($A29="H",(SUMIF(#REF!,DC$17,#REF!)*$CG29)*(SUMIF(ProductCodes,"H",$CI:$CI)/(SUMIF(ProductCodes,"H",$CH:$CH))),""))))))),"Error")</f>
        <v>Error</v>
      </c>
      <c r="DD29" s="84" t="str">
        <f>IFERROR(
IF(SUMIF(ProductCodes,"C",$CI:$CI)=$CI$782,(IF($A29="C",(SUMIF(#REF!,DD$17,#REF!)*$CG29)*((SUMIF(ProductCodes,"C",$CI:$CI)-SUMIF(ProductCodes,"H",$CH:$CH)-SUMIF(ProductCodes,"R",$CH:$CH)-SUMIF(ProductCodes,"B",$CH:$CH)-(SUMIF(ProductCodes,"S",$CH:$CH)/2))/SUMIF(ProductCodes,"C",$CH:$CH)),IF($A29="S",(SUMIF(#REF!,DD$17,#REF!)*$CG29)/2,
IF($A29="B",(SUMIF(#REF!,DD$17,#REF!)*$CG29),
IF($A29="R",(SUMIF(#REF!,DD$17,#REF!)*$CG29),
IF($A29="H",(SUMIF(#REF!,DD$17,#REF!)*$CG29),"")))))),
IF(SUMIF(ProductCodes,"S",$CI:$CI)=$CI$782,(IF($A29="S",(SUMIF(#REF!,DD$17,#REF!)*$CG29)*((SUMIF(ProductCodes,"S",$CI:$CI)-SUMIF(ProductCodes,"H",$CH:$CH)-SUMIF(ProductCodes,"R",$CH:$CH)-SUMIF(ProductCodes,"B",$CH:$CH)-(SUMIF(ProductCodes,"C",$CH:$CH)/4))/SUMIF(ProductCodes,"S",$CH:$CH)),
IF($A29="C",(SUMIF(#REF!,DD$17,#REF!)*$CG29)/4,
IF($A29="B",(SUMIF(#REF!,DD$17,#REF!)*$CG29),
IF($A29="R",(SUMIF(#REF!,DD$17,#REF!)*$CG29),
IF($A29="H",(SUMIF(#REF!,DD$17,#REF!)*$CG29),"")))))),
IF($A29="C",(SUMIF(#REF!,DD$17,#REF!)*$CG29)*(SUMIF(ProductCodes,"C",$CI:$CI)/(SUMIF(ProductCodes,"C",$CH:$CH))),
IF($A29="S",(SUMIF(#REF!,DD$17,#REF!)*$CG29)*(SUMIF(ProductCodes,"S",$CI:$CI)/(SUMIF(ProductCodes,"S",$CH:$CH))),
IF($A29="B",(SUMIF(#REF!,DD$17,#REF!)*$CG29)*(SUMIF(ProductCodes,"B",$CI:$CI)/(SUMIF(ProductCodes,"B",$CH:$CH))),
IF($A29="R",(SUMIF(#REF!,DD$17,#REF!)*$CG29)*(SUMIF(ProductCodes,"R",$CI:$CI)/(SUMIF(ProductCodes,"R",$CH:$CH))),
IF($A29="H",(SUMIF(#REF!,DD$17,#REF!)*$CG29)*(SUMIF(ProductCodes,"H",$CI:$CI)/(SUMIF(ProductCodes,"H",$CH:$CH))),""))))))),"Error")</f>
        <v>Error</v>
      </c>
      <c r="DE29" s="84" t="str">
        <f>IFERROR(
IF(SUMIF(ProductCodes,"C",$CI:$CI)=$CI$782,(IF($A29="C",(SUMIF(#REF!,DE$17,#REF!)*$CG29)*((SUMIF(ProductCodes,"C",$CI:$CI)-SUMIF(ProductCodes,"H",$CH:$CH)-SUMIF(ProductCodes,"R",$CH:$CH)-SUMIF(ProductCodes,"B",$CH:$CH)-(SUMIF(ProductCodes,"S",$CH:$CH)/2))/SUMIF(ProductCodes,"C",$CH:$CH)),IF($A29="S",(SUMIF(#REF!,DE$17,#REF!)*$CG29)/2,
IF($A29="B",(SUMIF(#REF!,DE$17,#REF!)*$CG29),
IF($A29="R",(SUMIF(#REF!,DE$17,#REF!)*$CG29),
IF($A29="H",(SUMIF(#REF!,DE$17,#REF!)*$CG29),"")))))),
IF(SUMIF(ProductCodes,"S",$CI:$CI)=$CI$782,(IF($A29="S",(SUMIF(#REF!,DE$17,#REF!)*$CG29)*((SUMIF(ProductCodes,"S",$CI:$CI)-SUMIF(ProductCodes,"H",$CH:$CH)-SUMIF(ProductCodes,"R",$CH:$CH)-SUMIF(ProductCodes,"B",$CH:$CH)-(SUMIF(ProductCodes,"C",$CH:$CH)/4))/SUMIF(ProductCodes,"S",$CH:$CH)),
IF($A29="C",(SUMIF(#REF!,DE$17,#REF!)*$CG29)/4,
IF($A29="B",(SUMIF(#REF!,DE$17,#REF!)*$CG29),
IF($A29="R",(SUMIF(#REF!,DE$17,#REF!)*$CG29),
IF($A29="H",(SUMIF(#REF!,DE$17,#REF!)*$CG29),"")))))),
IF($A29="C",(SUMIF(#REF!,DE$17,#REF!)*$CG29)*(SUMIF(ProductCodes,"C",$CI:$CI)/(SUMIF(ProductCodes,"C",$CH:$CH))),
IF($A29="S",(SUMIF(#REF!,DE$17,#REF!)*$CG29)*(SUMIF(ProductCodes,"S",$CI:$CI)/(SUMIF(ProductCodes,"S",$CH:$CH))),
IF($A29="B",(SUMIF(#REF!,DE$17,#REF!)*$CG29)*(SUMIF(ProductCodes,"B",$CI:$CI)/(SUMIF(ProductCodes,"B",$CH:$CH))),
IF($A29="R",(SUMIF(#REF!,DE$17,#REF!)*$CG29)*(SUMIF(ProductCodes,"R",$CI:$CI)/(SUMIF(ProductCodes,"R",$CH:$CH))),
IF($A29="H",(SUMIF(#REF!,DE$17,#REF!)*$CG29)*(SUMIF(ProductCodes,"H",$CI:$CI)/(SUMIF(ProductCodes,"H",$CH:$CH))),""))))))),"Error")</f>
        <v>Error</v>
      </c>
      <c r="DF29" s="84" t="str">
        <f>IFERROR(
IF(SUMIF(ProductCodes,"C",$CI:$CI)=$CI$782,(IF($A29="C",(SUMIF(#REF!,DF$17,#REF!)*$CG29)*((SUMIF(ProductCodes,"C",$CI:$CI)-SUMIF(ProductCodes,"H",$CH:$CH)-SUMIF(ProductCodes,"R",$CH:$CH)-SUMIF(ProductCodes,"B",$CH:$CH)-(SUMIF(ProductCodes,"S",$CH:$CH)/2))/SUMIF(ProductCodes,"C",$CH:$CH)),IF($A29="S",(SUMIF(#REF!,DF$17,#REF!)*$CG29)/2,
IF($A29="B",(SUMIF(#REF!,DF$17,#REF!)*$CG29),
IF($A29="R",(SUMIF(#REF!,DF$17,#REF!)*$CG29),
IF($A29="H",(SUMIF(#REF!,DF$17,#REF!)*$CG29),"")))))),
IF(SUMIF(ProductCodes,"S",$CI:$CI)=$CI$782,(IF($A29="S",(SUMIF(#REF!,DF$17,#REF!)*$CG29)*((SUMIF(ProductCodes,"S",$CI:$CI)-SUMIF(ProductCodes,"H",$CH:$CH)-SUMIF(ProductCodes,"R",$CH:$CH)-SUMIF(ProductCodes,"B",$CH:$CH)-(SUMIF(ProductCodes,"C",$CH:$CH)/4))/SUMIF(ProductCodes,"S",$CH:$CH)),
IF($A29="C",(SUMIF(#REF!,DF$17,#REF!)*$CG29)/4,
IF($A29="B",(SUMIF(#REF!,DF$17,#REF!)*$CG29),
IF($A29="R",(SUMIF(#REF!,DF$17,#REF!)*$CG29),
IF($A29="H",(SUMIF(#REF!,DF$17,#REF!)*$CG29),"")))))),
IF($A29="C",(SUMIF(#REF!,DF$17,#REF!)*$CG29)*(SUMIF(ProductCodes,"C",$CI:$CI)/(SUMIF(ProductCodes,"C",$CH:$CH))),
IF($A29="S",(SUMIF(#REF!,DF$17,#REF!)*$CG29)*(SUMIF(ProductCodes,"S",$CI:$CI)/(SUMIF(ProductCodes,"S",$CH:$CH))),
IF($A29="B",(SUMIF(#REF!,DF$17,#REF!)*$CG29)*(SUMIF(ProductCodes,"B",$CI:$CI)/(SUMIF(ProductCodes,"B",$CH:$CH))),
IF($A29="R",(SUMIF(#REF!,DF$17,#REF!)*$CG29)*(SUMIF(ProductCodes,"R",$CI:$CI)/(SUMIF(ProductCodes,"R",$CH:$CH))),
IF($A29="H",(SUMIF(#REF!,DF$17,#REF!)*$CG29)*(SUMIF(ProductCodes,"H",$CI:$CI)/(SUMIF(ProductCodes,"H",$CH:$CH))),""))))))),"Error")</f>
        <v>Error</v>
      </c>
      <c r="DG29" s="84" t="str">
        <f>IFERROR(
IF(SUMIF(ProductCodes,"C",$CI:$CI)=$CI$782,(IF($A29="C",(SUMIF(#REF!,DG$17,#REF!)*$CG29)*((SUMIF(ProductCodes,"C",$CI:$CI)-SUMIF(ProductCodes,"H",$CH:$CH)-SUMIF(ProductCodes,"R",$CH:$CH)-SUMIF(ProductCodes,"B",$CH:$CH)-(SUMIF(ProductCodes,"S",$CH:$CH)/2))/SUMIF(ProductCodes,"C",$CH:$CH)),IF($A29="S",(SUMIF(#REF!,DG$17,#REF!)*$CG29)/2,
IF($A29="B",(SUMIF(#REF!,DG$17,#REF!)*$CG29),
IF($A29="R",(SUMIF(#REF!,DG$17,#REF!)*$CG29),
IF($A29="H",(SUMIF(#REF!,DG$17,#REF!)*$CG29),"")))))),
IF(SUMIF(ProductCodes,"S",$CI:$CI)=$CI$782,(IF($A29="S",(SUMIF(#REF!,DG$17,#REF!)*$CG29)*((SUMIF(ProductCodes,"S",$CI:$CI)-SUMIF(ProductCodes,"H",$CH:$CH)-SUMIF(ProductCodes,"R",$CH:$CH)-SUMIF(ProductCodes,"B",$CH:$CH)-(SUMIF(ProductCodes,"C",$CH:$CH)/4))/SUMIF(ProductCodes,"S",$CH:$CH)),
IF($A29="C",(SUMIF(#REF!,DG$17,#REF!)*$CG29)/4,
IF($A29="B",(SUMIF(#REF!,DG$17,#REF!)*$CG29),
IF($A29="R",(SUMIF(#REF!,DG$17,#REF!)*$CG29),
IF($A29="H",(SUMIF(#REF!,DG$17,#REF!)*$CG29),"")))))),
IF($A29="C",(SUMIF(#REF!,DG$17,#REF!)*$CG29)*(SUMIF(ProductCodes,"C",$CI:$CI)/(SUMIF(ProductCodes,"C",$CH:$CH))),
IF($A29="S",(SUMIF(#REF!,DG$17,#REF!)*$CG29)*(SUMIF(ProductCodes,"S",$CI:$CI)/(SUMIF(ProductCodes,"S",$CH:$CH))),
IF($A29="B",(SUMIF(#REF!,DG$17,#REF!)*$CG29)*(SUMIF(ProductCodes,"B",$CI:$CI)/(SUMIF(ProductCodes,"B",$CH:$CH))),
IF($A29="R",(SUMIF(#REF!,DG$17,#REF!)*$CG29)*(SUMIF(ProductCodes,"R",$CI:$CI)/(SUMIF(ProductCodes,"R",$CH:$CH))),
IF($A29="H",(SUMIF(#REF!,DG$17,#REF!)*$CG29)*(SUMIF(ProductCodes,"H",$CI:$CI)/(SUMIF(ProductCodes,"H",$CH:$CH))),""))))))),"Error")</f>
        <v>Error</v>
      </c>
      <c r="DH29" s="84" t="str">
        <f>IFERROR(
IF(SUMIF(ProductCodes,"C",$CI:$CI)=$CI$782,(IF($A29="C",(SUMIF(#REF!,DH$17,#REF!)*$CG29)*((SUMIF(ProductCodes,"C",$CI:$CI)-SUMIF(ProductCodes,"H",$CH:$CH)-SUMIF(ProductCodes,"R",$CH:$CH)-SUMIF(ProductCodes,"B",$CH:$CH)-(SUMIF(ProductCodes,"S",$CH:$CH)/2))/SUMIF(ProductCodes,"C",$CH:$CH)),IF($A29="S",(SUMIF(#REF!,DH$17,#REF!)*$CG29)/2,
IF($A29="B",(SUMIF(#REF!,DH$17,#REF!)*$CG29),
IF($A29="R",(SUMIF(#REF!,DH$17,#REF!)*$CG29),
IF($A29="H",(SUMIF(#REF!,DH$17,#REF!)*$CG29),"")))))),
IF(SUMIF(ProductCodes,"S",$CI:$CI)=$CI$782,(IF($A29="S",(SUMIF(#REF!,DH$17,#REF!)*$CG29)*((SUMIF(ProductCodes,"S",$CI:$CI)-SUMIF(ProductCodes,"H",$CH:$CH)-SUMIF(ProductCodes,"R",$CH:$CH)-SUMIF(ProductCodes,"B",$CH:$CH)-(SUMIF(ProductCodes,"C",$CH:$CH)/4))/SUMIF(ProductCodes,"S",$CH:$CH)),
IF($A29="C",(SUMIF(#REF!,DH$17,#REF!)*$CG29)/4,
IF($A29="B",(SUMIF(#REF!,DH$17,#REF!)*$CG29),
IF($A29="R",(SUMIF(#REF!,DH$17,#REF!)*$CG29),
IF($A29="H",(SUMIF(#REF!,DH$17,#REF!)*$CG29),"")))))),
IF($A29="C",(SUMIF(#REF!,DH$17,#REF!)*$CG29)*(SUMIF(ProductCodes,"C",$CI:$CI)/(SUMIF(ProductCodes,"C",$CH:$CH))),
IF($A29="S",(SUMIF(#REF!,DH$17,#REF!)*$CG29)*(SUMIF(ProductCodes,"S",$CI:$CI)/(SUMIF(ProductCodes,"S",$CH:$CH))),
IF($A29="B",(SUMIF(#REF!,DH$17,#REF!)*$CG29)*(SUMIF(ProductCodes,"B",$CI:$CI)/(SUMIF(ProductCodes,"B",$CH:$CH))),
IF($A29="R",(SUMIF(#REF!,DH$17,#REF!)*$CG29)*(SUMIF(ProductCodes,"R",$CI:$CI)/(SUMIF(ProductCodes,"R",$CH:$CH))),
IF($A29="H",(SUMIF(#REF!,DH$17,#REF!)*$CG29)*(SUMIF(ProductCodes,"H",$CI:$CI)/(SUMIF(ProductCodes,"H",$CH:$CH))),""))))))),"Error")</f>
        <v>Error</v>
      </c>
      <c r="DI29" s="84" t="str">
        <f>IFERROR(
IF(SUMIF(ProductCodes,"C",$CI:$CI)=$CI$782,(IF($A29="C",(SUMIF(#REF!,DI$17,#REF!)*$CG29)*((SUMIF(ProductCodes,"C",$CI:$CI)-SUMIF(ProductCodes,"H",$CH:$CH)-SUMIF(ProductCodes,"R",$CH:$CH)-SUMIF(ProductCodes,"B",$CH:$CH)-(SUMIF(ProductCodes,"S",$CH:$CH)/2))/SUMIF(ProductCodes,"C",$CH:$CH)),IF($A29="S",(SUMIF(#REF!,DI$17,#REF!)*$CG29)/2,
IF($A29="B",(SUMIF(#REF!,DI$17,#REF!)*$CG29),
IF($A29="R",(SUMIF(#REF!,DI$17,#REF!)*$CG29),
IF($A29="H",(SUMIF(#REF!,DI$17,#REF!)*$CG29),"")))))),
IF(SUMIF(ProductCodes,"S",$CI:$CI)=$CI$782,(IF($A29="S",(SUMIF(#REF!,DI$17,#REF!)*$CG29)*((SUMIF(ProductCodes,"S",$CI:$CI)-SUMIF(ProductCodes,"H",$CH:$CH)-SUMIF(ProductCodes,"R",$CH:$CH)-SUMIF(ProductCodes,"B",$CH:$CH)-(SUMIF(ProductCodes,"C",$CH:$CH)/4))/SUMIF(ProductCodes,"S",$CH:$CH)),
IF($A29="C",(SUMIF(#REF!,DI$17,#REF!)*$CG29)/4,
IF($A29="B",(SUMIF(#REF!,DI$17,#REF!)*$CG29),
IF($A29="R",(SUMIF(#REF!,DI$17,#REF!)*$CG29),
IF($A29="H",(SUMIF(#REF!,DI$17,#REF!)*$CG29),"")))))),
IF($A29="C",(SUMIF(#REF!,DI$17,#REF!)*$CG29)*(SUMIF(ProductCodes,"C",$CI:$CI)/(SUMIF(ProductCodes,"C",$CH:$CH))),
IF($A29="S",(SUMIF(#REF!,DI$17,#REF!)*$CG29)*(SUMIF(ProductCodes,"S",$CI:$CI)/(SUMIF(ProductCodes,"S",$CH:$CH))),
IF($A29="B",(SUMIF(#REF!,DI$17,#REF!)*$CG29)*(SUMIF(ProductCodes,"B",$CI:$CI)/(SUMIF(ProductCodes,"B",$CH:$CH))),
IF($A29="R",(SUMIF(#REF!,DI$17,#REF!)*$CG29)*(SUMIF(ProductCodes,"R",$CI:$CI)/(SUMIF(ProductCodes,"R",$CH:$CH))),
IF($A29="H",(SUMIF(#REF!,DI$17,#REF!)*$CG29)*(SUMIF(ProductCodes,"H",$CI:$CI)/(SUMIF(ProductCodes,"H",$CH:$CH))),""))))))),"Error")</f>
        <v>Error</v>
      </c>
      <c r="DJ29" s="84" t="str">
        <f>IFERROR(
IF(SUMIF(ProductCodes,"C",$CI:$CI)=$CI$782,(IF($A29="C",(SUMIF(#REF!,DJ$17,#REF!)*$CG29)*((SUMIF(ProductCodes,"C",$CI:$CI)-SUMIF(ProductCodes,"H",$CH:$CH)-SUMIF(ProductCodes,"R",$CH:$CH)-SUMIF(ProductCodes,"B",$CH:$CH)-(SUMIF(ProductCodes,"S",$CH:$CH)/2))/SUMIF(ProductCodes,"C",$CH:$CH)),IF($A29="S",(SUMIF(#REF!,DJ$17,#REF!)*$CG29)/2,
IF($A29="B",(SUMIF(#REF!,DJ$17,#REF!)*$CG29),
IF($A29="R",(SUMIF(#REF!,DJ$17,#REF!)*$CG29),
IF($A29="H",(SUMIF(#REF!,DJ$17,#REF!)*$CG29),"")))))),
IF(SUMIF(ProductCodes,"S",$CI:$CI)=$CI$782,(IF($A29="S",(SUMIF(#REF!,DJ$17,#REF!)*$CG29)*((SUMIF(ProductCodes,"S",$CI:$CI)-SUMIF(ProductCodes,"H",$CH:$CH)-SUMIF(ProductCodes,"R",$CH:$CH)-SUMIF(ProductCodes,"B",$CH:$CH)-(SUMIF(ProductCodes,"C",$CH:$CH)/4))/SUMIF(ProductCodes,"S",$CH:$CH)),
IF($A29="C",(SUMIF(#REF!,DJ$17,#REF!)*$CG29)/4,
IF($A29="B",(SUMIF(#REF!,DJ$17,#REF!)*$CG29),
IF($A29="R",(SUMIF(#REF!,DJ$17,#REF!)*$CG29),
IF($A29="H",(SUMIF(#REF!,DJ$17,#REF!)*$CG29),"")))))),
IF($A29="C",(SUMIF(#REF!,DJ$17,#REF!)*$CG29)*(SUMIF(ProductCodes,"C",$CI:$CI)/(SUMIF(ProductCodes,"C",$CH:$CH))),
IF($A29="S",(SUMIF(#REF!,DJ$17,#REF!)*$CG29)*(SUMIF(ProductCodes,"S",$CI:$CI)/(SUMIF(ProductCodes,"S",$CH:$CH))),
IF($A29="B",(SUMIF(#REF!,DJ$17,#REF!)*$CG29)*(SUMIF(ProductCodes,"B",$CI:$CI)/(SUMIF(ProductCodes,"B",$CH:$CH))),
IF($A29="R",(SUMIF(#REF!,DJ$17,#REF!)*$CG29)*(SUMIF(ProductCodes,"R",$CI:$CI)/(SUMIF(ProductCodes,"R",$CH:$CH))),
IF($A29="H",(SUMIF(#REF!,DJ$17,#REF!)*$CG29)*(SUMIF(ProductCodes,"H",$CI:$CI)/(SUMIF(ProductCodes,"H",$CH:$CH))),""))))))),"Error")</f>
        <v>Error</v>
      </c>
      <c r="DK29" s="84" t="str">
        <f>IFERROR(
IF(SUMIF(ProductCodes,"C",$CI:$CI)=$CI$782,(IF($A29="C",(SUMIF(#REF!,DK$17,#REF!)*$CG29)*((SUMIF(ProductCodes,"C",$CI:$CI)-SUMIF(ProductCodes,"H",$CH:$CH)-SUMIF(ProductCodes,"R",$CH:$CH)-SUMIF(ProductCodes,"B",$CH:$CH)-(SUMIF(ProductCodes,"S",$CH:$CH)/2))/SUMIF(ProductCodes,"C",$CH:$CH)),IF($A29="S",(SUMIF(#REF!,DK$17,#REF!)*$CG29)/2,
IF($A29="B",(SUMIF(#REF!,DK$17,#REF!)*$CG29),
IF($A29="R",(SUMIF(#REF!,DK$17,#REF!)*$CG29),
IF($A29="H",(SUMIF(#REF!,DK$17,#REF!)*$CG29),"")))))),
IF(SUMIF(ProductCodes,"S",$CI:$CI)=$CI$782,(IF($A29="S",(SUMIF(#REF!,DK$17,#REF!)*$CG29)*((SUMIF(ProductCodes,"S",$CI:$CI)-SUMIF(ProductCodes,"H",$CH:$CH)-SUMIF(ProductCodes,"R",$CH:$CH)-SUMIF(ProductCodes,"B",$CH:$CH)-(SUMIF(ProductCodes,"C",$CH:$CH)/4))/SUMIF(ProductCodes,"S",$CH:$CH)),
IF($A29="C",(SUMIF(#REF!,DK$17,#REF!)*$CG29)/4,
IF($A29="B",(SUMIF(#REF!,DK$17,#REF!)*$CG29),
IF($A29="R",(SUMIF(#REF!,DK$17,#REF!)*$CG29),
IF($A29="H",(SUMIF(#REF!,DK$17,#REF!)*$CG29),"")))))),
IF($A29="C",(SUMIF(#REF!,DK$17,#REF!)*$CG29)*(SUMIF(ProductCodes,"C",$CI:$CI)/(SUMIF(ProductCodes,"C",$CH:$CH))),
IF($A29="S",(SUMIF(#REF!,DK$17,#REF!)*$CG29)*(SUMIF(ProductCodes,"S",$CI:$CI)/(SUMIF(ProductCodes,"S",$CH:$CH))),
IF($A29="B",(SUMIF(#REF!,DK$17,#REF!)*$CG29)*(SUMIF(ProductCodes,"B",$CI:$CI)/(SUMIF(ProductCodes,"B",$CH:$CH))),
IF($A29="R",(SUMIF(#REF!,DK$17,#REF!)*$CG29)*(SUMIF(ProductCodes,"R",$CI:$CI)/(SUMIF(ProductCodes,"R",$CH:$CH))),
IF($A29="H",(SUMIF(#REF!,DK$17,#REF!)*$CG29)*(SUMIF(ProductCodes,"H",$CI:$CI)/(SUMIF(ProductCodes,"H",$CH:$CH))),""))))))),"Error")</f>
        <v>Error</v>
      </c>
      <c r="DL29" s="84" t="str">
        <f>IFERROR(
IF(SUMIF(ProductCodes,"C",$CI:$CI)=$CI$782,(IF($A29="C",(SUMIF(#REF!,DL$17,#REF!)*$CG29)*((SUMIF(ProductCodes,"C",$CI:$CI)-SUMIF(ProductCodes,"H",$CH:$CH)-SUMIF(ProductCodes,"R",$CH:$CH)-SUMIF(ProductCodes,"B",$CH:$CH)-(SUMIF(ProductCodes,"S",$CH:$CH)/2))/SUMIF(ProductCodes,"C",$CH:$CH)),IF($A29="S",(SUMIF(#REF!,DL$17,#REF!)*$CG29)/2,
IF($A29="B",(SUMIF(#REF!,DL$17,#REF!)*$CG29),
IF($A29="R",(SUMIF(#REF!,DL$17,#REF!)*$CG29),
IF($A29="H",(SUMIF(#REF!,DL$17,#REF!)*$CG29),"")))))),
IF(SUMIF(ProductCodes,"S",$CI:$CI)=$CI$782,(IF($A29="S",(SUMIF(#REF!,DL$17,#REF!)*$CG29)*((SUMIF(ProductCodes,"S",$CI:$CI)-SUMIF(ProductCodes,"H",$CH:$CH)-SUMIF(ProductCodes,"R",$CH:$CH)-SUMIF(ProductCodes,"B",$CH:$CH)-(SUMIF(ProductCodes,"C",$CH:$CH)/4))/SUMIF(ProductCodes,"S",$CH:$CH)),
IF($A29="C",(SUMIF(#REF!,DL$17,#REF!)*$CG29)/4,
IF($A29="B",(SUMIF(#REF!,DL$17,#REF!)*$CG29),
IF($A29="R",(SUMIF(#REF!,DL$17,#REF!)*$CG29),
IF($A29="H",(SUMIF(#REF!,DL$17,#REF!)*$CG29),"")))))),
IF($A29="C",(SUMIF(#REF!,DL$17,#REF!)*$CG29)*(SUMIF(ProductCodes,"C",$CI:$CI)/(SUMIF(ProductCodes,"C",$CH:$CH))),
IF($A29="S",(SUMIF(#REF!,DL$17,#REF!)*$CG29)*(SUMIF(ProductCodes,"S",$CI:$CI)/(SUMIF(ProductCodes,"S",$CH:$CH))),
IF($A29="B",(SUMIF(#REF!,DL$17,#REF!)*$CG29)*(SUMIF(ProductCodes,"B",$CI:$CI)/(SUMIF(ProductCodes,"B",$CH:$CH))),
IF($A29="R",(SUMIF(#REF!,DL$17,#REF!)*$CG29)*(SUMIF(ProductCodes,"R",$CI:$CI)/(SUMIF(ProductCodes,"R",$CH:$CH))),
IF($A29="H",(SUMIF(#REF!,DL$17,#REF!)*$CG29)*(SUMIF(ProductCodes,"H",$CI:$CI)/(SUMIF(ProductCodes,"H",$CH:$CH))),""))))))),"Error")</f>
        <v>Error</v>
      </c>
      <c r="DM29" s="84" t="str">
        <f>IFERROR(
IF(SUMIF(ProductCodes,"C",$CI:$CI)=$CI$782,(IF($A29="C",(SUMIF(#REF!,DM$17,#REF!)*$CG29)*((SUMIF(ProductCodes,"C",$CI:$CI)-SUMIF(ProductCodes,"H",$CH:$CH)-SUMIF(ProductCodes,"R",$CH:$CH)-SUMIF(ProductCodes,"B",$CH:$CH)-(SUMIF(ProductCodes,"S",$CH:$CH)/2))/SUMIF(ProductCodes,"C",$CH:$CH)),IF($A29="S",(SUMIF(#REF!,DM$17,#REF!)*$CG29)/2,
IF($A29="B",(SUMIF(#REF!,DM$17,#REF!)*$CG29),
IF($A29="R",(SUMIF(#REF!,DM$17,#REF!)*$CG29),
IF($A29="H",(SUMIF(#REF!,DM$17,#REF!)*$CG29),"")))))),
IF(SUMIF(ProductCodes,"S",$CI:$CI)=$CI$782,(IF($A29="S",(SUMIF(#REF!,DM$17,#REF!)*$CG29)*((SUMIF(ProductCodes,"S",$CI:$CI)-SUMIF(ProductCodes,"H",$CH:$CH)-SUMIF(ProductCodes,"R",$CH:$CH)-SUMIF(ProductCodes,"B",$CH:$CH)-(SUMIF(ProductCodes,"C",$CH:$CH)/4))/SUMIF(ProductCodes,"S",$CH:$CH)),
IF($A29="C",(SUMIF(#REF!,DM$17,#REF!)*$CG29)/4,
IF($A29="B",(SUMIF(#REF!,DM$17,#REF!)*$CG29),
IF($A29="R",(SUMIF(#REF!,DM$17,#REF!)*$CG29),
IF($A29="H",(SUMIF(#REF!,DM$17,#REF!)*$CG29),"")))))),
IF($A29="C",(SUMIF(#REF!,DM$17,#REF!)*$CG29)*(SUMIF(ProductCodes,"C",$CI:$CI)/(SUMIF(ProductCodes,"C",$CH:$CH))),
IF($A29="S",(SUMIF(#REF!,DM$17,#REF!)*$CG29)*(SUMIF(ProductCodes,"S",$CI:$CI)/(SUMIF(ProductCodes,"S",$CH:$CH))),
IF($A29="B",(SUMIF(#REF!,DM$17,#REF!)*$CG29)*(SUMIF(ProductCodes,"B",$CI:$CI)/(SUMIF(ProductCodes,"B",$CH:$CH))),
IF($A29="R",(SUMIF(#REF!,DM$17,#REF!)*$CG29)*(SUMIF(ProductCodes,"R",$CI:$CI)/(SUMIF(ProductCodes,"R",$CH:$CH))),
IF($A29="H",(SUMIF(#REF!,DM$17,#REF!)*$CG29)*(SUMIF(ProductCodes,"H",$CI:$CI)/(SUMIF(ProductCodes,"H",$CH:$CH))),""))))))),"Error")</f>
        <v>Error</v>
      </c>
      <c r="DN29" s="84" t="str">
        <f>IFERROR(
IF(SUMIF(ProductCodes,"C",$CI:$CI)=$CI$782,(IF($A29="C",(SUMIF(#REF!,DN$17,#REF!)*$CG29)*((SUMIF(ProductCodes,"C",$CI:$CI)-SUMIF(ProductCodes,"H",$CH:$CH)-SUMIF(ProductCodes,"R",$CH:$CH)-SUMIF(ProductCodes,"B",$CH:$CH)-(SUMIF(ProductCodes,"S",$CH:$CH)/2))/SUMIF(ProductCodes,"C",$CH:$CH)),IF($A29="S",(SUMIF(#REF!,DN$17,#REF!)*$CG29)/2,
IF($A29="B",(SUMIF(#REF!,DN$17,#REF!)*$CG29),
IF($A29="R",(SUMIF(#REF!,DN$17,#REF!)*$CG29),
IF($A29="H",(SUMIF(#REF!,DN$17,#REF!)*$CG29),"")))))),
IF(SUMIF(ProductCodes,"S",$CI:$CI)=$CI$782,(IF($A29="S",(SUMIF(#REF!,DN$17,#REF!)*$CG29)*((SUMIF(ProductCodes,"S",$CI:$CI)-SUMIF(ProductCodes,"H",$CH:$CH)-SUMIF(ProductCodes,"R",$CH:$CH)-SUMIF(ProductCodes,"B",$CH:$CH)-(SUMIF(ProductCodes,"C",$CH:$CH)/4))/SUMIF(ProductCodes,"S",$CH:$CH)),
IF($A29="C",(SUMIF(#REF!,DN$17,#REF!)*$CG29)/4,
IF($A29="B",(SUMIF(#REF!,DN$17,#REF!)*$CG29),
IF($A29="R",(SUMIF(#REF!,DN$17,#REF!)*$CG29),
IF($A29="H",(SUMIF(#REF!,DN$17,#REF!)*$CG29),"")))))),
IF($A29="C",(SUMIF(#REF!,DN$17,#REF!)*$CG29)*(SUMIF(ProductCodes,"C",$CI:$CI)/(SUMIF(ProductCodes,"C",$CH:$CH))),
IF($A29="S",(SUMIF(#REF!,DN$17,#REF!)*$CG29)*(SUMIF(ProductCodes,"S",$CI:$CI)/(SUMIF(ProductCodes,"S",$CH:$CH))),
IF($A29="B",(SUMIF(#REF!,DN$17,#REF!)*$CG29)*(SUMIF(ProductCodes,"B",$CI:$CI)/(SUMIF(ProductCodes,"B",$CH:$CH))),
IF($A29="R",(SUMIF(#REF!,DN$17,#REF!)*$CG29)*(SUMIF(ProductCodes,"R",$CI:$CI)/(SUMIF(ProductCodes,"R",$CH:$CH))),
IF($A29="H",(SUMIF(#REF!,DN$17,#REF!)*$CG29)*(SUMIF(ProductCodes,"H",$CI:$CI)/(SUMIF(ProductCodes,"H",$CH:$CH))),""))))))),"Error")</f>
        <v>Error</v>
      </c>
      <c r="DO29" s="84" t="str">
        <f>IFERROR(
IF(SUMIF(ProductCodes,"C",$CI:$CI)=$CI$782,(IF($A29="C",(SUMIF(#REF!,DO$17,#REF!)*$CG29)*((SUMIF(ProductCodes,"C",$CI:$CI)-SUMIF(ProductCodes,"H",$CH:$CH)-SUMIF(ProductCodes,"R",$CH:$CH)-SUMIF(ProductCodes,"B",$CH:$CH)-(SUMIF(ProductCodes,"S",$CH:$CH)/2))/SUMIF(ProductCodes,"C",$CH:$CH)),IF($A29="S",(SUMIF(#REF!,DO$17,#REF!)*$CG29)/2,
IF($A29="B",(SUMIF(#REF!,DO$17,#REF!)*$CG29),
IF($A29="R",(SUMIF(#REF!,DO$17,#REF!)*$CG29),
IF($A29="H",(SUMIF(#REF!,DO$17,#REF!)*$CG29),"")))))),
IF(SUMIF(ProductCodes,"S",$CI:$CI)=$CI$782,(IF($A29="S",(SUMIF(#REF!,DO$17,#REF!)*$CG29)*((SUMIF(ProductCodes,"S",$CI:$CI)-SUMIF(ProductCodes,"H",$CH:$CH)-SUMIF(ProductCodes,"R",$CH:$CH)-SUMIF(ProductCodes,"B",$CH:$CH)-(SUMIF(ProductCodes,"C",$CH:$CH)/4))/SUMIF(ProductCodes,"S",$CH:$CH)),
IF($A29="C",(SUMIF(#REF!,DO$17,#REF!)*$CG29)/4,
IF($A29="B",(SUMIF(#REF!,DO$17,#REF!)*$CG29),
IF($A29="R",(SUMIF(#REF!,DO$17,#REF!)*$CG29),
IF($A29="H",(SUMIF(#REF!,DO$17,#REF!)*$CG29),"")))))),
IF($A29="C",(SUMIF(#REF!,DO$17,#REF!)*$CG29)*(SUMIF(ProductCodes,"C",$CI:$CI)/(SUMIF(ProductCodes,"C",$CH:$CH))),
IF($A29="S",(SUMIF(#REF!,DO$17,#REF!)*$CG29)*(SUMIF(ProductCodes,"S",$CI:$CI)/(SUMIF(ProductCodes,"S",$CH:$CH))),
IF($A29="B",(SUMIF(#REF!,DO$17,#REF!)*$CG29)*(SUMIF(ProductCodes,"B",$CI:$CI)/(SUMIF(ProductCodes,"B",$CH:$CH))),
IF($A29="R",(SUMIF(#REF!,DO$17,#REF!)*$CG29)*(SUMIF(ProductCodes,"R",$CI:$CI)/(SUMIF(ProductCodes,"R",$CH:$CH))),
IF($A29="H",(SUMIF(#REF!,DO$17,#REF!)*$CG29)*(SUMIF(ProductCodes,"H",$CI:$CI)/(SUMIF(ProductCodes,"H",$CH:$CH))),""))))))),"Error")</f>
        <v>Error</v>
      </c>
      <c r="DP29" s="85" t="str">
        <f>IFERROR(
IF(SUMIF(ProductCodes,"C",$CI:$CI)=$CI$782,(IF($A29="C",(SUMIF(#REF!,DP$17,#REF!)*$CG29)*((SUMIF(ProductCodes,"C",$CI:$CI)-SUMIF(ProductCodes,"H",$CH:$CH)-SUMIF(ProductCodes,"R",$CH:$CH)-SUMIF(ProductCodes,"B",$CH:$CH)-(SUMIF(ProductCodes,"S",$CH:$CH)/2))/SUMIF(ProductCodes,"C",$CH:$CH)),IF($A29="S",(SUMIF(#REF!,DP$17,#REF!)*$CG29)/2,
IF($A29="B",(SUMIF(#REF!,DP$17,#REF!)*$CG29),
IF($A29="R",(SUMIF(#REF!,DP$17,#REF!)*$CG29),
IF($A29="H",(SUMIF(#REF!,DP$17,#REF!)*$CG29),"")))))),
IF(SUMIF(ProductCodes,"S",$CI:$CI)=$CI$782,(IF($A29="S",(SUMIF(#REF!,DP$17,#REF!)*$CG29)*((SUMIF(ProductCodes,"S",$CI:$CI)-SUMIF(ProductCodes,"H",$CH:$CH)-SUMIF(ProductCodes,"R",$CH:$CH)-SUMIF(ProductCodes,"B",$CH:$CH)-(SUMIF(ProductCodes,"C",$CH:$CH)/4))/SUMIF(ProductCodes,"S",$CH:$CH)),
IF($A29="C",(SUMIF(#REF!,DP$17,#REF!)*$CG29)/4,
IF($A29="B",(SUMIF(#REF!,DP$17,#REF!)*$CG29),
IF($A29="R",(SUMIF(#REF!,DP$17,#REF!)*$CG29),
IF($A29="H",(SUMIF(#REF!,DP$17,#REF!)*$CG29),"")))))),
IF($A29="C",(SUMIF(#REF!,DP$17,#REF!)*$CG29)*(SUMIF(ProductCodes,"C",$CI:$CI)/(SUMIF(ProductCodes,"C",$CH:$CH))),
IF($A29="S",(SUMIF(#REF!,DP$17,#REF!)*$CG29)*(SUMIF(ProductCodes,"S",$CI:$CI)/(SUMIF(ProductCodes,"S",$CH:$CH))),
IF($A29="B",(SUMIF(#REF!,DP$17,#REF!)*$CG29)*(SUMIF(ProductCodes,"B",$CI:$CI)/(SUMIF(ProductCodes,"B",$CH:$CH))),
IF($A29="R",(SUMIF(#REF!,DP$17,#REF!)*$CG29)*(SUMIF(ProductCodes,"R",$CI:$CI)/(SUMIF(ProductCodes,"R",$CH:$CH))),
IF($A29="H",(SUMIF(#REF!,DP$17,#REF!)*$CG29)*(SUMIF(ProductCodes,"H",$CI:$CI)/(SUMIF(ProductCodes,"H",$CH:$CH))),""))))))),"Error")</f>
        <v>Error</v>
      </c>
      <c r="DQ29" s="9"/>
      <c r="DR29" s="9"/>
      <c r="DS29"/>
      <c r="DT29"/>
      <c r="DU29"/>
      <c r="DV29"/>
      <c r="DW29"/>
      <c r="DX29"/>
      <c r="DY29"/>
      <c r="DZ29"/>
      <c r="EA29"/>
      <c r="EB29"/>
      <c r="EC29"/>
      <c r="ED29"/>
    </row>
    <row r="30" spans="1:134" s="86" customFormat="1" ht="66.75" customHeight="1" thickBot="1" x14ac:dyDescent="0.4">
      <c r="A30" s="90" t="s">
        <v>43</v>
      </c>
      <c r="B30" s="230" t="s">
        <v>76</v>
      </c>
      <c r="C30" s="207" t="s">
        <v>44</v>
      </c>
      <c r="D30" s="208" t="s">
        <v>45</v>
      </c>
      <c r="E30" s="103"/>
      <c r="F30" s="103"/>
      <c r="G30" s="106"/>
      <c r="H30" s="104"/>
      <c r="I30" s="102"/>
      <c r="J30" s="103"/>
      <c r="K30" s="103"/>
      <c r="L30" s="104"/>
      <c r="M30" s="105"/>
      <c r="N30" s="103"/>
      <c r="O30" s="103"/>
      <c r="P30" s="106"/>
      <c r="Q30" s="105"/>
      <c r="R30" s="103"/>
      <c r="S30" s="103"/>
      <c r="T30" s="106"/>
      <c r="U30" s="104"/>
      <c r="V30" s="98"/>
      <c r="W30" s="96"/>
      <c r="X30" s="96"/>
      <c r="Y30" s="97"/>
      <c r="Z30" s="98"/>
      <c r="AA30" s="96"/>
      <c r="AB30" s="96"/>
      <c r="AC30" s="96"/>
      <c r="AD30" s="235">
        <v>10</v>
      </c>
      <c r="AE30" s="236"/>
      <c r="AF30" s="236"/>
      <c r="AG30" s="236"/>
      <c r="AH30" s="237"/>
      <c r="AI30" s="290">
        <v>10</v>
      </c>
      <c r="AJ30" s="236"/>
      <c r="AK30" s="236"/>
      <c r="AL30" s="237"/>
      <c r="AM30" s="290">
        <v>10</v>
      </c>
      <c r="AN30" s="236"/>
      <c r="AO30" s="236"/>
      <c r="AP30" s="236"/>
      <c r="AQ30" s="237"/>
      <c r="AR30" s="290">
        <v>10</v>
      </c>
      <c r="AS30" s="236"/>
      <c r="AT30" s="236"/>
      <c r="AU30" s="237"/>
      <c r="AV30" s="290">
        <v>10</v>
      </c>
      <c r="AW30" s="236"/>
      <c r="AX30" s="236"/>
      <c r="AY30" s="237"/>
      <c r="AZ30" s="290">
        <v>10</v>
      </c>
      <c r="BA30" s="236"/>
      <c r="BB30" s="236"/>
      <c r="BC30" s="236"/>
      <c r="BD30" s="237"/>
      <c r="BE30" s="290">
        <v>10</v>
      </c>
      <c r="BF30" s="236"/>
      <c r="BG30" s="236"/>
      <c r="BH30" s="237"/>
      <c r="BI30" s="290">
        <v>10</v>
      </c>
      <c r="BJ30" s="236"/>
      <c r="BK30" s="236"/>
      <c r="BL30" s="237"/>
      <c r="BM30" s="290">
        <v>10</v>
      </c>
      <c r="BN30" s="236"/>
      <c r="BO30" s="236"/>
      <c r="BP30" s="236"/>
      <c r="BQ30" s="237"/>
      <c r="BR30" s="290">
        <v>10</v>
      </c>
      <c r="BS30" s="236"/>
      <c r="BT30" s="236"/>
      <c r="BU30" s="237"/>
      <c r="BV30" s="290">
        <v>10</v>
      </c>
      <c r="BW30" s="236"/>
      <c r="BX30" s="236"/>
      <c r="BY30" s="237"/>
      <c r="BZ30" s="290">
        <v>10</v>
      </c>
      <c r="CA30" s="236"/>
      <c r="CB30" s="236"/>
      <c r="CC30" s="237"/>
      <c r="CD30" s="198">
        <v>1</v>
      </c>
      <c r="CE30" s="199">
        <f t="shared" si="33"/>
        <v>120</v>
      </c>
      <c r="CF30" s="199">
        <f t="shared" si="31"/>
        <v>120</v>
      </c>
      <c r="CG30" s="190">
        <v>75</v>
      </c>
      <c r="CH30" s="212">
        <f t="shared" si="32"/>
        <v>9000</v>
      </c>
      <c r="CI30" s="240"/>
      <c r="CJ30" s="91"/>
      <c r="CK30" s="91"/>
      <c r="CL30" s="91"/>
      <c r="CM30" s="92"/>
      <c r="CN30" s="92">
        <f t="shared" si="36"/>
        <v>0</v>
      </c>
      <c r="CO30" s="93"/>
      <c r="CP30" s="75"/>
      <c r="CQ30" s="75"/>
      <c r="CR30" s="83"/>
      <c r="CS30" s="84" t="str">
        <f>IFERROR(
IF(SUMIF(ProductCodes,"C",$CI:$CI)=$CI$782,(IF($A30="C",(SUMIF(#REF!,CS$17,#REF!)*$CG30)*((SUMIF(ProductCodes,"C",$CI:$CI)-SUMIF(ProductCodes,"H",$CH:$CH)-SUMIF(ProductCodes,"R",$CH:$CH)-SUMIF(ProductCodes,"B",$CH:$CH)-(SUMIF(ProductCodes,"S",$CH:$CH)/2))/SUMIF(ProductCodes,"C",$CH:$CH)),IF($A30="S",(SUMIF(#REF!,CS$17,#REF!)*$CG30)/2,
IF($A30="B",(SUMIF(#REF!,CS$17,#REF!)*$CG30),
IF($A30="R",(SUMIF(#REF!,CS$17,#REF!)*$CG30),
IF($A30="H",(SUMIF(#REF!,CS$17,#REF!)*$CG30),"")))))),
IF(SUMIF(ProductCodes,"S",$CI:$CI)=$CI$782,(IF($A30="S",(SUMIF(#REF!,CS$17,#REF!)*$CG30)*((SUMIF(ProductCodes,"S",$CI:$CI)-SUMIF(ProductCodes,"H",$CH:$CH)-SUMIF(ProductCodes,"R",$CH:$CH)-SUMIF(ProductCodes,"B",$CH:$CH)-(SUMIF(ProductCodes,"C",$CH:$CH)/4))/SUMIF(ProductCodes,"S",$CH:$CH)),
IF($A30="C",(SUMIF(#REF!,CS$17,#REF!)*$CG30)/4,
IF($A30="B",(SUMIF(#REF!,CS$17,#REF!)*$CG30),
IF($A30="R",(SUMIF(#REF!,CS$17,#REF!)*$CG30),
IF($A30="H",(SUMIF(#REF!,CS$17,#REF!)*$CG30),"")))))),
IF($A30="C",(SUMIF(#REF!,CS$17,#REF!)*$CG30)*(SUMIF(ProductCodes,"C",$CI:$CI)/(SUMIF(ProductCodes,"C",$CH:$CH))),
IF($A30="S",(SUMIF(#REF!,CS$17,#REF!)*$CG30)*(SUMIF(ProductCodes,"S",$CI:$CI)/(SUMIF(ProductCodes,"S",$CH:$CH))),
IF($A30="B",(SUMIF(#REF!,CS$17,#REF!)*$CG30)*(SUMIF(ProductCodes,"B",$CI:$CI)/(SUMIF(ProductCodes,"B",$CH:$CH))),
IF($A30="R",(SUMIF(#REF!,CS$17,#REF!)*$CG30)*(SUMIF(ProductCodes,"R",$CI:$CI)/(SUMIF(ProductCodes,"R",$CH:$CH))),
IF($A30="H",(SUMIF(#REF!,CS$17,#REF!)*$CG30)*(SUMIF(ProductCodes,"H",$CI:$CI)/(SUMIF(ProductCodes,"H",$CH:$CH))),""))))))),"Error")</f>
        <v>Error</v>
      </c>
      <c r="CT30" s="84" t="str">
        <f>IFERROR(
IF(SUMIF(ProductCodes,"C",$CI:$CI)=$CI$782,(IF($A30="C",(SUMIF(#REF!,CT$17,#REF!)*$CG30)*((SUMIF(ProductCodes,"C",$CI:$CI)-SUMIF(ProductCodes,"H",$CH:$CH)-SUMIF(ProductCodes,"R",$CH:$CH)-SUMIF(ProductCodes,"B",$CH:$CH)-(SUMIF(ProductCodes,"S",$CH:$CH)/2))/SUMIF(ProductCodes,"C",$CH:$CH)),IF($A30="S",(SUMIF(#REF!,CT$17,#REF!)*$CG30)/2,
IF($A30="B",(SUMIF(#REF!,CT$17,#REF!)*$CG30),
IF($A30="R",(SUMIF(#REF!,CT$17,#REF!)*$CG30),
IF($A30="H",(SUMIF(#REF!,CT$17,#REF!)*$CG30),"")))))),
IF(SUMIF(ProductCodes,"S",$CI:$CI)=$CI$782,(IF($A30="S",(SUMIF(#REF!,CT$17,#REF!)*$CG30)*((SUMIF(ProductCodes,"S",$CI:$CI)-SUMIF(ProductCodes,"H",$CH:$CH)-SUMIF(ProductCodes,"R",$CH:$CH)-SUMIF(ProductCodes,"B",$CH:$CH)-(SUMIF(ProductCodes,"C",$CH:$CH)/4))/SUMIF(ProductCodes,"S",$CH:$CH)),
IF($A30="C",(SUMIF(#REF!,CT$17,#REF!)*$CG30)/4,
IF($A30="B",(SUMIF(#REF!,CT$17,#REF!)*$CG30),
IF($A30="R",(SUMIF(#REF!,CT$17,#REF!)*$CG30),
IF($A30="H",(SUMIF(#REF!,CT$17,#REF!)*$CG30),"")))))),
IF($A30="C",(SUMIF(#REF!,CT$17,#REF!)*$CG30)*(SUMIF(ProductCodes,"C",$CI:$CI)/(SUMIF(ProductCodes,"C",$CH:$CH))),
IF($A30="S",(SUMIF(#REF!,CT$17,#REF!)*$CG30)*(SUMIF(ProductCodes,"S",$CI:$CI)/(SUMIF(ProductCodes,"S",$CH:$CH))),
IF($A30="B",(SUMIF(#REF!,CT$17,#REF!)*$CG30)*(SUMIF(ProductCodes,"B",$CI:$CI)/(SUMIF(ProductCodes,"B",$CH:$CH))),
IF($A30="R",(SUMIF(#REF!,CT$17,#REF!)*$CG30)*(SUMIF(ProductCodes,"R",$CI:$CI)/(SUMIF(ProductCodes,"R",$CH:$CH))),
IF($A30="H",(SUMIF(#REF!,CT$17,#REF!)*$CG30)*(SUMIF(ProductCodes,"H",$CI:$CI)/(SUMIF(ProductCodes,"H",$CH:$CH))),""))))))),"Error")</f>
        <v>Error</v>
      </c>
      <c r="CU30" s="84" t="str">
        <f>IFERROR(
IF(SUMIF(ProductCodes,"C",$CI:$CI)=$CI$782,(IF($A30="C",(SUMIF(#REF!,CU$17,#REF!)*$CG30)*((SUMIF(ProductCodes,"C",$CI:$CI)-SUMIF(ProductCodes,"H",$CH:$CH)-SUMIF(ProductCodes,"R",$CH:$CH)-SUMIF(ProductCodes,"B",$CH:$CH)-(SUMIF(ProductCodes,"S",$CH:$CH)/2))/SUMIF(ProductCodes,"C",$CH:$CH)),IF($A30="S",(SUMIF(#REF!,CU$17,#REF!)*$CG30)/2,
IF($A30="B",(SUMIF(#REF!,CU$17,#REF!)*$CG30),
IF($A30="R",(SUMIF(#REF!,CU$17,#REF!)*$CG30),
IF($A30="H",(SUMIF(#REF!,CU$17,#REF!)*$CG30),"")))))),
IF(SUMIF(ProductCodes,"S",$CI:$CI)=$CI$782,(IF($A30="S",(SUMIF(#REF!,CU$17,#REF!)*$CG30)*((SUMIF(ProductCodes,"S",$CI:$CI)-SUMIF(ProductCodes,"H",$CH:$CH)-SUMIF(ProductCodes,"R",$CH:$CH)-SUMIF(ProductCodes,"B",$CH:$CH)-(SUMIF(ProductCodes,"C",$CH:$CH)/4))/SUMIF(ProductCodes,"S",$CH:$CH)),
IF($A30="C",(SUMIF(#REF!,CU$17,#REF!)*$CG30)/4,
IF($A30="B",(SUMIF(#REF!,CU$17,#REF!)*$CG30),
IF($A30="R",(SUMIF(#REF!,CU$17,#REF!)*$CG30),
IF($A30="H",(SUMIF(#REF!,CU$17,#REF!)*$CG30),"")))))),
IF($A30="C",(SUMIF(#REF!,CU$17,#REF!)*$CG30)*(SUMIF(ProductCodes,"C",$CI:$CI)/(SUMIF(ProductCodes,"C",$CH:$CH))),
IF($A30="S",(SUMIF(#REF!,CU$17,#REF!)*$CG30)*(SUMIF(ProductCodes,"S",$CI:$CI)/(SUMIF(ProductCodes,"S",$CH:$CH))),
IF($A30="B",(SUMIF(#REF!,CU$17,#REF!)*$CG30)*(SUMIF(ProductCodes,"B",$CI:$CI)/(SUMIF(ProductCodes,"B",$CH:$CH))),
IF($A30="R",(SUMIF(#REF!,CU$17,#REF!)*$CG30)*(SUMIF(ProductCodes,"R",$CI:$CI)/(SUMIF(ProductCodes,"R",$CH:$CH))),
IF($A30="H",(SUMIF(#REF!,CU$17,#REF!)*$CG30)*(SUMIF(ProductCodes,"H",$CI:$CI)/(SUMIF(ProductCodes,"H",$CH:$CH))),""))))))),"Error")</f>
        <v>Error</v>
      </c>
      <c r="CV30" s="84" t="str">
        <f>IFERROR(
IF(SUMIF(ProductCodes,"C",$CI:$CI)=$CI$782,(IF($A30="C",(SUMIF(#REF!,CV$17,#REF!)*$CG30)*((SUMIF(ProductCodes,"C",$CI:$CI)-SUMIF(ProductCodes,"H",$CH:$CH)-SUMIF(ProductCodes,"R",$CH:$CH)-SUMIF(ProductCodes,"B",$CH:$CH)-(SUMIF(ProductCodes,"S",$CH:$CH)/2))/SUMIF(ProductCodes,"C",$CH:$CH)),IF($A30="S",(SUMIF(#REF!,CV$17,#REF!)*$CG30)/2,
IF($A30="B",(SUMIF(#REF!,CV$17,#REF!)*$CG30),
IF($A30="R",(SUMIF(#REF!,CV$17,#REF!)*$CG30),
IF($A30="H",(SUMIF(#REF!,CV$17,#REF!)*$CG30),"")))))),
IF(SUMIF(ProductCodes,"S",$CI:$CI)=$CI$782,(IF($A30="S",(SUMIF(#REF!,CV$17,#REF!)*$CG30)*((SUMIF(ProductCodes,"S",$CI:$CI)-SUMIF(ProductCodes,"H",$CH:$CH)-SUMIF(ProductCodes,"R",$CH:$CH)-SUMIF(ProductCodes,"B",$CH:$CH)-(SUMIF(ProductCodes,"C",$CH:$CH)/4))/SUMIF(ProductCodes,"S",$CH:$CH)),
IF($A30="C",(SUMIF(#REF!,CV$17,#REF!)*$CG30)/4,
IF($A30="B",(SUMIF(#REF!,CV$17,#REF!)*$CG30),
IF($A30="R",(SUMIF(#REF!,CV$17,#REF!)*$CG30),
IF($A30="H",(SUMIF(#REF!,CV$17,#REF!)*$CG30),"")))))),
IF($A30="C",(SUMIF(#REF!,CV$17,#REF!)*$CG30)*(SUMIF(ProductCodes,"C",$CI:$CI)/(SUMIF(ProductCodes,"C",$CH:$CH))),
IF($A30="S",(SUMIF(#REF!,CV$17,#REF!)*$CG30)*(SUMIF(ProductCodes,"S",$CI:$CI)/(SUMIF(ProductCodes,"S",$CH:$CH))),
IF($A30="B",(SUMIF(#REF!,CV$17,#REF!)*$CG30)*(SUMIF(ProductCodes,"B",$CI:$CI)/(SUMIF(ProductCodes,"B",$CH:$CH))),
IF($A30="R",(SUMIF(#REF!,CV$17,#REF!)*$CG30)*(SUMIF(ProductCodes,"R",$CI:$CI)/(SUMIF(ProductCodes,"R",$CH:$CH))),
IF($A30="H",(SUMIF(#REF!,CV$17,#REF!)*$CG30)*(SUMIF(ProductCodes,"H",$CI:$CI)/(SUMIF(ProductCodes,"H",$CH:$CH))),""))))))),"Error")</f>
        <v>Error</v>
      </c>
      <c r="CW30" s="84" t="str">
        <f>IFERROR(
IF(SUMIF(ProductCodes,"C",$CI:$CI)=$CI$782,(IF($A30="C",(SUMIF(#REF!,CW$17,#REF!)*$CG30)*((SUMIF(ProductCodes,"C",$CI:$CI)-SUMIF(ProductCodes,"H",$CH:$CH)-SUMIF(ProductCodes,"R",$CH:$CH)-SUMIF(ProductCodes,"B",$CH:$CH)-(SUMIF(ProductCodes,"S",$CH:$CH)/2))/SUMIF(ProductCodes,"C",$CH:$CH)),IF($A30="S",(SUMIF(#REF!,CW$17,#REF!)*$CG30)/2,
IF($A30="B",(SUMIF(#REF!,CW$17,#REF!)*$CG30),
IF($A30="R",(SUMIF(#REF!,CW$17,#REF!)*$CG30),
IF($A30="H",(SUMIF(#REF!,CW$17,#REF!)*$CG30),"")))))),
IF(SUMIF(ProductCodes,"S",$CI:$CI)=$CI$782,(IF($A30="S",(SUMIF(#REF!,CW$17,#REF!)*$CG30)*((SUMIF(ProductCodes,"S",$CI:$CI)-SUMIF(ProductCodes,"H",$CH:$CH)-SUMIF(ProductCodes,"R",$CH:$CH)-SUMIF(ProductCodes,"B",$CH:$CH)-(SUMIF(ProductCodes,"C",$CH:$CH)/4))/SUMIF(ProductCodes,"S",$CH:$CH)),
IF($A30="C",(SUMIF(#REF!,CW$17,#REF!)*$CG30)/4,
IF($A30="B",(SUMIF(#REF!,CW$17,#REF!)*$CG30),
IF($A30="R",(SUMIF(#REF!,CW$17,#REF!)*$CG30),
IF($A30="H",(SUMIF(#REF!,CW$17,#REF!)*$CG30),"")))))),
IF($A30="C",(SUMIF(#REF!,CW$17,#REF!)*$CG30)*(SUMIF(ProductCodes,"C",$CI:$CI)/(SUMIF(ProductCodes,"C",$CH:$CH))),
IF($A30="S",(SUMIF(#REF!,CW$17,#REF!)*$CG30)*(SUMIF(ProductCodes,"S",$CI:$CI)/(SUMIF(ProductCodes,"S",$CH:$CH))),
IF($A30="B",(SUMIF(#REF!,CW$17,#REF!)*$CG30)*(SUMIF(ProductCodes,"B",$CI:$CI)/(SUMIF(ProductCodes,"B",$CH:$CH))),
IF($A30="R",(SUMIF(#REF!,CW$17,#REF!)*$CG30)*(SUMIF(ProductCodes,"R",$CI:$CI)/(SUMIF(ProductCodes,"R",$CH:$CH))),
IF($A30="H",(SUMIF(#REF!,CW$17,#REF!)*$CG30)*(SUMIF(ProductCodes,"H",$CI:$CI)/(SUMIF(ProductCodes,"H",$CH:$CH))),""))))))),"Error")</f>
        <v>Error</v>
      </c>
      <c r="CX30" s="84" t="str">
        <f>IFERROR(
IF(SUMIF(ProductCodes,"C",$CI:$CI)=$CI$782,(IF($A30="C",(SUMIF(#REF!,CX$17,#REF!)*$CG30)*((SUMIF(ProductCodes,"C",$CI:$CI)-SUMIF(ProductCodes,"H",$CH:$CH)-SUMIF(ProductCodes,"R",$CH:$CH)-SUMIF(ProductCodes,"B",$CH:$CH)-(SUMIF(ProductCodes,"S",$CH:$CH)/2))/SUMIF(ProductCodes,"C",$CH:$CH)),IF($A30="S",(SUMIF(#REF!,CX$17,#REF!)*$CG30)/2,
IF($A30="B",(SUMIF(#REF!,CX$17,#REF!)*$CG30),
IF($A30="R",(SUMIF(#REF!,CX$17,#REF!)*$CG30),
IF($A30="H",(SUMIF(#REF!,CX$17,#REF!)*$CG30),"")))))),
IF(SUMIF(ProductCodes,"S",$CI:$CI)=$CI$782,(IF($A30="S",(SUMIF(#REF!,CX$17,#REF!)*$CG30)*((SUMIF(ProductCodes,"S",$CI:$CI)-SUMIF(ProductCodes,"H",$CH:$CH)-SUMIF(ProductCodes,"R",$CH:$CH)-SUMIF(ProductCodes,"B",$CH:$CH)-(SUMIF(ProductCodes,"C",$CH:$CH)/4))/SUMIF(ProductCodes,"S",$CH:$CH)),
IF($A30="C",(SUMIF(#REF!,CX$17,#REF!)*$CG30)/4,
IF($A30="B",(SUMIF(#REF!,CX$17,#REF!)*$CG30),
IF($A30="R",(SUMIF(#REF!,CX$17,#REF!)*$CG30),
IF($A30="H",(SUMIF(#REF!,CX$17,#REF!)*$CG30),"")))))),
IF($A30="C",(SUMIF(#REF!,CX$17,#REF!)*$CG30)*(SUMIF(ProductCodes,"C",$CI:$CI)/(SUMIF(ProductCodes,"C",$CH:$CH))),
IF($A30="S",(SUMIF(#REF!,CX$17,#REF!)*$CG30)*(SUMIF(ProductCodes,"S",$CI:$CI)/(SUMIF(ProductCodes,"S",$CH:$CH))),
IF($A30="B",(SUMIF(#REF!,CX$17,#REF!)*$CG30)*(SUMIF(ProductCodes,"B",$CI:$CI)/(SUMIF(ProductCodes,"B",$CH:$CH))),
IF($A30="R",(SUMIF(#REF!,CX$17,#REF!)*$CG30)*(SUMIF(ProductCodes,"R",$CI:$CI)/(SUMIF(ProductCodes,"R",$CH:$CH))),
IF($A30="H",(SUMIF(#REF!,CX$17,#REF!)*$CG30)*(SUMIF(ProductCodes,"H",$CI:$CI)/(SUMIF(ProductCodes,"H",$CH:$CH))),""))))))),"Error")</f>
        <v>Error</v>
      </c>
      <c r="CY30" s="84" t="str">
        <f>IFERROR(
IF(SUMIF(ProductCodes,"C",$CI:$CI)=$CI$782,(IF($A30="C",(SUMIF(#REF!,CY$17,#REF!)*$CG30)*((SUMIF(ProductCodes,"C",$CI:$CI)-SUMIF(ProductCodes,"H",$CH:$CH)-SUMIF(ProductCodes,"R",$CH:$CH)-SUMIF(ProductCodes,"B",$CH:$CH)-(SUMIF(ProductCodes,"S",$CH:$CH)/2))/SUMIF(ProductCodes,"C",$CH:$CH)),IF($A30="S",(SUMIF(#REF!,CY$17,#REF!)*$CG30)/2,
IF($A30="B",(SUMIF(#REF!,CY$17,#REF!)*$CG30),
IF($A30="R",(SUMIF(#REF!,CY$17,#REF!)*$CG30),
IF($A30="H",(SUMIF(#REF!,CY$17,#REF!)*$CG30),"")))))),
IF(SUMIF(ProductCodes,"S",$CI:$CI)=$CI$782,(IF($A30="S",(SUMIF(#REF!,CY$17,#REF!)*$CG30)*((SUMIF(ProductCodes,"S",$CI:$CI)-SUMIF(ProductCodes,"H",$CH:$CH)-SUMIF(ProductCodes,"R",$CH:$CH)-SUMIF(ProductCodes,"B",$CH:$CH)-(SUMIF(ProductCodes,"C",$CH:$CH)/4))/SUMIF(ProductCodes,"S",$CH:$CH)),
IF($A30="C",(SUMIF(#REF!,CY$17,#REF!)*$CG30)/4,
IF($A30="B",(SUMIF(#REF!,CY$17,#REF!)*$CG30),
IF($A30="R",(SUMIF(#REF!,CY$17,#REF!)*$CG30),
IF($A30="H",(SUMIF(#REF!,CY$17,#REF!)*$CG30),"")))))),
IF($A30="C",(SUMIF(#REF!,CY$17,#REF!)*$CG30)*(SUMIF(ProductCodes,"C",$CI:$CI)/(SUMIF(ProductCodes,"C",$CH:$CH))),
IF($A30="S",(SUMIF(#REF!,CY$17,#REF!)*$CG30)*(SUMIF(ProductCodes,"S",$CI:$CI)/(SUMIF(ProductCodes,"S",$CH:$CH))),
IF($A30="B",(SUMIF(#REF!,CY$17,#REF!)*$CG30)*(SUMIF(ProductCodes,"B",$CI:$CI)/(SUMIF(ProductCodes,"B",$CH:$CH))),
IF($A30="R",(SUMIF(#REF!,CY$17,#REF!)*$CG30)*(SUMIF(ProductCodes,"R",$CI:$CI)/(SUMIF(ProductCodes,"R",$CH:$CH))),
IF($A30="H",(SUMIF(#REF!,CY$17,#REF!)*$CG30)*(SUMIF(ProductCodes,"H",$CI:$CI)/(SUMIF(ProductCodes,"H",$CH:$CH))),""))))))),"Error")</f>
        <v>Error</v>
      </c>
      <c r="CZ30" s="84" t="str">
        <f>IFERROR(
IF(SUMIF(ProductCodes,"C",$CI:$CI)=$CI$782,(IF($A30="C",(SUMIF(#REF!,CZ$17,#REF!)*$CG30)*((SUMIF(ProductCodes,"C",$CI:$CI)-SUMIF(ProductCodes,"H",$CH:$CH)-SUMIF(ProductCodes,"R",$CH:$CH)-SUMIF(ProductCodes,"B",$CH:$CH)-(SUMIF(ProductCodes,"S",$CH:$CH)/2))/SUMIF(ProductCodes,"C",$CH:$CH)),IF($A30="S",(SUMIF(#REF!,CZ$17,#REF!)*$CG30)/2,
IF($A30="B",(SUMIF(#REF!,CZ$17,#REF!)*$CG30),
IF($A30="R",(SUMIF(#REF!,CZ$17,#REF!)*$CG30),
IF($A30="H",(SUMIF(#REF!,CZ$17,#REF!)*$CG30),"")))))),
IF(SUMIF(ProductCodes,"S",$CI:$CI)=$CI$782,(IF($A30="S",(SUMIF(#REF!,CZ$17,#REF!)*$CG30)*((SUMIF(ProductCodes,"S",$CI:$CI)-SUMIF(ProductCodes,"H",$CH:$CH)-SUMIF(ProductCodes,"R",$CH:$CH)-SUMIF(ProductCodes,"B",$CH:$CH)-(SUMIF(ProductCodes,"C",$CH:$CH)/4))/SUMIF(ProductCodes,"S",$CH:$CH)),
IF($A30="C",(SUMIF(#REF!,CZ$17,#REF!)*$CG30)/4,
IF($A30="B",(SUMIF(#REF!,CZ$17,#REF!)*$CG30),
IF($A30="R",(SUMIF(#REF!,CZ$17,#REF!)*$CG30),
IF($A30="H",(SUMIF(#REF!,CZ$17,#REF!)*$CG30),"")))))),
IF($A30="C",(SUMIF(#REF!,CZ$17,#REF!)*$CG30)*(SUMIF(ProductCodes,"C",$CI:$CI)/(SUMIF(ProductCodes,"C",$CH:$CH))),
IF($A30="S",(SUMIF(#REF!,CZ$17,#REF!)*$CG30)*(SUMIF(ProductCodes,"S",$CI:$CI)/(SUMIF(ProductCodes,"S",$CH:$CH))),
IF($A30="B",(SUMIF(#REF!,CZ$17,#REF!)*$CG30)*(SUMIF(ProductCodes,"B",$CI:$CI)/(SUMIF(ProductCodes,"B",$CH:$CH))),
IF($A30="R",(SUMIF(#REF!,CZ$17,#REF!)*$CG30)*(SUMIF(ProductCodes,"R",$CI:$CI)/(SUMIF(ProductCodes,"R",$CH:$CH))),
IF($A30="H",(SUMIF(#REF!,CZ$17,#REF!)*$CG30)*(SUMIF(ProductCodes,"H",$CI:$CI)/(SUMIF(ProductCodes,"H",$CH:$CH))),""))))))),"Error")</f>
        <v>Error</v>
      </c>
      <c r="DA30" s="84" t="str">
        <f>IFERROR(
IF(SUMIF(ProductCodes,"C",$CI:$CI)=$CI$782,(IF($A30="C",(SUMIF(#REF!,DA$17,#REF!)*$CG30)*((SUMIF(ProductCodes,"C",$CI:$CI)-SUMIF(ProductCodes,"H",$CH:$CH)-SUMIF(ProductCodes,"R",$CH:$CH)-SUMIF(ProductCodes,"B",$CH:$CH)-(SUMIF(ProductCodes,"S",$CH:$CH)/2))/SUMIF(ProductCodes,"C",$CH:$CH)),IF($A30="S",(SUMIF(#REF!,DA$17,#REF!)*$CG30)/2,
IF($A30="B",(SUMIF(#REF!,DA$17,#REF!)*$CG30),
IF($A30="R",(SUMIF(#REF!,DA$17,#REF!)*$CG30),
IF($A30="H",(SUMIF(#REF!,DA$17,#REF!)*$CG30),"")))))),
IF(SUMIF(ProductCodes,"S",$CI:$CI)=$CI$782,(IF($A30="S",(SUMIF(#REF!,DA$17,#REF!)*$CG30)*((SUMIF(ProductCodes,"S",$CI:$CI)-SUMIF(ProductCodes,"H",$CH:$CH)-SUMIF(ProductCodes,"R",$CH:$CH)-SUMIF(ProductCodes,"B",$CH:$CH)-(SUMIF(ProductCodes,"C",$CH:$CH)/4))/SUMIF(ProductCodes,"S",$CH:$CH)),
IF($A30="C",(SUMIF(#REF!,DA$17,#REF!)*$CG30)/4,
IF($A30="B",(SUMIF(#REF!,DA$17,#REF!)*$CG30),
IF($A30="R",(SUMIF(#REF!,DA$17,#REF!)*$CG30),
IF($A30="H",(SUMIF(#REF!,DA$17,#REF!)*$CG30),"")))))),
IF($A30="C",(SUMIF(#REF!,DA$17,#REF!)*$CG30)*(SUMIF(ProductCodes,"C",$CI:$CI)/(SUMIF(ProductCodes,"C",$CH:$CH))),
IF($A30="S",(SUMIF(#REF!,DA$17,#REF!)*$CG30)*(SUMIF(ProductCodes,"S",$CI:$CI)/(SUMIF(ProductCodes,"S",$CH:$CH))),
IF($A30="B",(SUMIF(#REF!,DA$17,#REF!)*$CG30)*(SUMIF(ProductCodes,"B",$CI:$CI)/(SUMIF(ProductCodes,"B",$CH:$CH))),
IF($A30="R",(SUMIF(#REF!,DA$17,#REF!)*$CG30)*(SUMIF(ProductCodes,"R",$CI:$CI)/(SUMIF(ProductCodes,"R",$CH:$CH))),
IF($A30="H",(SUMIF(#REF!,DA$17,#REF!)*$CG30)*(SUMIF(ProductCodes,"H",$CI:$CI)/(SUMIF(ProductCodes,"H",$CH:$CH))),""))))))),"Error")</f>
        <v>Error</v>
      </c>
      <c r="DB30" s="84" t="str">
        <f>IFERROR(
IF(SUMIF(ProductCodes,"C",$CI:$CI)=$CI$782,(IF($A30="C",(SUMIF(#REF!,DB$17,#REF!)*$CG30)*((SUMIF(ProductCodes,"C",$CI:$CI)-SUMIF(ProductCodes,"H",$CH:$CH)-SUMIF(ProductCodes,"R",$CH:$CH)-SUMIF(ProductCodes,"B",$CH:$CH)-(SUMIF(ProductCodes,"S",$CH:$CH)/2))/SUMIF(ProductCodes,"C",$CH:$CH)),IF($A30="S",(SUMIF(#REF!,DB$17,#REF!)*$CG30)/2,
IF($A30="B",(SUMIF(#REF!,DB$17,#REF!)*$CG30),
IF($A30="R",(SUMIF(#REF!,DB$17,#REF!)*$CG30),
IF($A30="H",(SUMIF(#REF!,DB$17,#REF!)*$CG30),"")))))),
IF(SUMIF(ProductCodes,"S",$CI:$CI)=$CI$782,(IF($A30="S",(SUMIF(#REF!,DB$17,#REF!)*$CG30)*((SUMIF(ProductCodes,"S",$CI:$CI)-SUMIF(ProductCodes,"H",$CH:$CH)-SUMIF(ProductCodes,"R",$CH:$CH)-SUMIF(ProductCodes,"B",$CH:$CH)-(SUMIF(ProductCodes,"C",$CH:$CH)/4))/SUMIF(ProductCodes,"S",$CH:$CH)),
IF($A30="C",(SUMIF(#REF!,DB$17,#REF!)*$CG30)/4,
IF($A30="B",(SUMIF(#REF!,DB$17,#REF!)*$CG30),
IF($A30="R",(SUMIF(#REF!,DB$17,#REF!)*$CG30),
IF($A30="H",(SUMIF(#REF!,DB$17,#REF!)*$CG30),"")))))),
IF($A30="C",(SUMIF(#REF!,DB$17,#REF!)*$CG30)*(SUMIF(ProductCodes,"C",$CI:$CI)/(SUMIF(ProductCodes,"C",$CH:$CH))),
IF($A30="S",(SUMIF(#REF!,DB$17,#REF!)*$CG30)*(SUMIF(ProductCodes,"S",$CI:$CI)/(SUMIF(ProductCodes,"S",$CH:$CH))),
IF($A30="B",(SUMIF(#REF!,DB$17,#REF!)*$CG30)*(SUMIF(ProductCodes,"B",$CI:$CI)/(SUMIF(ProductCodes,"B",$CH:$CH))),
IF($A30="R",(SUMIF(#REF!,DB$17,#REF!)*$CG30)*(SUMIF(ProductCodes,"R",$CI:$CI)/(SUMIF(ProductCodes,"R",$CH:$CH))),
IF($A30="H",(SUMIF(#REF!,DB$17,#REF!)*$CG30)*(SUMIF(ProductCodes,"H",$CI:$CI)/(SUMIF(ProductCodes,"H",$CH:$CH))),""))))))),"Error")</f>
        <v>Error</v>
      </c>
      <c r="DC30" s="84" t="str">
        <f>IFERROR(
IF(SUMIF(ProductCodes,"C",$CI:$CI)=$CI$782,(IF($A30="C",(SUMIF(#REF!,DC$17,#REF!)*$CG30)*((SUMIF(ProductCodes,"C",$CI:$CI)-SUMIF(ProductCodes,"H",$CH:$CH)-SUMIF(ProductCodes,"R",$CH:$CH)-SUMIF(ProductCodes,"B",$CH:$CH)-(SUMIF(ProductCodes,"S",$CH:$CH)/2))/SUMIF(ProductCodes,"C",$CH:$CH)),IF($A30="S",(SUMIF(#REF!,DC$17,#REF!)*$CG30)/2,
IF($A30="B",(SUMIF(#REF!,DC$17,#REF!)*$CG30),
IF($A30="R",(SUMIF(#REF!,DC$17,#REF!)*$CG30),
IF($A30="H",(SUMIF(#REF!,DC$17,#REF!)*$CG30),"")))))),
IF(SUMIF(ProductCodes,"S",$CI:$CI)=$CI$782,(IF($A30="S",(SUMIF(#REF!,DC$17,#REF!)*$CG30)*((SUMIF(ProductCodes,"S",$CI:$CI)-SUMIF(ProductCodes,"H",$CH:$CH)-SUMIF(ProductCodes,"R",$CH:$CH)-SUMIF(ProductCodes,"B",$CH:$CH)-(SUMIF(ProductCodes,"C",$CH:$CH)/4))/SUMIF(ProductCodes,"S",$CH:$CH)),
IF($A30="C",(SUMIF(#REF!,DC$17,#REF!)*$CG30)/4,
IF($A30="B",(SUMIF(#REF!,DC$17,#REF!)*$CG30),
IF($A30="R",(SUMIF(#REF!,DC$17,#REF!)*$CG30),
IF($A30="H",(SUMIF(#REF!,DC$17,#REF!)*$CG30),"")))))),
IF($A30="C",(SUMIF(#REF!,DC$17,#REF!)*$CG30)*(SUMIF(ProductCodes,"C",$CI:$CI)/(SUMIF(ProductCodes,"C",$CH:$CH))),
IF($A30="S",(SUMIF(#REF!,DC$17,#REF!)*$CG30)*(SUMIF(ProductCodes,"S",$CI:$CI)/(SUMIF(ProductCodes,"S",$CH:$CH))),
IF($A30="B",(SUMIF(#REF!,DC$17,#REF!)*$CG30)*(SUMIF(ProductCodes,"B",$CI:$CI)/(SUMIF(ProductCodes,"B",$CH:$CH))),
IF($A30="R",(SUMIF(#REF!,DC$17,#REF!)*$CG30)*(SUMIF(ProductCodes,"R",$CI:$CI)/(SUMIF(ProductCodes,"R",$CH:$CH))),
IF($A30="H",(SUMIF(#REF!,DC$17,#REF!)*$CG30)*(SUMIF(ProductCodes,"H",$CI:$CI)/(SUMIF(ProductCodes,"H",$CH:$CH))),""))))))),"Error")</f>
        <v>Error</v>
      </c>
      <c r="DD30" s="84" t="str">
        <f>IFERROR(
IF(SUMIF(ProductCodes,"C",$CI:$CI)=$CI$782,(IF($A30="C",(SUMIF(#REF!,DD$17,#REF!)*$CG30)*((SUMIF(ProductCodes,"C",$CI:$CI)-SUMIF(ProductCodes,"H",$CH:$CH)-SUMIF(ProductCodes,"R",$CH:$CH)-SUMIF(ProductCodes,"B",$CH:$CH)-(SUMIF(ProductCodes,"S",$CH:$CH)/2))/SUMIF(ProductCodes,"C",$CH:$CH)),IF($A30="S",(SUMIF(#REF!,DD$17,#REF!)*$CG30)/2,
IF($A30="B",(SUMIF(#REF!,DD$17,#REF!)*$CG30),
IF($A30="R",(SUMIF(#REF!,DD$17,#REF!)*$CG30),
IF($A30="H",(SUMIF(#REF!,DD$17,#REF!)*$CG30),"")))))),
IF(SUMIF(ProductCodes,"S",$CI:$CI)=$CI$782,(IF($A30="S",(SUMIF(#REF!,DD$17,#REF!)*$CG30)*((SUMIF(ProductCodes,"S",$CI:$CI)-SUMIF(ProductCodes,"H",$CH:$CH)-SUMIF(ProductCodes,"R",$CH:$CH)-SUMIF(ProductCodes,"B",$CH:$CH)-(SUMIF(ProductCodes,"C",$CH:$CH)/4))/SUMIF(ProductCodes,"S",$CH:$CH)),
IF($A30="C",(SUMIF(#REF!,DD$17,#REF!)*$CG30)/4,
IF($A30="B",(SUMIF(#REF!,DD$17,#REF!)*$CG30),
IF($A30="R",(SUMIF(#REF!,DD$17,#REF!)*$CG30),
IF($A30="H",(SUMIF(#REF!,DD$17,#REF!)*$CG30),"")))))),
IF($A30="C",(SUMIF(#REF!,DD$17,#REF!)*$CG30)*(SUMIF(ProductCodes,"C",$CI:$CI)/(SUMIF(ProductCodes,"C",$CH:$CH))),
IF($A30="S",(SUMIF(#REF!,DD$17,#REF!)*$CG30)*(SUMIF(ProductCodes,"S",$CI:$CI)/(SUMIF(ProductCodes,"S",$CH:$CH))),
IF($A30="B",(SUMIF(#REF!,DD$17,#REF!)*$CG30)*(SUMIF(ProductCodes,"B",$CI:$CI)/(SUMIF(ProductCodes,"B",$CH:$CH))),
IF($A30="R",(SUMIF(#REF!,DD$17,#REF!)*$CG30)*(SUMIF(ProductCodes,"R",$CI:$CI)/(SUMIF(ProductCodes,"R",$CH:$CH))),
IF($A30="H",(SUMIF(#REF!,DD$17,#REF!)*$CG30)*(SUMIF(ProductCodes,"H",$CI:$CI)/(SUMIF(ProductCodes,"H",$CH:$CH))),""))))))),"Error")</f>
        <v>Error</v>
      </c>
      <c r="DE30" s="84" t="str">
        <f>IFERROR(
IF(SUMIF(ProductCodes,"C",$CI:$CI)=$CI$782,(IF($A30="C",(SUMIF(#REF!,DE$17,#REF!)*$CG30)*((SUMIF(ProductCodes,"C",$CI:$CI)-SUMIF(ProductCodes,"H",$CH:$CH)-SUMIF(ProductCodes,"R",$CH:$CH)-SUMIF(ProductCodes,"B",$CH:$CH)-(SUMIF(ProductCodes,"S",$CH:$CH)/2))/SUMIF(ProductCodes,"C",$CH:$CH)),IF($A30="S",(SUMIF(#REF!,DE$17,#REF!)*$CG30)/2,
IF($A30="B",(SUMIF(#REF!,DE$17,#REF!)*$CG30),
IF($A30="R",(SUMIF(#REF!,DE$17,#REF!)*$CG30),
IF($A30="H",(SUMIF(#REF!,DE$17,#REF!)*$CG30),"")))))),
IF(SUMIF(ProductCodes,"S",$CI:$CI)=$CI$782,(IF($A30="S",(SUMIF(#REF!,DE$17,#REF!)*$CG30)*((SUMIF(ProductCodes,"S",$CI:$CI)-SUMIF(ProductCodes,"H",$CH:$CH)-SUMIF(ProductCodes,"R",$CH:$CH)-SUMIF(ProductCodes,"B",$CH:$CH)-(SUMIF(ProductCodes,"C",$CH:$CH)/4))/SUMIF(ProductCodes,"S",$CH:$CH)),
IF($A30="C",(SUMIF(#REF!,DE$17,#REF!)*$CG30)/4,
IF($A30="B",(SUMIF(#REF!,DE$17,#REF!)*$CG30),
IF($A30="R",(SUMIF(#REF!,DE$17,#REF!)*$CG30),
IF($A30="H",(SUMIF(#REF!,DE$17,#REF!)*$CG30),"")))))),
IF($A30="C",(SUMIF(#REF!,DE$17,#REF!)*$CG30)*(SUMIF(ProductCodes,"C",$CI:$CI)/(SUMIF(ProductCodes,"C",$CH:$CH))),
IF($A30="S",(SUMIF(#REF!,DE$17,#REF!)*$CG30)*(SUMIF(ProductCodes,"S",$CI:$CI)/(SUMIF(ProductCodes,"S",$CH:$CH))),
IF($A30="B",(SUMIF(#REF!,DE$17,#REF!)*$CG30)*(SUMIF(ProductCodes,"B",$CI:$CI)/(SUMIF(ProductCodes,"B",$CH:$CH))),
IF($A30="R",(SUMIF(#REF!,DE$17,#REF!)*$CG30)*(SUMIF(ProductCodes,"R",$CI:$CI)/(SUMIF(ProductCodes,"R",$CH:$CH))),
IF($A30="H",(SUMIF(#REF!,DE$17,#REF!)*$CG30)*(SUMIF(ProductCodes,"H",$CI:$CI)/(SUMIF(ProductCodes,"H",$CH:$CH))),""))))))),"Error")</f>
        <v>Error</v>
      </c>
      <c r="DF30" s="84" t="str">
        <f>IFERROR(
IF(SUMIF(ProductCodes,"C",$CI:$CI)=$CI$782,(IF($A30="C",(SUMIF(#REF!,DF$17,#REF!)*$CG30)*((SUMIF(ProductCodes,"C",$CI:$CI)-SUMIF(ProductCodes,"H",$CH:$CH)-SUMIF(ProductCodes,"R",$CH:$CH)-SUMIF(ProductCodes,"B",$CH:$CH)-(SUMIF(ProductCodes,"S",$CH:$CH)/2))/SUMIF(ProductCodes,"C",$CH:$CH)),IF($A30="S",(SUMIF(#REF!,DF$17,#REF!)*$CG30)/2,
IF($A30="B",(SUMIF(#REF!,DF$17,#REF!)*$CG30),
IF($A30="R",(SUMIF(#REF!,DF$17,#REF!)*$CG30),
IF($A30="H",(SUMIF(#REF!,DF$17,#REF!)*$CG30),"")))))),
IF(SUMIF(ProductCodes,"S",$CI:$CI)=$CI$782,(IF($A30="S",(SUMIF(#REF!,DF$17,#REF!)*$CG30)*((SUMIF(ProductCodes,"S",$CI:$CI)-SUMIF(ProductCodes,"H",$CH:$CH)-SUMIF(ProductCodes,"R",$CH:$CH)-SUMIF(ProductCodes,"B",$CH:$CH)-(SUMIF(ProductCodes,"C",$CH:$CH)/4))/SUMIF(ProductCodes,"S",$CH:$CH)),
IF($A30="C",(SUMIF(#REF!,DF$17,#REF!)*$CG30)/4,
IF($A30="B",(SUMIF(#REF!,DF$17,#REF!)*$CG30),
IF($A30="R",(SUMIF(#REF!,DF$17,#REF!)*$CG30),
IF($A30="H",(SUMIF(#REF!,DF$17,#REF!)*$CG30),"")))))),
IF($A30="C",(SUMIF(#REF!,DF$17,#REF!)*$CG30)*(SUMIF(ProductCodes,"C",$CI:$CI)/(SUMIF(ProductCodes,"C",$CH:$CH))),
IF($A30="S",(SUMIF(#REF!,DF$17,#REF!)*$CG30)*(SUMIF(ProductCodes,"S",$CI:$CI)/(SUMIF(ProductCodes,"S",$CH:$CH))),
IF($A30="B",(SUMIF(#REF!,DF$17,#REF!)*$CG30)*(SUMIF(ProductCodes,"B",$CI:$CI)/(SUMIF(ProductCodes,"B",$CH:$CH))),
IF($A30="R",(SUMIF(#REF!,DF$17,#REF!)*$CG30)*(SUMIF(ProductCodes,"R",$CI:$CI)/(SUMIF(ProductCodes,"R",$CH:$CH))),
IF($A30="H",(SUMIF(#REF!,DF$17,#REF!)*$CG30)*(SUMIF(ProductCodes,"H",$CI:$CI)/(SUMIF(ProductCodes,"H",$CH:$CH))),""))))))),"Error")</f>
        <v>Error</v>
      </c>
      <c r="DG30" s="84" t="str">
        <f>IFERROR(
IF(SUMIF(ProductCodes,"C",$CI:$CI)=$CI$782,(IF($A30="C",(SUMIF(#REF!,DG$17,#REF!)*$CG30)*((SUMIF(ProductCodes,"C",$CI:$CI)-SUMIF(ProductCodes,"H",$CH:$CH)-SUMIF(ProductCodes,"R",$CH:$CH)-SUMIF(ProductCodes,"B",$CH:$CH)-(SUMIF(ProductCodes,"S",$CH:$CH)/2))/SUMIF(ProductCodes,"C",$CH:$CH)),IF($A30="S",(SUMIF(#REF!,DG$17,#REF!)*$CG30)/2,
IF($A30="B",(SUMIF(#REF!,DG$17,#REF!)*$CG30),
IF($A30="R",(SUMIF(#REF!,DG$17,#REF!)*$CG30),
IF($A30="H",(SUMIF(#REF!,DG$17,#REF!)*$CG30),"")))))),
IF(SUMIF(ProductCodes,"S",$CI:$CI)=$CI$782,(IF($A30="S",(SUMIF(#REF!,DG$17,#REF!)*$CG30)*((SUMIF(ProductCodes,"S",$CI:$CI)-SUMIF(ProductCodes,"H",$CH:$CH)-SUMIF(ProductCodes,"R",$CH:$CH)-SUMIF(ProductCodes,"B",$CH:$CH)-(SUMIF(ProductCodes,"C",$CH:$CH)/4))/SUMIF(ProductCodes,"S",$CH:$CH)),
IF($A30="C",(SUMIF(#REF!,DG$17,#REF!)*$CG30)/4,
IF($A30="B",(SUMIF(#REF!,DG$17,#REF!)*$CG30),
IF($A30="R",(SUMIF(#REF!,DG$17,#REF!)*$CG30),
IF($A30="H",(SUMIF(#REF!,DG$17,#REF!)*$CG30),"")))))),
IF($A30="C",(SUMIF(#REF!,DG$17,#REF!)*$CG30)*(SUMIF(ProductCodes,"C",$CI:$CI)/(SUMIF(ProductCodes,"C",$CH:$CH))),
IF($A30="S",(SUMIF(#REF!,DG$17,#REF!)*$CG30)*(SUMIF(ProductCodes,"S",$CI:$CI)/(SUMIF(ProductCodes,"S",$CH:$CH))),
IF($A30="B",(SUMIF(#REF!,DG$17,#REF!)*$CG30)*(SUMIF(ProductCodes,"B",$CI:$CI)/(SUMIF(ProductCodes,"B",$CH:$CH))),
IF($A30="R",(SUMIF(#REF!,DG$17,#REF!)*$CG30)*(SUMIF(ProductCodes,"R",$CI:$CI)/(SUMIF(ProductCodes,"R",$CH:$CH))),
IF($A30="H",(SUMIF(#REF!,DG$17,#REF!)*$CG30)*(SUMIF(ProductCodes,"H",$CI:$CI)/(SUMIF(ProductCodes,"H",$CH:$CH))),""))))))),"Error")</f>
        <v>Error</v>
      </c>
      <c r="DH30" s="84" t="str">
        <f>IFERROR(
IF(SUMIF(ProductCodes,"C",$CI:$CI)=$CI$782,(IF($A30="C",(SUMIF(#REF!,DH$17,#REF!)*$CG30)*((SUMIF(ProductCodes,"C",$CI:$CI)-SUMIF(ProductCodes,"H",$CH:$CH)-SUMIF(ProductCodes,"R",$CH:$CH)-SUMIF(ProductCodes,"B",$CH:$CH)-(SUMIF(ProductCodes,"S",$CH:$CH)/2))/SUMIF(ProductCodes,"C",$CH:$CH)),IF($A30="S",(SUMIF(#REF!,DH$17,#REF!)*$CG30)/2,
IF($A30="B",(SUMIF(#REF!,DH$17,#REF!)*$CG30),
IF($A30="R",(SUMIF(#REF!,DH$17,#REF!)*$CG30),
IF($A30="H",(SUMIF(#REF!,DH$17,#REF!)*$CG30),"")))))),
IF(SUMIF(ProductCodes,"S",$CI:$CI)=$CI$782,(IF($A30="S",(SUMIF(#REF!,DH$17,#REF!)*$CG30)*((SUMIF(ProductCodes,"S",$CI:$CI)-SUMIF(ProductCodes,"H",$CH:$CH)-SUMIF(ProductCodes,"R",$CH:$CH)-SUMIF(ProductCodes,"B",$CH:$CH)-(SUMIF(ProductCodes,"C",$CH:$CH)/4))/SUMIF(ProductCodes,"S",$CH:$CH)),
IF($A30="C",(SUMIF(#REF!,DH$17,#REF!)*$CG30)/4,
IF($A30="B",(SUMIF(#REF!,DH$17,#REF!)*$CG30),
IF($A30="R",(SUMIF(#REF!,DH$17,#REF!)*$CG30),
IF($A30="H",(SUMIF(#REF!,DH$17,#REF!)*$CG30),"")))))),
IF($A30="C",(SUMIF(#REF!,DH$17,#REF!)*$CG30)*(SUMIF(ProductCodes,"C",$CI:$CI)/(SUMIF(ProductCodes,"C",$CH:$CH))),
IF($A30="S",(SUMIF(#REF!,DH$17,#REF!)*$CG30)*(SUMIF(ProductCodes,"S",$CI:$CI)/(SUMIF(ProductCodes,"S",$CH:$CH))),
IF($A30="B",(SUMIF(#REF!,DH$17,#REF!)*$CG30)*(SUMIF(ProductCodes,"B",$CI:$CI)/(SUMIF(ProductCodes,"B",$CH:$CH))),
IF($A30="R",(SUMIF(#REF!,DH$17,#REF!)*$CG30)*(SUMIF(ProductCodes,"R",$CI:$CI)/(SUMIF(ProductCodes,"R",$CH:$CH))),
IF($A30="H",(SUMIF(#REF!,DH$17,#REF!)*$CG30)*(SUMIF(ProductCodes,"H",$CI:$CI)/(SUMIF(ProductCodes,"H",$CH:$CH))),""))))))),"Error")</f>
        <v>Error</v>
      </c>
      <c r="DI30" s="84" t="str">
        <f>IFERROR(
IF(SUMIF(ProductCodes,"C",$CI:$CI)=$CI$782,(IF($A30="C",(SUMIF(#REF!,DI$17,#REF!)*$CG30)*((SUMIF(ProductCodes,"C",$CI:$CI)-SUMIF(ProductCodes,"H",$CH:$CH)-SUMIF(ProductCodes,"R",$CH:$CH)-SUMIF(ProductCodes,"B",$CH:$CH)-(SUMIF(ProductCodes,"S",$CH:$CH)/2))/SUMIF(ProductCodes,"C",$CH:$CH)),IF($A30="S",(SUMIF(#REF!,DI$17,#REF!)*$CG30)/2,
IF($A30="B",(SUMIF(#REF!,DI$17,#REF!)*$CG30),
IF($A30="R",(SUMIF(#REF!,DI$17,#REF!)*$CG30),
IF($A30="H",(SUMIF(#REF!,DI$17,#REF!)*$CG30),"")))))),
IF(SUMIF(ProductCodes,"S",$CI:$CI)=$CI$782,(IF($A30="S",(SUMIF(#REF!,DI$17,#REF!)*$CG30)*((SUMIF(ProductCodes,"S",$CI:$CI)-SUMIF(ProductCodes,"H",$CH:$CH)-SUMIF(ProductCodes,"R",$CH:$CH)-SUMIF(ProductCodes,"B",$CH:$CH)-(SUMIF(ProductCodes,"C",$CH:$CH)/4))/SUMIF(ProductCodes,"S",$CH:$CH)),
IF($A30="C",(SUMIF(#REF!,DI$17,#REF!)*$CG30)/4,
IF($A30="B",(SUMIF(#REF!,DI$17,#REF!)*$CG30),
IF($A30="R",(SUMIF(#REF!,DI$17,#REF!)*$CG30),
IF($A30="H",(SUMIF(#REF!,DI$17,#REF!)*$CG30),"")))))),
IF($A30="C",(SUMIF(#REF!,DI$17,#REF!)*$CG30)*(SUMIF(ProductCodes,"C",$CI:$CI)/(SUMIF(ProductCodes,"C",$CH:$CH))),
IF($A30="S",(SUMIF(#REF!,DI$17,#REF!)*$CG30)*(SUMIF(ProductCodes,"S",$CI:$CI)/(SUMIF(ProductCodes,"S",$CH:$CH))),
IF($A30="B",(SUMIF(#REF!,DI$17,#REF!)*$CG30)*(SUMIF(ProductCodes,"B",$CI:$CI)/(SUMIF(ProductCodes,"B",$CH:$CH))),
IF($A30="R",(SUMIF(#REF!,DI$17,#REF!)*$CG30)*(SUMIF(ProductCodes,"R",$CI:$CI)/(SUMIF(ProductCodes,"R",$CH:$CH))),
IF($A30="H",(SUMIF(#REF!,DI$17,#REF!)*$CG30)*(SUMIF(ProductCodes,"H",$CI:$CI)/(SUMIF(ProductCodes,"H",$CH:$CH))),""))))))),"Error")</f>
        <v>Error</v>
      </c>
      <c r="DJ30" s="84" t="str">
        <f>IFERROR(
IF(SUMIF(ProductCodes,"C",$CI:$CI)=$CI$782,(IF($A30="C",(SUMIF(#REF!,DJ$17,#REF!)*$CG30)*((SUMIF(ProductCodes,"C",$CI:$CI)-SUMIF(ProductCodes,"H",$CH:$CH)-SUMIF(ProductCodes,"R",$CH:$CH)-SUMIF(ProductCodes,"B",$CH:$CH)-(SUMIF(ProductCodes,"S",$CH:$CH)/2))/SUMIF(ProductCodes,"C",$CH:$CH)),IF($A30="S",(SUMIF(#REF!,DJ$17,#REF!)*$CG30)/2,
IF($A30="B",(SUMIF(#REF!,DJ$17,#REF!)*$CG30),
IF($A30="R",(SUMIF(#REF!,DJ$17,#REF!)*$CG30),
IF($A30="H",(SUMIF(#REF!,DJ$17,#REF!)*$CG30),"")))))),
IF(SUMIF(ProductCodes,"S",$CI:$CI)=$CI$782,(IF($A30="S",(SUMIF(#REF!,DJ$17,#REF!)*$CG30)*((SUMIF(ProductCodes,"S",$CI:$CI)-SUMIF(ProductCodes,"H",$CH:$CH)-SUMIF(ProductCodes,"R",$CH:$CH)-SUMIF(ProductCodes,"B",$CH:$CH)-(SUMIF(ProductCodes,"C",$CH:$CH)/4))/SUMIF(ProductCodes,"S",$CH:$CH)),
IF($A30="C",(SUMIF(#REF!,DJ$17,#REF!)*$CG30)/4,
IF($A30="B",(SUMIF(#REF!,DJ$17,#REF!)*$CG30),
IF($A30="R",(SUMIF(#REF!,DJ$17,#REF!)*$CG30),
IF($A30="H",(SUMIF(#REF!,DJ$17,#REF!)*$CG30),"")))))),
IF($A30="C",(SUMIF(#REF!,DJ$17,#REF!)*$CG30)*(SUMIF(ProductCodes,"C",$CI:$CI)/(SUMIF(ProductCodes,"C",$CH:$CH))),
IF($A30="S",(SUMIF(#REF!,DJ$17,#REF!)*$CG30)*(SUMIF(ProductCodes,"S",$CI:$CI)/(SUMIF(ProductCodes,"S",$CH:$CH))),
IF($A30="B",(SUMIF(#REF!,DJ$17,#REF!)*$CG30)*(SUMIF(ProductCodes,"B",$CI:$CI)/(SUMIF(ProductCodes,"B",$CH:$CH))),
IF($A30="R",(SUMIF(#REF!,DJ$17,#REF!)*$CG30)*(SUMIF(ProductCodes,"R",$CI:$CI)/(SUMIF(ProductCodes,"R",$CH:$CH))),
IF($A30="H",(SUMIF(#REF!,DJ$17,#REF!)*$CG30)*(SUMIF(ProductCodes,"H",$CI:$CI)/(SUMIF(ProductCodes,"H",$CH:$CH))),""))))))),"Error")</f>
        <v>Error</v>
      </c>
      <c r="DK30" s="84" t="str">
        <f>IFERROR(
IF(SUMIF(ProductCodes,"C",$CI:$CI)=$CI$782,(IF($A30="C",(SUMIF(#REF!,DK$17,#REF!)*$CG30)*((SUMIF(ProductCodes,"C",$CI:$CI)-SUMIF(ProductCodes,"H",$CH:$CH)-SUMIF(ProductCodes,"R",$CH:$CH)-SUMIF(ProductCodes,"B",$CH:$CH)-(SUMIF(ProductCodes,"S",$CH:$CH)/2))/SUMIF(ProductCodes,"C",$CH:$CH)),IF($A30="S",(SUMIF(#REF!,DK$17,#REF!)*$CG30)/2,
IF($A30="B",(SUMIF(#REF!,DK$17,#REF!)*$CG30),
IF($A30="R",(SUMIF(#REF!,DK$17,#REF!)*$CG30),
IF($A30="H",(SUMIF(#REF!,DK$17,#REF!)*$CG30),"")))))),
IF(SUMIF(ProductCodes,"S",$CI:$CI)=$CI$782,(IF($A30="S",(SUMIF(#REF!,DK$17,#REF!)*$CG30)*((SUMIF(ProductCodes,"S",$CI:$CI)-SUMIF(ProductCodes,"H",$CH:$CH)-SUMIF(ProductCodes,"R",$CH:$CH)-SUMIF(ProductCodes,"B",$CH:$CH)-(SUMIF(ProductCodes,"C",$CH:$CH)/4))/SUMIF(ProductCodes,"S",$CH:$CH)),
IF($A30="C",(SUMIF(#REF!,DK$17,#REF!)*$CG30)/4,
IF($A30="B",(SUMIF(#REF!,DK$17,#REF!)*$CG30),
IF($A30="R",(SUMIF(#REF!,DK$17,#REF!)*$CG30),
IF($A30="H",(SUMIF(#REF!,DK$17,#REF!)*$CG30),"")))))),
IF($A30="C",(SUMIF(#REF!,DK$17,#REF!)*$CG30)*(SUMIF(ProductCodes,"C",$CI:$CI)/(SUMIF(ProductCodes,"C",$CH:$CH))),
IF($A30="S",(SUMIF(#REF!,DK$17,#REF!)*$CG30)*(SUMIF(ProductCodes,"S",$CI:$CI)/(SUMIF(ProductCodes,"S",$CH:$CH))),
IF($A30="B",(SUMIF(#REF!,DK$17,#REF!)*$CG30)*(SUMIF(ProductCodes,"B",$CI:$CI)/(SUMIF(ProductCodes,"B",$CH:$CH))),
IF($A30="R",(SUMIF(#REF!,DK$17,#REF!)*$CG30)*(SUMIF(ProductCodes,"R",$CI:$CI)/(SUMIF(ProductCodes,"R",$CH:$CH))),
IF($A30="H",(SUMIF(#REF!,DK$17,#REF!)*$CG30)*(SUMIF(ProductCodes,"H",$CI:$CI)/(SUMIF(ProductCodes,"H",$CH:$CH))),""))))))),"Error")</f>
        <v>Error</v>
      </c>
      <c r="DL30" s="84" t="str">
        <f>IFERROR(
IF(SUMIF(ProductCodes,"C",$CI:$CI)=$CI$782,(IF($A30="C",(SUMIF(#REF!,DL$17,#REF!)*$CG30)*((SUMIF(ProductCodes,"C",$CI:$CI)-SUMIF(ProductCodes,"H",$CH:$CH)-SUMIF(ProductCodes,"R",$CH:$CH)-SUMIF(ProductCodes,"B",$CH:$CH)-(SUMIF(ProductCodes,"S",$CH:$CH)/2))/SUMIF(ProductCodes,"C",$CH:$CH)),IF($A30="S",(SUMIF(#REF!,DL$17,#REF!)*$CG30)/2,
IF($A30="B",(SUMIF(#REF!,DL$17,#REF!)*$CG30),
IF($A30="R",(SUMIF(#REF!,DL$17,#REF!)*$CG30),
IF($A30="H",(SUMIF(#REF!,DL$17,#REF!)*$CG30),"")))))),
IF(SUMIF(ProductCodes,"S",$CI:$CI)=$CI$782,(IF($A30="S",(SUMIF(#REF!,DL$17,#REF!)*$CG30)*((SUMIF(ProductCodes,"S",$CI:$CI)-SUMIF(ProductCodes,"H",$CH:$CH)-SUMIF(ProductCodes,"R",$CH:$CH)-SUMIF(ProductCodes,"B",$CH:$CH)-(SUMIF(ProductCodes,"C",$CH:$CH)/4))/SUMIF(ProductCodes,"S",$CH:$CH)),
IF($A30="C",(SUMIF(#REF!,DL$17,#REF!)*$CG30)/4,
IF($A30="B",(SUMIF(#REF!,DL$17,#REF!)*$CG30),
IF($A30="R",(SUMIF(#REF!,DL$17,#REF!)*$CG30),
IF($A30="H",(SUMIF(#REF!,DL$17,#REF!)*$CG30),"")))))),
IF($A30="C",(SUMIF(#REF!,DL$17,#REF!)*$CG30)*(SUMIF(ProductCodes,"C",$CI:$CI)/(SUMIF(ProductCodes,"C",$CH:$CH))),
IF($A30="S",(SUMIF(#REF!,DL$17,#REF!)*$CG30)*(SUMIF(ProductCodes,"S",$CI:$CI)/(SUMIF(ProductCodes,"S",$CH:$CH))),
IF($A30="B",(SUMIF(#REF!,DL$17,#REF!)*$CG30)*(SUMIF(ProductCodes,"B",$CI:$CI)/(SUMIF(ProductCodes,"B",$CH:$CH))),
IF($A30="R",(SUMIF(#REF!,DL$17,#REF!)*$CG30)*(SUMIF(ProductCodes,"R",$CI:$CI)/(SUMIF(ProductCodes,"R",$CH:$CH))),
IF($A30="H",(SUMIF(#REF!,DL$17,#REF!)*$CG30)*(SUMIF(ProductCodes,"H",$CI:$CI)/(SUMIF(ProductCodes,"H",$CH:$CH))),""))))))),"Error")</f>
        <v>Error</v>
      </c>
      <c r="DM30" s="84" t="str">
        <f>IFERROR(
IF(SUMIF(ProductCodes,"C",$CI:$CI)=$CI$782,(IF($A30="C",(SUMIF(#REF!,DM$17,#REF!)*$CG30)*((SUMIF(ProductCodes,"C",$CI:$CI)-SUMIF(ProductCodes,"H",$CH:$CH)-SUMIF(ProductCodes,"R",$CH:$CH)-SUMIF(ProductCodes,"B",$CH:$CH)-(SUMIF(ProductCodes,"S",$CH:$CH)/2))/SUMIF(ProductCodes,"C",$CH:$CH)),IF($A30="S",(SUMIF(#REF!,DM$17,#REF!)*$CG30)/2,
IF($A30="B",(SUMIF(#REF!,DM$17,#REF!)*$CG30),
IF($A30="R",(SUMIF(#REF!,DM$17,#REF!)*$CG30),
IF($A30="H",(SUMIF(#REF!,DM$17,#REF!)*$CG30),"")))))),
IF(SUMIF(ProductCodes,"S",$CI:$CI)=$CI$782,(IF($A30="S",(SUMIF(#REF!,DM$17,#REF!)*$CG30)*((SUMIF(ProductCodes,"S",$CI:$CI)-SUMIF(ProductCodes,"H",$CH:$CH)-SUMIF(ProductCodes,"R",$CH:$CH)-SUMIF(ProductCodes,"B",$CH:$CH)-(SUMIF(ProductCodes,"C",$CH:$CH)/4))/SUMIF(ProductCodes,"S",$CH:$CH)),
IF($A30="C",(SUMIF(#REF!,DM$17,#REF!)*$CG30)/4,
IF($A30="B",(SUMIF(#REF!,DM$17,#REF!)*$CG30),
IF($A30="R",(SUMIF(#REF!,DM$17,#REF!)*$CG30),
IF($A30="H",(SUMIF(#REF!,DM$17,#REF!)*$CG30),"")))))),
IF($A30="C",(SUMIF(#REF!,DM$17,#REF!)*$CG30)*(SUMIF(ProductCodes,"C",$CI:$CI)/(SUMIF(ProductCodes,"C",$CH:$CH))),
IF($A30="S",(SUMIF(#REF!,DM$17,#REF!)*$CG30)*(SUMIF(ProductCodes,"S",$CI:$CI)/(SUMIF(ProductCodes,"S",$CH:$CH))),
IF($A30="B",(SUMIF(#REF!,DM$17,#REF!)*$CG30)*(SUMIF(ProductCodes,"B",$CI:$CI)/(SUMIF(ProductCodes,"B",$CH:$CH))),
IF($A30="R",(SUMIF(#REF!,DM$17,#REF!)*$CG30)*(SUMIF(ProductCodes,"R",$CI:$CI)/(SUMIF(ProductCodes,"R",$CH:$CH))),
IF($A30="H",(SUMIF(#REF!,DM$17,#REF!)*$CG30)*(SUMIF(ProductCodes,"H",$CI:$CI)/(SUMIF(ProductCodes,"H",$CH:$CH))),""))))))),"Error")</f>
        <v>Error</v>
      </c>
      <c r="DN30" s="84" t="str">
        <f>IFERROR(
IF(SUMIF(ProductCodes,"C",$CI:$CI)=$CI$782,(IF($A30="C",(SUMIF(#REF!,DN$17,#REF!)*$CG30)*((SUMIF(ProductCodes,"C",$CI:$CI)-SUMIF(ProductCodes,"H",$CH:$CH)-SUMIF(ProductCodes,"R",$CH:$CH)-SUMIF(ProductCodes,"B",$CH:$CH)-(SUMIF(ProductCodes,"S",$CH:$CH)/2))/SUMIF(ProductCodes,"C",$CH:$CH)),IF($A30="S",(SUMIF(#REF!,DN$17,#REF!)*$CG30)/2,
IF($A30="B",(SUMIF(#REF!,DN$17,#REF!)*$CG30),
IF($A30="R",(SUMIF(#REF!,DN$17,#REF!)*$CG30),
IF($A30="H",(SUMIF(#REF!,DN$17,#REF!)*$CG30),"")))))),
IF(SUMIF(ProductCodes,"S",$CI:$CI)=$CI$782,(IF($A30="S",(SUMIF(#REF!,DN$17,#REF!)*$CG30)*((SUMIF(ProductCodes,"S",$CI:$CI)-SUMIF(ProductCodes,"H",$CH:$CH)-SUMIF(ProductCodes,"R",$CH:$CH)-SUMIF(ProductCodes,"B",$CH:$CH)-(SUMIF(ProductCodes,"C",$CH:$CH)/4))/SUMIF(ProductCodes,"S",$CH:$CH)),
IF($A30="C",(SUMIF(#REF!,DN$17,#REF!)*$CG30)/4,
IF($A30="B",(SUMIF(#REF!,DN$17,#REF!)*$CG30),
IF($A30="R",(SUMIF(#REF!,DN$17,#REF!)*$CG30),
IF($A30="H",(SUMIF(#REF!,DN$17,#REF!)*$CG30),"")))))),
IF($A30="C",(SUMIF(#REF!,DN$17,#REF!)*$CG30)*(SUMIF(ProductCodes,"C",$CI:$CI)/(SUMIF(ProductCodes,"C",$CH:$CH))),
IF($A30="S",(SUMIF(#REF!,DN$17,#REF!)*$CG30)*(SUMIF(ProductCodes,"S",$CI:$CI)/(SUMIF(ProductCodes,"S",$CH:$CH))),
IF($A30="B",(SUMIF(#REF!,DN$17,#REF!)*$CG30)*(SUMIF(ProductCodes,"B",$CI:$CI)/(SUMIF(ProductCodes,"B",$CH:$CH))),
IF($A30="R",(SUMIF(#REF!,DN$17,#REF!)*$CG30)*(SUMIF(ProductCodes,"R",$CI:$CI)/(SUMIF(ProductCodes,"R",$CH:$CH))),
IF($A30="H",(SUMIF(#REF!,DN$17,#REF!)*$CG30)*(SUMIF(ProductCodes,"H",$CI:$CI)/(SUMIF(ProductCodes,"H",$CH:$CH))),""))))))),"Error")</f>
        <v>Error</v>
      </c>
      <c r="DO30" s="84" t="str">
        <f>IFERROR(
IF(SUMIF(ProductCodes,"C",$CI:$CI)=$CI$782,(IF($A30="C",(SUMIF(#REF!,DO$17,#REF!)*$CG30)*((SUMIF(ProductCodes,"C",$CI:$CI)-SUMIF(ProductCodes,"H",$CH:$CH)-SUMIF(ProductCodes,"R",$CH:$CH)-SUMIF(ProductCodes,"B",$CH:$CH)-(SUMIF(ProductCodes,"S",$CH:$CH)/2))/SUMIF(ProductCodes,"C",$CH:$CH)),IF($A30="S",(SUMIF(#REF!,DO$17,#REF!)*$CG30)/2,
IF($A30="B",(SUMIF(#REF!,DO$17,#REF!)*$CG30),
IF($A30="R",(SUMIF(#REF!,DO$17,#REF!)*$CG30),
IF($A30="H",(SUMIF(#REF!,DO$17,#REF!)*$CG30),"")))))),
IF(SUMIF(ProductCodes,"S",$CI:$CI)=$CI$782,(IF($A30="S",(SUMIF(#REF!,DO$17,#REF!)*$CG30)*((SUMIF(ProductCodes,"S",$CI:$CI)-SUMIF(ProductCodes,"H",$CH:$CH)-SUMIF(ProductCodes,"R",$CH:$CH)-SUMIF(ProductCodes,"B",$CH:$CH)-(SUMIF(ProductCodes,"C",$CH:$CH)/4))/SUMIF(ProductCodes,"S",$CH:$CH)),
IF($A30="C",(SUMIF(#REF!,DO$17,#REF!)*$CG30)/4,
IF($A30="B",(SUMIF(#REF!,DO$17,#REF!)*$CG30),
IF($A30="R",(SUMIF(#REF!,DO$17,#REF!)*$CG30),
IF($A30="H",(SUMIF(#REF!,DO$17,#REF!)*$CG30),"")))))),
IF($A30="C",(SUMIF(#REF!,DO$17,#REF!)*$CG30)*(SUMIF(ProductCodes,"C",$CI:$CI)/(SUMIF(ProductCodes,"C",$CH:$CH))),
IF($A30="S",(SUMIF(#REF!,DO$17,#REF!)*$CG30)*(SUMIF(ProductCodes,"S",$CI:$CI)/(SUMIF(ProductCodes,"S",$CH:$CH))),
IF($A30="B",(SUMIF(#REF!,DO$17,#REF!)*$CG30)*(SUMIF(ProductCodes,"B",$CI:$CI)/(SUMIF(ProductCodes,"B",$CH:$CH))),
IF($A30="R",(SUMIF(#REF!,DO$17,#REF!)*$CG30)*(SUMIF(ProductCodes,"R",$CI:$CI)/(SUMIF(ProductCodes,"R",$CH:$CH))),
IF($A30="H",(SUMIF(#REF!,DO$17,#REF!)*$CG30)*(SUMIF(ProductCodes,"H",$CI:$CI)/(SUMIF(ProductCodes,"H",$CH:$CH))),""))))))),"Error")</f>
        <v>Error</v>
      </c>
      <c r="DP30" s="85" t="str">
        <f>IFERROR(
IF(SUMIF(ProductCodes,"C",$CI:$CI)=$CI$782,(IF($A30="C",(SUMIF(#REF!,DP$17,#REF!)*$CG30)*((SUMIF(ProductCodes,"C",$CI:$CI)-SUMIF(ProductCodes,"H",$CH:$CH)-SUMIF(ProductCodes,"R",$CH:$CH)-SUMIF(ProductCodes,"B",$CH:$CH)-(SUMIF(ProductCodes,"S",$CH:$CH)/2))/SUMIF(ProductCodes,"C",$CH:$CH)),IF($A30="S",(SUMIF(#REF!,DP$17,#REF!)*$CG30)/2,
IF($A30="B",(SUMIF(#REF!,DP$17,#REF!)*$CG30),
IF($A30="R",(SUMIF(#REF!,DP$17,#REF!)*$CG30),
IF($A30="H",(SUMIF(#REF!,DP$17,#REF!)*$CG30),"")))))),
IF(SUMIF(ProductCodes,"S",$CI:$CI)=$CI$782,(IF($A30="S",(SUMIF(#REF!,DP$17,#REF!)*$CG30)*((SUMIF(ProductCodes,"S",$CI:$CI)-SUMIF(ProductCodes,"H",$CH:$CH)-SUMIF(ProductCodes,"R",$CH:$CH)-SUMIF(ProductCodes,"B",$CH:$CH)-(SUMIF(ProductCodes,"C",$CH:$CH)/4))/SUMIF(ProductCodes,"S",$CH:$CH)),
IF($A30="C",(SUMIF(#REF!,DP$17,#REF!)*$CG30)/4,
IF($A30="B",(SUMIF(#REF!,DP$17,#REF!)*$CG30),
IF($A30="R",(SUMIF(#REF!,DP$17,#REF!)*$CG30),
IF($A30="H",(SUMIF(#REF!,DP$17,#REF!)*$CG30),"")))))),
IF($A30="C",(SUMIF(#REF!,DP$17,#REF!)*$CG30)*(SUMIF(ProductCodes,"C",$CI:$CI)/(SUMIF(ProductCodes,"C",$CH:$CH))),
IF($A30="S",(SUMIF(#REF!,DP$17,#REF!)*$CG30)*(SUMIF(ProductCodes,"S",$CI:$CI)/(SUMIF(ProductCodes,"S",$CH:$CH))),
IF($A30="B",(SUMIF(#REF!,DP$17,#REF!)*$CG30)*(SUMIF(ProductCodes,"B",$CI:$CI)/(SUMIF(ProductCodes,"B",$CH:$CH))),
IF($A30="R",(SUMIF(#REF!,DP$17,#REF!)*$CG30)*(SUMIF(ProductCodes,"R",$CI:$CI)/(SUMIF(ProductCodes,"R",$CH:$CH))),
IF($A30="H",(SUMIF(#REF!,DP$17,#REF!)*$CG30)*(SUMIF(ProductCodes,"H",$CI:$CI)/(SUMIF(ProductCodes,"H",$CH:$CH))),""))))))),"Error")</f>
        <v>Error</v>
      </c>
      <c r="DQ30" s="9"/>
      <c r="DR30" s="9"/>
      <c r="DS30"/>
      <c r="DT30"/>
      <c r="DU30"/>
      <c r="DV30"/>
      <c r="DW30"/>
      <c r="DX30"/>
      <c r="DY30"/>
      <c r="DZ30"/>
      <c r="EA30"/>
      <c r="EB30"/>
      <c r="EC30"/>
      <c r="ED30"/>
    </row>
    <row r="31" spans="1:134" s="86" customFormat="1" ht="66.75" customHeight="1" thickBot="1" x14ac:dyDescent="0.4">
      <c r="A31" s="90" t="s">
        <v>43</v>
      </c>
      <c r="B31" s="230" t="s">
        <v>79</v>
      </c>
      <c r="C31" s="207" t="s">
        <v>44</v>
      </c>
      <c r="D31" s="208" t="s">
        <v>45</v>
      </c>
      <c r="E31" s="103"/>
      <c r="F31" s="103"/>
      <c r="G31" s="106"/>
      <c r="H31" s="104"/>
      <c r="I31" s="102"/>
      <c r="J31" s="103"/>
      <c r="K31" s="103"/>
      <c r="L31" s="104"/>
      <c r="M31" s="105"/>
      <c r="N31" s="103"/>
      <c r="O31" s="103"/>
      <c r="P31" s="106"/>
      <c r="Q31" s="105"/>
      <c r="R31" s="103"/>
      <c r="S31" s="103"/>
      <c r="T31" s="106"/>
      <c r="U31" s="104"/>
      <c r="V31" s="98"/>
      <c r="W31" s="96"/>
      <c r="X31" s="96"/>
      <c r="Y31" s="97"/>
      <c r="Z31" s="98"/>
      <c r="AA31" s="96"/>
      <c r="AB31" s="96"/>
      <c r="AC31" s="96"/>
      <c r="AD31" s="235">
        <v>10</v>
      </c>
      <c r="AE31" s="236"/>
      <c r="AF31" s="236"/>
      <c r="AG31" s="236"/>
      <c r="AH31" s="237"/>
      <c r="AI31" s="290">
        <v>10</v>
      </c>
      <c r="AJ31" s="236"/>
      <c r="AK31" s="236"/>
      <c r="AL31" s="237"/>
      <c r="AM31" s="290">
        <v>10</v>
      </c>
      <c r="AN31" s="236"/>
      <c r="AO31" s="236"/>
      <c r="AP31" s="236"/>
      <c r="AQ31" s="237"/>
      <c r="AR31" s="290">
        <v>10</v>
      </c>
      <c r="AS31" s="236"/>
      <c r="AT31" s="236"/>
      <c r="AU31" s="237"/>
      <c r="AV31" s="290">
        <v>10</v>
      </c>
      <c r="AW31" s="236"/>
      <c r="AX31" s="236"/>
      <c r="AY31" s="237"/>
      <c r="AZ31" s="290">
        <v>10</v>
      </c>
      <c r="BA31" s="236"/>
      <c r="BB31" s="236"/>
      <c r="BC31" s="236"/>
      <c r="BD31" s="237"/>
      <c r="BE31" s="290">
        <v>10</v>
      </c>
      <c r="BF31" s="236"/>
      <c r="BG31" s="236"/>
      <c r="BH31" s="237"/>
      <c r="BI31" s="290">
        <v>10</v>
      </c>
      <c r="BJ31" s="236"/>
      <c r="BK31" s="236"/>
      <c r="BL31" s="237"/>
      <c r="BM31" s="290">
        <v>10</v>
      </c>
      <c r="BN31" s="236"/>
      <c r="BO31" s="236"/>
      <c r="BP31" s="236"/>
      <c r="BQ31" s="237"/>
      <c r="BR31" s="290">
        <v>10</v>
      </c>
      <c r="BS31" s="236"/>
      <c r="BT31" s="236"/>
      <c r="BU31" s="237"/>
      <c r="BV31" s="290">
        <v>10</v>
      </c>
      <c r="BW31" s="236"/>
      <c r="BX31" s="236"/>
      <c r="BY31" s="237"/>
      <c r="BZ31" s="290">
        <v>10</v>
      </c>
      <c r="CA31" s="236"/>
      <c r="CB31" s="236"/>
      <c r="CC31" s="237"/>
      <c r="CD31" s="198">
        <v>1</v>
      </c>
      <c r="CE31" s="199">
        <f t="shared" si="33"/>
        <v>120</v>
      </c>
      <c r="CF31" s="199">
        <f t="shared" si="31"/>
        <v>120</v>
      </c>
      <c r="CG31" s="190">
        <v>75</v>
      </c>
      <c r="CH31" s="212">
        <f t="shared" si="32"/>
        <v>9000</v>
      </c>
      <c r="CI31" s="240"/>
      <c r="CJ31" s="91"/>
      <c r="CK31" s="91"/>
      <c r="CL31" s="91"/>
      <c r="CM31" s="92"/>
      <c r="CN31" s="92">
        <f t="shared" si="36"/>
        <v>0</v>
      </c>
      <c r="CO31" s="93"/>
      <c r="CP31" s="75"/>
      <c r="CQ31" s="75"/>
      <c r="CR31" s="83"/>
      <c r="CS31" s="84" t="str">
        <f>IFERROR(
IF(SUMIF(ProductCodes,"C",$CI:$CI)=$CI$782,(IF($A31="C",(SUMIF(#REF!,CS$17,#REF!)*$CG31)*((SUMIF(ProductCodes,"C",$CI:$CI)-SUMIF(ProductCodes,"H",$CH:$CH)-SUMIF(ProductCodes,"R",$CH:$CH)-SUMIF(ProductCodes,"B",$CH:$CH)-(SUMIF(ProductCodes,"S",$CH:$CH)/2))/SUMIF(ProductCodes,"C",$CH:$CH)),IF($A31="S",(SUMIF(#REF!,CS$17,#REF!)*$CG31)/2,
IF($A31="B",(SUMIF(#REF!,CS$17,#REF!)*$CG31),
IF($A31="R",(SUMIF(#REF!,CS$17,#REF!)*$CG31),
IF($A31="H",(SUMIF(#REF!,CS$17,#REF!)*$CG31),"")))))),
IF(SUMIF(ProductCodes,"S",$CI:$CI)=$CI$782,(IF($A31="S",(SUMIF(#REF!,CS$17,#REF!)*$CG31)*((SUMIF(ProductCodes,"S",$CI:$CI)-SUMIF(ProductCodes,"H",$CH:$CH)-SUMIF(ProductCodes,"R",$CH:$CH)-SUMIF(ProductCodes,"B",$CH:$CH)-(SUMIF(ProductCodes,"C",$CH:$CH)/4))/SUMIF(ProductCodes,"S",$CH:$CH)),
IF($A31="C",(SUMIF(#REF!,CS$17,#REF!)*$CG31)/4,
IF($A31="B",(SUMIF(#REF!,CS$17,#REF!)*$CG31),
IF($A31="R",(SUMIF(#REF!,CS$17,#REF!)*$CG31),
IF($A31="H",(SUMIF(#REF!,CS$17,#REF!)*$CG31),"")))))),
IF($A31="C",(SUMIF(#REF!,CS$17,#REF!)*$CG31)*(SUMIF(ProductCodes,"C",$CI:$CI)/(SUMIF(ProductCodes,"C",$CH:$CH))),
IF($A31="S",(SUMIF(#REF!,CS$17,#REF!)*$CG31)*(SUMIF(ProductCodes,"S",$CI:$CI)/(SUMIF(ProductCodes,"S",$CH:$CH))),
IF($A31="B",(SUMIF(#REF!,CS$17,#REF!)*$CG31)*(SUMIF(ProductCodes,"B",$CI:$CI)/(SUMIF(ProductCodes,"B",$CH:$CH))),
IF($A31="R",(SUMIF(#REF!,CS$17,#REF!)*$CG31)*(SUMIF(ProductCodes,"R",$CI:$CI)/(SUMIF(ProductCodes,"R",$CH:$CH))),
IF($A31="H",(SUMIF(#REF!,CS$17,#REF!)*$CG31)*(SUMIF(ProductCodes,"H",$CI:$CI)/(SUMIF(ProductCodes,"H",$CH:$CH))),""))))))),"Error")</f>
        <v>Error</v>
      </c>
      <c r="CT31" s="84" t="str">
        <f>IFERROR(
IF(SUMIF(ProductCodes,"C",$CI:$CI)=$CI$782,(IF($A31="C",(SUMIF(#REF!,CT$17,#REF!)*$CG31)*((SUMIF(ProductCodes,"C",$CI:$CI)-SUMIF(ProductCodes,"H",$CH:$CH)-SUMIF(ProductCodes,"R",$CH:$CH)-SUMIF(ProductCodes,"B",$CH:$CH)-(SUMIF(ProductCodes,"S",$CH:$CH)/2))/SUMIF(ProductCodes,"C",$CH:$CH)),IF($A31="S",(SUMIF(#REF!,CT$17,#REF!)*$CG31)/2,
IF($A31="B",(SUMIF(#REF!,CT$17,#REF!)*$CG31),
IF($A31="R",(SUMIF(#REF!,CT$17,#REF!)*$CG31),
IF($A31="H",(SUMIF(#REF!,CT$17,#REF!)*$CG31),"")))))),
IF(SUMIF(ProductCodes,"S",$CI:$CI)=$CI$782,(IF($A31="S",(SUMIF(#REF!,CT$17,#REF!)*$CG31)*((SUMIF(ProductCodes,"S",$CI:$CI)-SUMIF(ProductCodes,"H",$CH:$CH)-SUMIF(ProductCodes,"R",$CH:$CH)-SUMIF(ProductCodes,"B",$CH:$CH)-(SUMIF(ProductCodes,"C",$CH:$CH)/4))/SUMIF(ProductCodes,"S",$CH:$CH)),
IF($A31="C",(SUMIF(#REF!,CT$17,#REF!)*$CG31)/4,
IF($A31="B",(SUMIF(#REF!,CT$17,#REF!)*$CG31),
IF($A31="R",(SUMIF(#REF!,CT$17,#REF!)*$CG31),
IF($A31="H",(SUMIF(#REF!,CT$17,#REF!)*$CG31),"")))))),
IF($A31="C",(SUMIF(#REF!,CT$17,#REF!)*$CG31)*(SUMIF(ProductCodes,"C",$CI:$CI)/(SUMIF(ProductCodes,"C",$CH:$CH))),
IF($A31="S",(SUMIF(#REF!,CT$17,#REF!)*$CG31)*(SUMIF(ProductCodes,"S",$CI:$CI)/(SUMIF(ProductCodes,"S",$CH:$CH))),
IF($A31="B",(SUMIF(#REF!,CT$17,#REF!)*$CG31)*(SUMIF(ProductCodes,"B",$CI:$CI)/(SUMIF(ProductCodes,"B",$CH:$CH))),
IF($A31="R",(SUMIF(#REF!,CT$17,#REF!)*$CG31)*(SUMIF(ProductCodes,"R",$CI:$CI)/(SUMIF(ProductCodes,"R",$CH:$CH))),
IF($A31="H",(SUMIF(#REF!,CT$17,#REF!)*$CG31)*(SUMIF(ProductCodes,"H",$CI:$CI)/(SUMIF(ProductCodes,"H",$CH:$CH))),""))))))),"Error")</f>
        <v>Error</v>
      </c>
      <c r="CU31" s="84" t="str">
        <f>IFERROR(
IF(SUMIF(ProductCodes,"C",$CI:$CI)=$CI$782,(IF($A31="C",(SUMIF(#REF!,CU$17,#REF!)*$CG31)*((SUMIF(ProductCodes,"C",$CI:$CI)-SUMIF(ProductCodes,"H",$CH:$CH)-SUMIF(ProductCodes,"R",$CH:$CH)-SUMIF(ProductCodes,"B",$CH:$CH)-(SUMIF(ProductCodes,"S",$CH:$CH)/2))/SUMIF(ProductCodes,"C",$CH:$CH)),IF($A31="S",(SUMIF(#REF!,CU$17,#REF!)*$CG31)/2,
IF($A31="B",(SUMIF(#REF!,CU$17,#REF!)*$CG31),
IF($A31="R",(SUMIF(#REF!,CU$17,#REF!)*$CG31),
IF($A31="H",(SUMIF(#REF!,CU$17,#REF!)*$CG31),"")))))),
IF(SUMIF(ProductCodes,"S",$CI:$CI)=$CI$782,(IF($A31="S",(SUMIF(#REF!,CU$17,#REF!)*$CG31)*((SUMIF(ProductCodes,"S",$CI:$CI)-SUMIF(ProductCodes,"H",$CH:$CH)-SUMIF(ProductCodes,"R",$CH:$CH)-SUMIF(ProductCodes,"B",$CH:$CH)-(SUMIF(ProductCodes,"C",$CH:$CH)/4))/SUMIF(ProductCodes,"S",$CH:$CH)),
IF($A31="C",(SUMIF(#REF!,CU$17,#REF!)*$CG31)/4,
IF($A31="B",(SUMIF(#REF!,CU$17,#REF!)*$CG31),
IF($A31="R",(SUMIF(#REF!,CU$17,#REF!)*$CG31),
IF($A31="H",(SUMIF(#REF!,CU$17,#REF!)*$CG31),"")))))),
IF($A31="C",(SUMIF(#REF!,CU$17,#REF!)*$CG31)*(SUMIF(ProductCodes,"C",$CI:$CI)/(SUMIF(ProductCodes,"C",$CH:$CH))),
IF($A31="S",(SUMIF(#REF!,CU$17,#REF!)*$CG31)*(SUMIF(ProductCodes,"S",$CI:$CI)/(SUMIF(ProductCodes,"S",$CH:$CH))),
IF($A31="B",(SUMIF(#REF!,CU$17,#REF!)*$CG31)*(SUMIF(ProductCodes,"B",$CI:$CI)/(SUMIF(ProductCodes,"B",$CH:$CH))),
IF($A31="R",(SUMIF(#REF!,CU$17,#REF!)*$CG31)*(SUMIF(ProductCodes,"R",$CI:$CI)/(SUMIF(ProductCodes,"R",$CH:$CH))),
IF($A31="H",(SUMIF(#REF!,CU$17,#REF!)*$CG31)*(SUMIF(ProductCodes,"H",$CI:$CI)/(SUMIF(ProductCodes,"H",$CH:$CH))),""))))))),"Error")</f>
        <v>Error</v>
      </c>
      <c r="CV31" s="84" t="str">
        <f>IFERROR(
IF(SUMIF(ProductCodes,"C",$CI:$CI)=$CI$782,(IF($A31="C",(SUMIF(#REF!,CV$17,#REF!)*$CG31)*((SUMIF(ProductCodes,"C",$CI:$CI)-SUMIF(ProductCodes,"H",$CH:$CH)-SUMIF(ProductCodes,"R",$CH:$CH)-SUMIF(ProductCodes,"B",$CH:$CH)-(SUMIF(ProductCodes,"S",$CH:$CH)/2))/SUMIF(ProductCodes,"C",$CH:$CH)),IF($A31="S",(SUMIF(#REF!,CV$17,#REF!)*$CG31)/2,
IF($A31="B",(SUMIF(#REF!,CV$17,#REF!)*$CG31),
IF($A31="R",(SUMIF(#REF!,CV$17,#REF!)*$CG31),
IF($A31="H",(SUMIF(#REF!,CV$17,#REF!)*$CG31),"")))))),
IF(SUMIF(ProductCodes,"S",$CI:$CI)=$CI$782,(IF($A31="S",(SUMIF(#REF!,CV$17,#REF!)*$CG31)*((SUMIF(ProductCodes,"S",$CI:$CI)-SUMIF(ProductCodes,"H",$CH:$CH)-SUMIF(ProductCodes,"R",$CH:$CH)-SUMIF(ProductCodes,"B",$CH:$CH)-(SUMIF(ProductCodes,"C",$CH:$CH)/4))/SUMIF(ProductCodes,"S",$CH:$CH)),
IF($A31="C",(SUMIF(#REF!,CV$17,#REF!)*$CG31)/4,
IF($A31="B",(SUMIF(#REF!,CV$17,#REF!)*$CG31),
IF($A31="R",(SUMIF(#REF!,CV$17,#REF!)*$CG31),
IF($A31="H",(SUMIF(#REF!,CV$17,#REF!)*$CG31),"")))))),
IF($A31="C",(SUMIF(#REF!,CV$17,#REF!)*$CG31)*(SUMIF(ProductCodes,"C",$CI:$CI)/(SUMIF(ProductCodes,"C",$CH:$CH))),
IF($A31="S",(SUMIF(#REF!,CV$17,#REF!)*$CG31)*(SUMIF(ProductCodes,"S",$CI:$CI)/(SUMIF(ProductCodes,"S",$CH:$CH))),
IF($A31="B",(SUMIF(#REF!,CV$17,#REF!)*$CG31)*(SUMIF(ProductCodes,"B",$CI:$CI)/(SUMIF(ProductCodes,"B",$CH:$CH))),
IF($A31="R",(SUMIF(#REF!,CV$17,#REF!)*$CG31)*(SUMIF(ProductCodes,"R",$CI:$CI)/(SUMIF(ProductCodes,"R",$CH:$CH))),
IF($A31="H",(SUMIF(#REF!,CV$17,#REF!)*$CG31)*(SUMIF(ProductCodes,"H",$CI:$CI)/(SUMIF(ProductCodes,"H",$CH:$CH))),""))))))),"Error")</f>
        <v>Error</v>
      </c>
      <c r="CW31" s="84" t="str">
        <f>IFERROR(
IF(SUMIF(ProductCodes,"C",$CI:$CI)=$CI$782,(IF($A31="C",(SUMIF(#REF!,CW$17,#REF!)*$CG31)*((SUMIF(ProductCodes,"C",$CI:$CI)-SUMIF(ProductCodes,"H",$CH:$CH)-SUMIF(ProductCodes,"R",$CH:$CH)-SUMIF(ProductCodes,"B",$CH:$CH)-(SUMIF(ProductCodes,"S",$CH:$CH)/2))/SUMIF(ProductCodes,"C",$CH:$CH)),IF($A31="S",(SUMIF(#REF!,CW$17,#REF!)*$CG31)/2,
IF($A31="B",(SUMIF(#REF!,CW$17,#REF!)*$CG31),
IF($A31="R",(SUMIF(#REF!,CW$17,#REF!)*$CG31),
IF($A31="H",(SUMIF(#REF!,CW$17,#REF!)*$CG31),"")))))),
IF(SUMIF(ProductCodes,"S",$CI:$CI)=$CI$782,(IF($A31="S",(SUMIF(#REF!,CW$17,#REF!)*$CG31)*((SUMIF(ProductCodes,"S",$CI:$CI)-SUMIF(ProductCodes,"H",$CH:$CH)-SUMIF(ProductCodes,"R",$CH:$CH)-SUMIF(ProductCodes,"B",$CH:$CH)-(SUMIF(ProductCodes,"C",$CH:$CH)/4))/SUMIF(ProductCodes,"S",$CH:$CH)),
IF($A31="C",(SUMIF(#REF!,CW$17,#REF!)*$CG31)/4,
IF($A31="B",(SUMIF(#REF!,CW$17,#REF!)*$CG31),
IF($A31="R",(SUMIF(#REF!,CW$17,#REF!)*$CG31),
IF($A31="H",(SUMIF(#REF!,CW$17,#REF!)*$CG31),"")))))),
IF($A31="C",(SUMIF(#REF!,CW$17,#REF!)*$CG31)*(SUMIF(ProductCodes,"C",$CI:$CI)/(SUMIF(ProductCodes,"C",$CH:$CH))),
IF($A31="S",(SUMIF(#REF!,CW$17,#REF!)*$CG31)*(SUMIF(ProductCodes,"S",$CI:$CI)/(SUMIF(ProductCodes,"S",$CH:$CH))),
IF($A31="B",(SUMIF(#REF!,CW$17,#REF!)*$CG31)*(SUMIF(ProductCodes,"B",$CI:$CI)/(SUMIF(ProductCodes,"B",$CH:$CH))),
IF($A31="R",(SUMIF(#REF!,CW$17,#REF!)*$CG31)*(SUMIF(ProductCodes,"R",$CI:$CI)/(SUMIF(ProductCodes,"R",$CH:$CH))),
IF($A31="H",(SUMIF(#REF!,CW$17,#REF!)*$CG31)*(SUMIF(ProductCodes,"H",$CI:$CI)/(SUMIF(ProductCodes,"H",$CH:$CH))),""))))))),"Error")</f>
        <v>Error</v>
      </c>
      <c r="CX31" s="84" t="str">
        <f>IFERROR(
IF(SUMIF(ProductCodes,"C",$CI:$CI)=$CI$782,(IF($A31="C",(SUMIF(#REF!,CX$17,#REF!)*$CG31)*((SUMIF(ProductCodes,"C",$CI:$CI)-SUMIF(ProductCodes,"H",$CH:$CH)-SUMIF(ProductCodes,"R",$CH:$CH)-SUMIF(ProductCodes,"B",$CH:$CH)-(SUMIF(ProductCodes,"S",$CH:$CH)/2))/SUMIF(ProductCodes,"C",$CH:$CH)),IF($A31="S",(SUMIF(#REF!,CX$17,#REF!)*$CG31)/2,
IF($A31="B",(SUMIF(#REF!,CX$17,#REF!)*$CG31),
IF($A31="R",(SUMIF(#REF!,CX$17,#REF!)*$CG31),
IF($A31="H",(SUMIF(#REF!,CX$17,#REF!)*$CG31),"")))))),
IF(SUMIF(ProductCodes,"S",$CI:$CI)=$CI$782,(IF($A31="S",(SUMIF(#REF!,CX$17,#REF!)*$CG31)*((SUMIF(ProductCodes,"S",$CI:$CI)-SUMIF(ProductCodes,"H",$CH:$CH)-SUMIF(ProductCodes,"R",$CH:$CH)-SUMIF(ProductCodes,"B",$CH:$CH)-(SUMIF(ProductCodes,"C",$CH:$CH)/4))/SUMIF(ProductCodes,"S",$CH:$CH)),
IF($A31="C",(SUMIF(#REF!,CX$17,#REF!)*$CG31)/4,
IF($A31="B",(SUMIF(#REF!,CX$17,#REF!)*$CG31),
IF($A31="R",(SUMIF(#REF!,CX$17,#REF!)*$CG31),
IF($A31="H",(SUMIF(#REF!,CX$17,#REF!)*$CG31),"")))))),
IF($A31="C",(SUMIF(#REF!,CX$17,#REF!)*$CG31)*(SUMIF(ProductCodes,"C",$CI:$CI)/(SUMIF(ProductCodes,"C",$CH:$CH))),
IF($A31="S",(SUMIF(#REF!,CX$17,#REF!)*$CG31)*(SUMIF(ProductCodes,"S",$CI:$CI)/(SUMIF(ProductCodes,"S",$CH:$CH))),
IF($A31="B",(SUMIF(#REF!,CX$17,#REF!)*$CG31)*(SUMIF(ProductCodes,"B",$CI:$CI)/(SUMIF(ProductCodes,"B",$CH:$CH))),
IF($A31="R",(SUMIF(#REF!,CX$17,#REF!)*$CG31)*(SUMIF(ProductCodes,"R",$CI:$CI)/(SUMIF(ProductCodes,"R",$CH:$CH))),
IF($A31="H",(SUMIF(#REF!,CX$17,#REF!)*$CG31)*(SUMIF(ProductCodes,"H",$CI:$CI)/(SUMIF(ProductCodes,"H",$CH:$CH))),""))))))),"Error")</f>
        <v>Error</v>
      </c>
      <c r="CY31" s="84" t="str">
        <f>IFERROR(
IF(SUMIF(ProductCodes,"C",$CI:$CI)=$CI$782,(IF($A31="C",(SUMIF(#REF!,CY$17,#REF!)*$CG31)*((SUMIF(ProductCodes,"C",$CI:$CI)-SUMIF(ProductCodes,"H",$CH:$CH)-SUMIF(ProductCodes,"R",$CH:$CH)-SUMIF(ProductCodes,"B",$CH:$CH)-(SUMIF(ProductCodes,"S",$CH:$CH)/2))/SUMIF(ProductCodes,"C",$CH:$CH)),IF($A31="S",(SUMIF(#REF!,CY$17,#REF!)*$CG31)/2,
IF($A31="B",(SUMIF(#REF!,CY$17,#REF!)*$CG31),
IF($A31="R",(SUMIF(#REF!,CY$17,#REF!)*$CG31),
IF($A31="H",(SUMIF(#REF!,CY$17,#REF!)*$CG31),"")))))),
IF(SUMIF(ProductCodes,"S",$CI:$CI)=$CI$782,(IF($A31="S",(SUMIF(#REF!,CY$17,#REF!)*$CG31)*((SUMIF(ProductCodes,"S",$CI:$CI)-SUMIF(ProductCodes,"H",$CH:$CH)-SUMIF(ProductCodes,"R",$CH:$CH)-SUMIF(ProductCodes,"B",$CH:$CH)-(SUMIF(ProductCodes,"C",$CH:$CH)/4))/SUMIF(ProductCodes,"S",$CH:$CH)),
IF($A31="C",(SUMIF(#REF!,CY$17,#REF!)*$CG31)/4,
IF($A31="B",(SUMIF(#REF!,CY$17,#REF!)*$CG31),
IF($A31="R",(SUMIF(#REF!,CY$17,#REF!)*$CG31),
IF($A31="H",(SUMIF(#REF!,CY$17,#REF!)*$CG31),"")))))),
IF($A31="C",(SUMIF(#REF!,CY$17,#REF!)*$CG31)*(SUMIF(ProductCodes,"C",$CI:$CI)/(SUMIF(ProductCodes,"C",$CH:$CH))),
IF($A31="S",(SUMIF(#REF!,CY$17,#REF!)*$CG31)*(SUMIF(ProductCodes,"S",$CI:$CI)/(SUMIF(ProductCodes,"S",$CH:$CH))),
IF($A31="B",(SUMIF(#REF!,CY$17,#REF!)*$CG31)*(SUMIF(ProductCodes,"B",$CI:$CI)/(SUMIF(ProductCodes,"B",$CH:$CH))),
IF($A31="R",(SUMIF(#REF!,CY$17,#REF!)*$CG31)*(SUMIF(ProductCodes,"R",$CI:$CI)/(SUMIF(ProductCodes,"R",$CH:$CH))),
IF($A31="H",(SUMIF(#REF!,CY$17,#REF!)*$CG31)*(SUMIF(ProductCodes,"H",$CI:$CI)/(SUMIF(ProductCodes,"H",$CH:$CH))),""))))))),"Error")</f>
        <v>Error</v>
      </c>
      <c r="CZ31" s="84" t="str">
        <f>IFERROR(
IF(SUMIF(ProductCodes,"C",$CI:$CI)=$CI$782,(IF($A31="C",(SUMIF(#REF!,CZ$17,#REF!)*$CG31)*((SUMIF(ProductCodes,"C",$CI:$CI)-SUMIF(ProductCodes,"H",$CH:$CH)-SUMIF(ProductCodes,"R",$CH:$CH)-SUMIF(ProductCodes,"B",$CH:$CH)-(SUMIF(ProductCodes,"S",$CH:$CH)/2))/SUMIF(ProductCodes,"C",$CH:$CH)),IF($A31="S",(SUMIF(#REF!,CZ$17,#REF!)*$CG31)/2,
IF($A31="B",(SUMIF(#REF!,CZ$17,#REF!)*$CG31),
IF($A31="R",(SUMIF(#REF!,CZ$17,#REF!)*$CG31),
IF($A31="H",(SUMIF(#REF!,CZ$17,#REF!)*$CG31),"")))))),
IF(SUMIF(ProductCodes,"S",$CI:$CI)=$CI$782,(IF($A31="S",(SUMIF(#REF!,CZ$17,#REF!)*$CG31)*((SUMIF(ProductCodes,"S",$CI:$CI)-SUMIF(ProductCodes,"H",$CH:$CH)-SUMIF(ProductCodes,"R",$CH:$CH)-SUMIF(ProductCodes,"B",$CH:$CH)-(SUMIF(ProductCodes,"C",$CH:$CH)/4))/SUMIF(ProductCodes,"S",$CH:$CH)),
IF($A31="C",(SUMIF(#REF!,CZ$17,#REF!)*$CG31)/4,
IF($A31="B",(SUMIF(#REF!,CZ$17,#REF!)*$CG31),
IF($A31="R",(SUMIF(#REF!,CZ$17,#REF!)*$CG31),
IF($A31="H",(SUMIF(#REF!,CZ$17,#REF!)*$CG31),"")))))),
IF($A31="C",(SUMIF(#REF!,CZ$17,#REF!)*$CG31)*(SUMIF(ProductCodes,"C",$CI:$CI)/(SUMIF(ProductCodes,"C",$CH:$CH))),
IF($A31="S",(SUMIF(#REF!,CZ$17,#REF!)*$CG31)*(SUMIF(ProductCodes,"S",$CI:$CI)/(SUMIF(ProductCodes,"S",$CH:$CH))),
IF($A31="B",(SUMIF(#REF!,CZ$17,#REF!)*$CG31)*(SUMIF(ProductCodes,"B",$CI:$CI)/(SUMIF(ProductCodes,"B",$CH:$CH))),
IF($A31="R",(SUMIF(#REF!,CZ$17,#REF!)*$CG31)*(SUMIF(ProductCodes,"R",$CI:$CI)/(SUMIF(ProductCodes,"R",$CH:$CH))),
IF($A31="H",(SUMIF(#REF!,CZ$17,#REF!)*$CG31)*(SUMIF(ProductCodes,"H",$CI:$CI)/(SUMIF(ProductCodes,"H",$CH:$CH))),""))))))),"Error")</f>
        <v>Error</v>
      </c>
      <c r="DA31" s="84" t="str">
        <f>IFERROR(
IF(SUMIF(ProductCodes,"C",$CI:$CI)=$CI$782,(IF($A31="C",(SUMIF(#REF!,DA$17,#REF!)*$CG31)*((SUMIF(ProductCodes,"C",$CI:$CI)-SUMIF(ProductCodes,"H",$CH:$CH)-SUMIF(ProductCodes,"R",$CH:$CH)-SUMIF(ProductCodes,"B",$CH:$CH)-(SUMIF(ProductCodes,"S",$CH:$CH)/2))/SUMIF(ProductCodes,"C",$CH:$CH)),IF($A31="S",(SUMIF(#REF!,DA$17,#REF!)*$CG31)/2,
IF($A31="B",(SUMIF(#REF!,DA$17,#REF!)*$CG31),
IF($A31="R",(SUMIF(#REF!,DA$17,#REF!)*$CG31),
IF($A31="H",(SUMIF(#REF!,DA$17,#REF!)*$CG31),"")))))),
IF(SUMIF(ProductCodes,"S",$CI:$CI)=$CI$782,(IF($A31="S",(SUMIF(#REF!,DA$17,#REF!)*$CG31)*((SUMIF(ProductCodes,"S",$CI:$CI)-SUMIF(ProductCodes,"H",$CH:$CH)-SUMIF(ProductCodes,"R",$CH:$CH)-SUMIF(ProductCodes,"B",$CH:$CH)-(SUMIF(ProductCodes,"C",$CH:$CH)/4))/SUMIF(ProductCodes,"S",$CH:$CH)),
IF($A31="C",(SUMIF(#REF!,DA$17,#REF!)*$CG31)/4,
IF($A31="B",(SUMIF(#REF!,DA$17,#REF!)*$CG31),
IF($A31="R",(SUMIF(#REF!,DA$17,#REF!)*$CG31),
IF($A31="H",(SUMIF(#REF!,DA$17,#REF!)*$CG31),"")))))),
IF($A31="C",(SUMIF(#REF!,DA$17,#REF!)*$CG31)*(SUMIF(ProductCodes,"C",$CI:$CI)/(SUMIF(ProductCodes,"C",$CH:$CH))),
IF($A31="S",(SUMIF(#REF!,DA$17,#REF!)*$CG31)*(SUMIF(ProductCodes,"S",$CI:$CI)/(SUMIF(ProductCodes,"S",$CH:$CH))),
IF($A31="B",(SUMIF(#REF!,DA$17,#REF!)*$CG31)*(SUMIF(ProductCodes,"B",$CI:$CI)/(SUMIF(ProductCodes,"B",$CH:$CH))),
IF($A31="R",(SUMIF(#REF!,DA$17,#REF!)*$CG31)*(SUMIF(ProductCodes,"R",$CI:$CI)/(SUMIF(ProductCodes,"R",$CH:$CH))),
IF($A31="H",(SUMIF(#REF!,DA$17,#REF!)*$CG31)*(SUMIF(ProductCodes,"H",$CI:$CI)/(SUMIF(ProductCodes,"H",$CH:$CH))),""))))))),"Error")</f>
        <v>Error</v>
      </c>
      <c r="DB31" s="84" t="str">
        <f>IFERROR(
IF(SUMIF(ProductCodes,"C",$CI:$CI)=$CI$782,(IF($A31="C",(SUMIF(#REF!,DB$17,#REF!)*$CG31)*((SUMIF(ProductCodes,"C",$CI:$CI)-SUMIF(ProductCodes,"H",$CH:$CH)-SUMIF(ProductCodes,"R",$CH:$CH)-SUMIF(ProductCodes,"B",$CH:$CH)-(SUMIF(ProductCodes,"S",$CH:$CH)/2))/SUMIF(ProductCodes,"C",$CH:$CH)),IF($A31="S",(SUMIF(#REF!,DB$17,#REF!)*$CG31)/2,
IF($A31="B",(SUMIF(#REF!,DB$17,#REF!)*$CG31),
IF($A31="R",(SUMIF(#REF!,DB$17,#REF!)*$CG31),
IF($A31="H",(SUMIF(#REF!,DB$17,#REF!)*$CG31),"")))))),
IF(SUMIF(ProductCodes,"S",$CI:$CI)=$CI$782,(IF($A31="S",(SUMIF(#REF!,DB$17,#REF!)*$CG31)*((SUMIF(ProductCodes,"S",$CI:$CI)-SUMIF(ProductCodes,"H",$CH:$CH)-SUMIF(ProductCodes,"R",$CH:$CH)-SUMIF(ProductCodes,"B",$CH:$CH)-(SUMIF(ProductCodes,"C",$CH:$CH)/4))/SUMIF(ProductCodes,"S",$CH:$CH)),
IF($A31="C",(SUMIF(#REF!,DB$17,#REF!)*$CG31)/4,
IF($A31="B",(SUMIF(#REF!,DB$17,#REF!)*$CG31),
IF($A31="R",(SUMIF(#REF!,DB$17,#REF!)*$CG31),
IF($A31="H",(SUMIF(#REF!,DB$17,#REF!)*$CG31),"")))))),
IF($A31="C",(SUMIF(#REF!,DB$17,#REF!)*$CG31)*(SUMIF(ProductCodes,"C",$CI:$CI)/(SUMIF(ProductCodes,"C",$CH:$CH))),
IF($A31="S",(SUMIF(#REF!,DB$17,#REF!)*$CG31)*(SUMIF(ProductCodes,"S",$CI:$CI)/(SUMIF(ProductCodes,"S",$CH:$CH))),
IF($A31="B",(SUMIF(#REF!,DB$17,#REF!)*$CG31)*(SUMIF(ProductCodes,"B",$CI:$CI)/(SUMIF(ProductCodes,"B",$CH:$CH))),
IF($A31="R",(SUMIF(#REF!,DB$17,#REF!)*$CG31)*(SUMIF(ProductCodes,"R",$CI:$CI)/(SUMIF(ProductCodes,"R",$CH:$CH))),
IF($A31="H",(SUMIF(#REF!,DB$17,#REF!)*$CG31)*(SUMIF(ProductCodes,"H",$CI:$CI)/(SUMIF(ProductCodes,"H",$CH:$CH))),""))))))),"Error")</f>
        <v>Error</v>
      </c>
      <c r="DC31" s="84" t="str">
        <f>IFERROR(
IF(SUMIF(ProductCodes,"C",$CI:$CI)=$CI$782,(IF($A31="C",(SUMIF(#REF!,DC$17,#REF!)*$CG31)*((SUMIF(ProductCodes,"C",$CI:$CI)-SUMIF(ProductCodes,"H",$CH:$CH)-SUMIF(ProductCodes,"R",$CH:$CH)-SUMIF(ProductCodes,"B",$CH:$CH)-(SUMIF(ProductCodes,"S",$CH:$CH)/2))/SUMIF(ProductCodes,"C",$CH:$CH)),IF($A31="S",(SUMIF(#REF!,DC$17,#REF!)*$CG31)/2,
IF($A31="B",(SUMIF(#REF!,DC$17,#REF!)*$CG31),
IF($A31="R",(SUMIF(#REF!,DC$17,#REF!)*$CG31),
IF($A31="H",(SUMIF(#REF!,DC$17,#REF!)*$CG31),"")))))),
IF(SUMIF(ProductCodes,"S",$CI:$CI)=$CI$782,(IF($A31="S",(SUMIF(#REF!,DC$17,#REF!)*$CG31)*((SUMIF(ProductCodes,"S",$CI:$CI)-SUMIF(ProductCodes,"H",$CH:$CH)-SUMIF(ProductCodes,"R",$CH:$CH)-SUMIF(ProductCodes,"B",$CH:$CH)-(SUMIF(ProductCodes,"C",$CH:$CH)/4))/SUMIF(ProductCodes,"S",$CH:$CH)),
IF($A31="C",(SUMIF(#REF!,DC$17,#REF!)*$CG31)/4,
IF($A31="B",(SUMIF(#REF!,DC$17,#REF!)*$CG31),
IF($A31="R",(SUMIF(#REF!,DC$17,#REF!)*$CG31),
IF($A31="H",(SUMIF(#REF!,DC$17,#REF!)*$CG31),"")))))),
IF($A31="C",(SUMIF(#REF!,DC$17,#REF!)*$CG31)*(SUMIF(ProductCodes,"C",$CI:$CI)/(SUMIF(ProductCodes,"C",$CH:$CH))),
IF($A31="S",(SUMIF(#REF!,DC$17,#REF!)*$CG31)*(SUMIF(ProductCodes,"S",$CI:$CI)/(SUMIF(ProductCodes,"S",$CH:$CH))),
IF($A31="B",(SUMIF(#REF!,DC$17,#REF!)*$CG31)*(SUMIF(ProductCodes,"B",$CI:$CI)/(SUMIF(ProductCodes,"B",$CH:$CH))),
IF($A31="R",(SUMIF(#REF!,DC$17,#REF!)*$CG31)*(SUMIF(ProductCodes,"R",$CI:$CI)/(SUMIF(ProductCodes,"R",$CH:$CH))),
IF($A31="H",(SUMIF(#REF!,DC$17,#REF!)*$CG31)*(SUMIF(ProductCodes,"H",$CI:$CI)/(SUMIF(ProductCodes,"H",$CH:$CH))),""))))))),"Error")</f>
        <v>Error</v>
      </c>
      <c r="DD31" s="84" t="str">
        <f>IFERROR(
IF(SUMIF(ProductCodes,"C",$CI:$CI)=$CI$782,(IF($A31="C",(SUMIF(#REF!,DD$17,#REF!)*$CG31)*((SUMIF(ProductCodes,"C",$CI:$CI)-SUMIF(ProductCodes,"H",$CH:$CH)-SUMIF(ProductCodes,"R",$CH:$CH)-SUMIF(ProductCodes,"B",$CH:$CH)-(SUMIF(ProductCodes,"S",$CH:$CH)/2))/SUMIF(ProductCodes,"C",$CH:$CH)),IF($A31="S",(SUMIF(#REF!,DD$17,#REF!)*$CG31)/2,
IF($A31="B",(SUMIF(#REF!,DD$17,#REF!)*$CG31),
IF($A31="R",(SUMIF(#REF!,DD$17,#REF!)*$CG31),
IF($A31="H",(SUMIF(#REF!,DD$17,#REF!)*$CG31),"")))))),
IF(SUMIF(ProductCodes,"S",$CI:$CI)=$CI$782,(IF($A31="S",(SUMIF(#REF!,DD$17,#REF!)*$CG31)*((SUMIF(ProductCodes,"S",$CI:$CI)-SUMIF(ProductCodes,"H",$CH:$CH)-SUMIF(ProductCodes,"R",$CH:$CH)-SUMIF(ProductCodes,"B",$CH:$CH)-(SUMIF(ProductCodes,"C",$CH:$CH)/4))/SUMIF(ProductCodes,"S",$CH:$CH)),
IF($A31="C",(SUMIF(#REF!,DD$17,#REF!)*$CG31)/4,
IF($A31="B",(SUMIF(#REF!,DD$17,#REF!)*$CG31),
IF($A31="R",(SUMIF(#REF!,DD$17,#REF!)*$CG31),
IF($A31="H",(SUMIF(#REF!,DD$17,#REF!)*$CG31),"")))))),
IF($A31="C",(SUMIF(#REF!,DD$17,#REF!)*$CG31)*(SUMIF(ProductCodes,"C",$CI:$CI)/(SUMIF(ProductCodes,"C",$CH:$CH))),
IF($A31="S",(SUMIF(#REF!,DD$17,#REF!)*$CG31)*(SUMIF(ProductCodes,"S",$CI:$CI)/(SUMIF(ProductCodes,"S",$CH:$CH))),
IF($A31="B",(SUMIF(#REF!,DD$17,#REF!)*$CG31)*(SUMIF(ProductCodes,"B",$CI:$CI)/(SUMIF(ProductCodes,"B",$CH:$CH))),
IF($A31="R",(SUMIF(#REF!,DD$17,#REF!)*$CG31)*(SUMIF(ProductCodes,"R",$CI:$CI)/(SUMIF(ProductCodes,"R",$CH:$CH))),
IF($A31="H",(SUMIF(#REF!,DD$17,#REF!)*$CG31)*(SUMIF(ProductCodes,"H",$CI:$CI)/(SUMIF(ProductCodes,"H",$CH:$CH))),""))))))),"Error")</f>
        <v>Error</v>
      </c>
      <c r="DE31" s="84" t="str">
        <f>IFERROR(
IF(SUMIF(ProductCodes,"C",$CI:$CI)=$CI$782,(IF($A31="C",(SUMIF(#REF!,DE$17,#REF!)*$CG31)*((SUMIF(ProductCodes,"C",$CI:$CI)-SUMIF(ProductCodes,"H",$CH:$CH)-SUMIF(ProductCodes,"R",$CH:$CH)-SUMIF(ProductCodes,"B",$CH:$CH)-(SUMIF(ProductCodes,"S",$CH:$CH)/2))/SUMIF(ProductCodes,"C",$CH:$CH)),IF($A31="S",(SUMIF(#REF!,DE$17,#REF!)*$CG31)/2,
IF($A31="B",(SUMIF(#REF!,DE$17,#REF!)*$CG31),
IF($A31="R",(SUMIF(#REF!,DE$17,#REF!)*$CG31),
IF($A31="H",(SUMIF(#REF!,DE$17,#REF!)*$CG31),"")))))),
IF(SUMIF(ProductCodes,"S",$CI:$CI)=$CI$782,(IF($A31="S",(SUMIF(#REF!,DE$17,#REF!)*$CG31)*((SUMIF(ProductCodes,"S",$CI:$CI)-SUMIF(ProductCodes,"H",$CH:$CH)-SUMIF(ProductCodes,"R",$CH:$CH)-SUMIF(ProductCodes,"B",$CH:$CH)-(SUMIF(ProductCodes,"C",$CH:$CH)/4))/SUMIF(ProductCodes,"S",$CH:$CH)),
IF($A31="C",(SUMIF(#REF!,DE$17,#REF!)*$CG31)/4,
IF($A31="B",(SUMIF(#REF!,DE$17,#REF!)*$CG31),
IF($A31="R",(SUMIF(#REF!,DE$17,#REF!)*$CG31),
IF($A31="H",(SUMIF(#REF!,DE$17,#REF!)*$CG31),"")))))),
IF($A31="C",(SUMIF(#REF!,DE$17,#REF!)*$CG31)*(SUMIF(ProductCodes,"C",$CI:$CI)/(SUMIF(ProductCodes,"C",$CH:$CH))),
IF($A31="S",(SUMIF(#REF!,DE$17,#REF!)*$CG31)*(SUMIF(ProductCodes,"S",$CI:$CI)/(SUMIF(ProductCodes,"S",$CH:$CH))),
IF($A31="B",(SUMIF(#REF!,DE$17,#REF!)*$CG31)*(SUMIF(ProductCodes,"B",$CI:$CI)/(SUMIF(ProductCodes,"B",$CH:$CH))),
IF($A31="R",(SUMIF(#REF!,DE$17,#REF!)*$CG31)*(SUMIF(ProductCodes,"R",$CI:$CI)/(SUMIF(ProductCodes,"R",$CH:$CH))),
IF($A31="H",(SUMIF(#REF!,DE$17,#REF!)*$CG31)*(SUMIF(ProductCodes,"H",$CI:$CI)/(SUMIF(ProductCodes,"H",$CH:$CH))),""))))))),"Error")</f>
        <v>Error</v>
      </c>
      <c r="DF31" s="84" t="str">
        <f>IFERROR(
IF(SUMIF(ProductCodes,"C",$CI:$CI)=$CI$782,(IF($A31="C",(SUMIF(#REF!,DF$17,#REF!)*$CG31)*((SUMIF(ProductCodes,"C",$CI:$CI)-SUMIF(ProductCodes,"H",$CH:$CH)-SUMIF(ProductCodes,"R",$CH:$CH)-SUMIF(ProductCodes,"B",$CH:$CH)-(SUMIF(ProductCodes,"S",$CH:$CH)/2))/SUMIF(ProductCodes,"C",$CH:$CH)),IF($A31="S",(SUMIF(#REF!,DF$17,#REF!)*$CG31)/2,
IF($A31="B",(SUMIF(#REF!,DF$17,#REF!)*$CG31),
IF($A31="R",(SUMIF(#REF!,DF$17,#REF!)*$CG31),
IF($A31="H",(SUMIF(#REF!,DF$17,#REF!)*$CG31),"")))))),
IF(SUMIF(ProductCodes,"S",$CI:$CI)=$CI$782,(IF($A31="S",(SUMIF(#REF!,DF$17,#REF!)*$CG31)*((SUMIF(ProductCodes,"S",$CI:$CI)-SUMIF(ProductCodes,"H",$CH:$CH)-SUMIF(ProductCodes,"R",$CH:$CH)-SUMIF(ProductCodes,"B",$CH:$CH)-(SUMIF(ProductCodes,"C",$CH:$CH)/4))/SUMIF(ProductCodes,"S",$CH:$CH)),
IF($A31="C",(SUMIF(#REF!,DF$17,#REF!)*$CG31)/4,
IF($A31="B",(SUMIF(#REF!,DF$17,#REF!)*$CG31),
IF($A31="R",(SUMIF(#REF!,DF$17,#REF!)*$CG31),
IF($A31="H",(SUMIF(#REF!,DF$17,#REF!)*$CG31),"")))))),
IF($A31="C",(SUMIF(#REF!,DF$17,#REF!)*$CG31)*(SUMIF(ProductCodes,"C",$CI:$CI)/(SUMIF(ProductCodes,"C",$CH:$CH))),
IF($A31="S",(SUMIF(#REF!,DF$17,#REF!)*$CG31)*(SUMIF(ProductCodes,"S",$CI:$CI)/(SUMIF(ProductCodes,"S",$CH:$CH))),
IF($A31="B",(SUMIF(#REF!,DF$17,#REF!)*$CG31)*(SUMIF(ProductCodes,"B",$CI:$CI)/(SUMIF(ProductCodes,"B",$CH:$CH))),
IF($A31="R",(SUMIF(#REF!,DF$17,#REF!)*$CG31)*(SUMIF(ProductCodes,"R",$CI:$CI)/(SUMIF(ProductCodes,"R",$CH:$CH))),
IF($A31="H",(SUMIF(#REF!,DF$17,#REF!)*$CG31)*(SUMIF(ProductCodes,"H",$CI:$CI)/(SUMIF(ProductCodes,"H",$CH:$CH))),""))))))),"Error")</f>
        <v>Error</v>
      </c>
      <c r="DG31" s="84" t="str">
        <f>IFERROR(
IF(SUMIF(ProductCodes,"C",$CI:$CI)=$CI$782,(IF($A31="C",(SUMIF(#REF!,DG$17,#REF!)*$CG31)*((SUMIF(ProductCodes,"C",$CI:$CI)-SUMIF(ProductCodes,"H",$CH:$CH)-SUMIF(ProductCodes,"R",$CH:$CH)-SUMIF(ProductCodes,"B",$CH:$CH)-(SUMIF(ProductCodes,"S",$CH:$CH)/2))/SUMIF(ProductCodes,"C",$CH:$CH)),IF($A31="S",(SUMIF(#REF!,DG$17,#REF!)*$CG31)/2,
IF($A31="B",(SUMIF(#REF!,DG$17,#REF!)*$CG31),
IF($A31="R",(SUMIF(#REF!,DG$17,#REF!)*$CG31),
IF($A31="H",(SUMIF(#REF!,DG$17,#REF!)*$CG31),"")))))),
IF(SUMIF(ProductCodes,"S",$CI:$CI)=$CI$782,(IF($A31="S",(SUMIF(#REF!,DG$17,#REF!)*$CG31)*((SUMIF(ProductCodes,"S",$CI:$CI)-SUMIF(ProductCodes,"H",$CH:$CH)-SUMIF(ProductCodes,"R",$CH:$CH)-SUMIF(ProductCodes,"B",$CH:$CH)-(SUMIF(ProductCodes,"C",$CH:$CH)/4))/SUMIF(ProductCodes,"S",$CH:$CH)),
IF($A31="C",(SUMIF(#REF!,DG$17,#REF!)*$CG31)/4,
IF($A31="B",(SUMIF(#REF!,DG$17,#REF!)*$CG31),
IF($A31="R",(SUMIF(#REF!,DG$17,#REF!)*$CG31),
IF($A31="H",(SUMIF(#REF!,DG$17,#REF!)*$CG31),"")))))),
IF($A31="C",(SUMIF(#REF!,DG$17,#REF!)*$CG31)*(SUMIF(ProductCodes,"C",$CI:$CI)/(SUMIF(ProductCodes,"C",$CH:$CH))),
IF($A31="S",(SUMIF(#REF!,DG$17,#REF!)*$CG31)*(SUMIF(ProductCodes,"S",$CI:$CI)/(SUMIF(ProductCodes,"S",$CH:$CH))),
IF($A31="B",(SUMIF(#REF!,DG$17,#REF!)*$CG31)*(SUMIF(ProductCodes,"B",$CI:$CI)/(SUMIF(ProductCodes,"B",$CH:$CH))),
IF($A31="R",(SUMIF(#REF!,DG$17,#REF!)*$CG31)*(SUMIF(ProductCodes,"R",$CI:$CI)/(SUMIF(ProductCodes,"R",$CH:$CH))),
IF($A31="H",(SUMIF(#REF!,DG$17,#REF!)*$CG31)*(SUMIF(ProductCodes,"H",$CI:$CI)/(SUMIF(ProductCodes,"H",$CH:$CH))),""))))))),"Error")</f>
        <v>Error</v>
      </c>
      <c r="DH31" s="84" t="str">
        <f>IFERROR(
IF(SUMIF(ProductCodes,"C",$CI:$CI)=$CI$782,(IF($A31="C",(SUMIF(#REF!,DH$17,#REF!)*$CG31)*((SUMIF(ProductCodes,"C",$CI:$CI)-SUMIF(ProductCodes,"H",$CH:$CH)-SUMIF(ProductCodes,"R",$CH:$CH)-SUMIF(ProductCodes,"B",$CH:$CH)-(SUMIF(ProductCodes,"S",$CH:$CH)/2))/SUMIF(ProductCodes,"C",$CH:$CH)),IF($A31="S",(SUMIF(#REF!,DH$17,#REF!)*$CG31)/2,
IF($A31="B",(SUMIF(#REF!,DH$17,#REF!)*$CG31),
IF($A31="R",(SUMIF(#REF!,DH$17,#REF!)*$CG31),
IF($A31="H",(SUMIF(#REF!,DH$17,#REF!)*$CG31),"")))))),
IF(SUMIF(ProductCodes,"S",$CI:$CI)=$CI$782,(IF($A31="S",(SUMIF(#REF!,DH$17,#REF!)*$CG31)*((SUMIF(ProductCodes,"S",$CI:$CI)-SUMIF(ProductCodes,"H",$CH:$CH)-SUMIF(ProductCodes,"R",$CH:$CH)-SUMIF(ProductCodes,"B",$CH:$CH)-(SUMIF(ProductCodes,"C",$CH:$CH)/4))/SUMIF(ProductCodes,"S",$CH:$CH)),
IF($A31="C",(SUMIF(#REF!,DH$17,#REF!)*$CG31)/4,
IF($A31="B",(SUMIF(#REF!,DH$17,#REF!)*$CG31),
IF($A31="R",(SUMIF(#REF!,DH$17,#REF!)*$CG31),
IF($A31="H",(SUMIF(#REF!,DH$17,#REF!)*$CG31),"")))))),
IF($A31="C",(SUMIF(#REF!,DH$17,#REF!)*$CG31)*(SUMIF(ProductCodes,"C",$CI:$CI)/(SUMIF(ProductCodes,"C",$CH:$CH))),
IF($A31="S",(SUMIF(#REF!,DH$17,#REF!)*$CG31)*(SUMIF(ProductCodes,"S",$CI:$CI)/(SUMIF(ProductCodes,"S",$CH:$CH))),
IF($A31="B",(SUMIF(#REF!,DH$17,#REF!)*$CG31)*(SUMIF(ProductCodes,"B",$CI:$CI)/(SUMIF(ProductCodes,"B",$CH:$CH))),
IF($A31="R",(SUMIF(#REF!,DH$17,#REF!)*$CG31)*(SUMIF(ProductCodes,"R",$CI:$CI)/(SUMIF(ProductCodes,"R",$CH:$CH))),
IF($A31="H",(SUMIF(#REF!,DH$17,#REF!)*$CG31)*(SUMIF(ProductCodes,"H",$CI:$CI)/(SUMIF(ProductCodes,"H",$CH:$CH))),""))))))),"Error")</f>
        <v>Error</v>
      </c>
      <c r="DI31" s="84" t="str">
        <f>IFERROR(
IF(SUMIF(ProductCodes,"C",$CI:$CI)=$CI$782,(IF($A31="C",(SUMIF(#REF!,DI$17,#REF!)*$CG31)*((SUMIF(ProductCodes,"C",$CI:$CI)-SUMIF(ProductCodes,"H",$CH:$CH)-SUMIF(ProductCodes,"R",$CH:$CH)-SUMIF(ProductCodes,"B",$CH:$CH)-(SUMIF(ProductCodes,"S",$CH:$CH)/2))/SUMIF(ProductCodes,"C",$CH:$CH)),IF($A31="S",(SUMIF(#REF!,DI$17,#REF!)*$CG31)/2,
IF($A31="B",(SUMIF(#REF!,DI$17,#REF!)*$CG31),
IF($A31="R",(SUMIF(#REF!,DI$17,#REF!)*$CG31),
IF($A31="H",(SUMIF(#REF!,DI$17,#REF!)*$CG31),"")))))),
IF(SUMIF(ProductCodes,"S",$CI:$CI)=$CI$782,(IF($A31="S",(SUMIF(#REF!,DI$17,#REF!)*$CG31)*((SUMIF(ProductCodes,"S",$CI:$CI)-SUMIF(ProductCodes,"H",$CH:$CH)-SUMIF(ProductCodes,"R",$CH:$CH)-SUMIF(ProductCodes,"B",$CH:$CH)-(SUMIF(ProductCodes,"C",$CH:$CH)/4))/SUMIF(ProductCodes,"S",$CH:$CH)),
IF($A31="C",(SUMIF(#REF!,DI$17,#REF!)*$CG31)/4,
IF($A31="B",(SUMIF(#REF!,DI$17,#REF!)*$CG31),
IF($A31="R",(SUMIF(#REF!,DI$17,#REF!)*$CG31),
IF($A31="H",(SUMIF(#REF!,DI$17,#REF!)*$CG31),"")))))),
IF($A31="C",(SUMIF(#REF!,DI$17,#REF!)*$CG31)*(SUMIF(ProductCodes,"C",$CI:$CI)/(SUMIF(ProductCodes,"C",$CH:$CH))),
IF($A31="S",(SUMIF(#REF!,DI$17,#REF!)*$CG31)*(SUMIF(ProductCodes,"S",$CI:$CI)/(SUMIF(ProductCodes,"S",$CH:$CH))),
IF($A31="B",(SUMIF(#REF!,DI$17,#REF!)*$CG31)*(SUMIF(ProductCodes,"B",$CI:$CI)/(SUMIF(ProductCodes,"B",$CH:$CH))),
IF($A31="R",(SUMIF(#REF!,DI$17,#REF!)*$CG31)*(SUMIF(ProductCodes,"R",$CI:$CI)/(SUMIF(ProductCodes,"R",$CH:$CH))),
IF($A31="H",(SUMIF(#REF!,DI$17,#REF!)*$CG31)*(SUMIF(ProductCodes,"H",$CI:$CI)/(SUMIF(ProductCodes,"H",$CH:$CH))),""))))))),"Error")</f>
        <v>Error</v>
      </c>
      <c r="DJ31" s="84" t="str">
        <f>IFERROR(
IF(SUMIF(ProductCodes,"C",$CI:$CI)=$CI$782,(IF($A31="C",(SUMIF(#REF!,DJ$17,#REF!)*$CG31)*((SUMIF(ProductCodes,"C",$CI:$CI)-SUMIF(ProductCodes,"H",$CH:$CH)-SUMIF(ProductCodes,"R",$CH:$CH)-SUMIF(ProductCodes,"B",$CH:$CH)-(SUMIF(ProductCodes,"S",$CH:$CH)/2))/SUMIF(ProductCodes,"C",$CH:$CH)),IF($A31="S",(SUMIF(#REF!,DJ$17,#REF!)*$CG31)/2,
IF($A31="B",(SUMIF(#REF!,DJ$17,#REF!)*$CG31),
IF($A31="R",(SUMIF(#REF!,DJ$17,#REF!)*$CG31),
IF($A31="H",(SUMIF(#REF!,DJ$17,#REF!)*$CG31),"")))))),
IF(SUMIF(ProductCodes,"S",$CI:$CI)=$CI$782,(IF($A31="S",(SUMIF(#REF!,DJ$17,#REF!)*$CG31)*((SUMIF(ProductCodes,"S",$CI:$CI)-SUMIF(ProductCodes,"H",$CH:$CH)-SUMIF(ProductCodes,"R",$CH:$CH)-SUMIF(ProductCodes,"B",$CH:$CH)-(SUMIF(ProductCodes,"C",$CH:$CH)/4))/SUMIF(ProductCodes,"S",$CH:$CH)),
IF($A31="C",(SUMIF(#REF!,DJ$17,#REF!)*$CG31)/4,
IF($A31="B",(SUMIF(#REF!,DJ$17,#REF!)*$CG31),
IF($A31="R",(SUMIF(#REF!,DJ$17,#REF!)*$CG31),
IF($A31="H",(SUMIF(#REF!,DJ$17,#REF!)*$CG31),"")))))),
IF($A31="C",(SUMIF(#REF!,DJ$17,#REF!)*$CG31)*(SUMIF(ProductCodes,"C",$CI:$CI)/(SUMIF(ProductCodes,"C",$CH:$CH))),
IF($A31="S",(SUMIF(#REF!,DJ$17,#REF!)*$CG31)*(SUMIF(ProductCodes,"S",$CI:$CI)/(SUMIF(ProductCodes,"S",$CH:$CH))),
IF($A31="B",(SUMIF(#REF!,DJ$17,#REF!)*$CG31)*(SUMIF(ProductCodes,"B",$CI:$CI)/(SUMIF(ProductCodes,"B",$CH:$CH))),
IF($A31="R",(SUMIF(#REF!,DJ$17,#REF!)*$CG31)*(SUMIF(ProductCodes,"R",$CI:$CI)/(SUMIF(ProductCodes,"R",$CH:$CH))),
IF($A31="H",(SUMIF(#REF!,DJ$17,#REF!)*$CG31)*(SUMIF(ProductCodes,"H",$CI:$CI)/(SUMIF(ProductCodes,"H",$CH:$CH))),""))))))),"Error")</f>
        <v>Error</v>
      </c>
      <c r="DK31" s="84" t="str">
        <f>IFERROR(
IF(SUMIF(ProductCodes,"C",$CI:$CI)=$CI$782,(IF($A31="C",(SUMIF(#REF!,DK$17,#REF!)*$CG31)*((SUMIF(ProductCodes,"C",$CI:$CI)-SUMIF(ProductCodes,"H",$CH:$CH)-SUMIF(ProductCodes,"R",$CH:$CH)-SUMIF(ProductCodes,"B",$CH:$CH)-(SUMIF(ProductCodes,"S",$CH:$CH)/2))/SUMIF(ProductCodes,"C",$CH:$CH)),IF($A31="S",(SUMIF(#REF!,DK$17,#REF!)*$CG31)/2,
IF($A31="B",(SUMIF(#REF!,DK$17,#REF!)*$CG31),
IF($A31="R",(SUMIF(#REF!,DK$17,#REF!)*$CG31),
IF($A31="H",(SUMIF(#REF!,DK$17,#REF!)*$CG31),"")))))),
IF(SUMIF(ProductCodes,"S",$CI:$CI)=$CI$782,(IF($A31="S",(SUMIF(#REF!,DK$17,#REF!)*$CG31)*((SUMIF(ProductCodes,"S",$CI:$CI)-SUMIF(ProductCodes,"H",$CH:$CH)-SUMIF(ProductCodes,"R",$CH:$CH)-SUMIF(ProductCodes,"B",$CH:$CH)-(SUMIF(ProductCodes,"C",$CH:$CH)/4))/SUMIF(ProductCodes,"S",$CH:$CH)),
IF($A31="C",(SUMIF(#REF!,DK$17,#REF!)*$CG31)/4,
IF($A31="B",(SUMIF(#REF!,DK$17,#REF!)*$CG31),
IF($A31="R",(SUMIF(#REF!,DK$17,#REF!)*$CG31),
IF($A31="H",(SUMIF(#REF!,DK$17,#REF!)*$CG31),"")))))),
IF($A31="C",(SUMIF(#REF!,DK$17,#REF!)*$CG31)*(SUMIF(ProductCodes,"C",$CI:$CI)/(SUMIF(ProductCodes,"C",$CH:$CH))),
IF($A31="S",(SUMIF(#REF!,DK$17,#REF!)*$CG31)*(SUMIF(ProductCodes,"S",$CI:$CI)/(SUMIF(ProductCodes,"S",$CH:$CH))),
IF($A31="B",(SUMIF(#REF!,DK$17,#REF!)*$CG31)*(SUMIF(ProductCodes,"B",$CI:$CI)/(SUMIF(ProductCodes,"B",$CH:$CH))),
IF($A31="R",(SUMIF(#REF!,DK$17,#REF!)*$CG31)*(SUMIF(ProductCodes,"R",$CI:$CI)/(SUMIF(ProductCodes,"R",$CH:$CH))),
IF($A31="H",(SUMIF(#REF!,DK$17,#REF!)*$CG31)*(SUMIF(ProductCodes,"H",$CI:$CI)/(SUMIF(ProductCodes,"H",$CH:$CH))),""))))))),"Error")</f>
        <v>Error</v>
      </c>
      <c r="DL31" s="84" t="str">
        <f>IFERROR(
IF(SUMIF(ProductCodes,"C",$CI:$CI)=$CI$782,(IF($A31="C",(SUMIF(#REF!,DL$17,#REF!)*$CG31)*((SUMIF(ProductCodes,"C",$CI:$CI)-SUMIF(ProductCodes,"H",$CH:$CH)-SUMIF(ProductCodes,"R",$CH:$CH)-SUMIF(ProductCodes,"B",$CH:$CH)-(SUMIF(ProductCodes,"S",$CH:$CH)/2))/SUMIF(ProductCodes,"C",$CH:$CH)),IF($A31="S",(SUMIF(#REF!,DL$17,#REF!)*$CG31)/2,
IF($A31="B",(SUMIF(#REF!,DL$17,#REF!)*$CG31),
IF($A31="R",(SUMIF(#REF!,DL$17,#REF!)*$CG31),
IF($A31="H",(SUMIF(#REF!,DL$17,#REF!)*$CG31),"")))))),
IF(SUMIF(ProductCodes,"S",$CI:$CI)=$CI$782,(IF($A31="S",(SUMIF(#REF!,DL$17,#REF!)*$CG31)*((SUMIF(ProductCodes,"S",$CI:$CI)-SUMIF(ProductCodes,"H",$CH:$CH)-SUMIF(ProductCodes,"R",$CH:$CH)-SUMIF(ProductCodes,"B",$CH:$CH)-(SUMIF(ProductCodes,"C",$CH:$CH)/4))/SUMIF(ProductCodes,"S",$CH:$CH)),
IF($A31="C",(SUMIF(#REF!,DL$17,#REF!)*$CG31)/4,
IF($A31="B",(SUMIF(#REF!,DL$17,#REF!)*$CG31),
IF($A31="R",(SUMIF(#REF!,DL$17,#REF!)*$CG31),
IF($A31="H",(SUMIF(#REF!,DL$17,#REF!)*$CG31),"")))))),
IF($A31="C",(SUMIF(#REF!,DL$17,#REF!)*$CG31)*(SUMIF(ProductCodes,"C",$CI:$CI)/(SUMIF(ProductCodes,"C",$CH:$CH))),
IF($A31="S",(SUMIF(#REF!,DL$17,#REF!)*$CG31)*(SUMIF(ProductCodes,"S",$CI:$CI)/(SUMIF(ProductCodes,"S",$CH:$CH))),
IF($A31="B",(SUMIF(#REF!,DL$17,#REF!)*$CG31)*(SUMIF(ProductCodes,"B",$CI:$CI)/(SUMIF(ProductCodes,"B",$CH:$CH))),
IF($A31="R",(SUMIF(#REF!,DL$17,#REF!)*$CG31)*(SUMIF(ProductCodes,"R",$CI:$CI)/(SUMIF(ProductCodes,"R",$CH:$CH))),
IF($A31="H",(SUMIF(#REF!,DL$17,#REF!)*$CG31)*(SUMIF(ProductCodes,"H",$CI:$CI)/(SUMIF(ProductCodes,"H",$CH:$CH))),""))))))),"Error")</f>
        <v>Error</v>
      </c>
      <c r="DM31" s="84" t="str">
        <f>IFERROR(
IF(SUMIF(ProductCodes,"C",$CI:$CI)=$CI$782,(IF($A31="C",(SUMIF(#REF!,DM$17,#REF!)*$CG31)*((SUMIF(ProductCodes,"C",$CI:$CI)-SUMIF(ProductCodes,"H",$CH:$CH)-SUMIF(ProductCodes,"R",$CH:$CH)-SUMIF(ProductCodes,"B",$CH:$CH)-(SUMIF(ProductCodes,"S",$CH:$CH)/2))/SUMIF(ProductCodes,"C",$CH:$CH)),IF($A31="S",(SUMIF(#REF!,DM$17,#REF!)*$CG31)/2,
IF($A31="B",(SUMIF(#REF!,DM$17,#REF!)*$CG31),
IF($A31="R",(SUMIF(#REF!,DM$17,#REF!)*$CG31),
IF($A31="H",(SUMIF(#REF!,DM$17,#REF!)*$CG31),"")))))),
IF(SUMIF(ProductCodes,"S",$CI:$CI)=$CI$782,(IF($A31="S",(SUMIF(#REF!,DM$17,#REF!)*$CG31)*((SUMIF(ProductCodes,"S",$CI:$CI)-SUMIF(ProductCodes,"H",$CH:$CH)-SUMIF(ProductCodes,"R",$CH:$CH)-SUMIF(ProductCodes,"B",$CH:$CH)-(SUMIF(ProductCodes,"C",$CH:$CH)/4))/SUMIF(ProductCodes,"S",$CH:$CH)),
IF($A31="C",(SUMIF(#REF!,DM$17,#REF!)*$CG31)/4,
IF($A31="B",(SUMIF(#REF!,DM$17,#REF!)*$CG31),
IF($A31="R",(SUMIF(#REF!,DM$17,#REF!)*$CG31),
IF($A31="H",(SUMIF(#REF!,DM$17,#REF!)*$CG31),"")))))),
IF($A31="C",(SUMIF(#REF!,DM$17,#REF!)*$CG31)*(SUMIF(ProductCodes,"C",$CI:$CI)/(SUMIF(ProductCodes,"C",$CH:$CH))),
IF($A31="S",(SUMIF(#REF!,DM$17,#REF!)*$CG31)*(SUMIF(ProductCodes,"S",$CI:$CI)/(SUMIF(ProductCodes,"S",$CH:$CH))),
IF($A31="B",(SUMIF(#REF!,DM$17,#REF!)*$CG31)*(SUMIF(ProductCodes,"B",$CI:$CI)/(SUMIF(ProductCodes,"B",$CH:$CH))),
IF($A31="R",(SUMIF(#REF!,DM$17,#REF!)*$CG31)*(SUMIF(ProductCodes,"R",$CI:$CI)/(SUMIF(ProductCodes,"R",$CH:$CH))),
IF($A31="H",(SUMIF(#REF!,DM$17,#REF!)*$CG31)*(SUMIF(ProductCodes,"H",$CI:$CI)/(SUMIF(ProductCodes,"H",$CH:$CH))),""))))))),"Error")</f>
        <v>Error</v>
      </c>
      <c r="DN31" s="84" t="str">
        <f>IFERROR(
IF(SUMIF(ProductCodes,"C",$CI:$CI)=$CI$782,(IF($A31="C",(SUMIF(#REF!,DN$17,#REF!)*$CG31)*((SUMIF(ProductCodes,"C",$CI:$CI)-SUMIF(ProductCodes,"H",$CH:$CH)-SUMIF(ProductCodes,"R",$CH:$CH)-SUMIF(ProductCodes,"B",$CH:$CH)-(SUMIF(ProductCodes,"S",$CH:$CH)/2))/SUMIF(ProductCodes,"C",$CH:$CH)),IF($A31="S",(SUMIF(#REF!,DN$17,#REF!)*$CG31)/2,
IF($A31="B",(SUMIF(#REF!,DN$17,#REF!)*$CG31),
IF($A31="R",(SUMIF(#REF!,DN$17,#REF!)*$CG31),
IF($A31="H",(SUMIF(#REF!,DN$17,#REF!)*$CG31),"")))))),
IF(SUMIF(ProductCodes,"S",$CI:$CI)=$CI$782,(IF($A31="S",(SUMIF(#REF!,DN$17,#REF!)*$CG31)*((SUMIF(ProductCodes,"S",$CI:$CI)-SUMIF(ProductCodes,"H",$CH:$CH)-SUMIF(ProductCodes,"R",$CH:$CH)-SUMIF(ProductCodes,"B",$CH:$CH)-(SUMIF(ProductCodes,"C",$CH:$CH)/4))/SUMIF(ProductCodes,"S",$CH:$CH)),
IF($A31="C",(SUMIF(#REF!,DN$17,#REF!)*$CG31)/4,
IF($A31="B",(SUMIF(#REF!,DN$17,#REF!)*$CG31),
IF($A31="R",(SUMIF(#REF!,DN$17,#REF!)*$CG31),
IF($A31="H",(SUMIF(#REF!,DN$17,#REF!)*$CG31),"")))))),
IF($A31="C",(SUMIF(#REF!,DN$17,#REF!)*$CG31)*(SUMIF(ProductCodes,"C",$CI:$CI)/(SUMIF(ProductCodes,"C",$CH:$CH))),
IF($A31="S",(SUMIF(#REF!,DN$17,#REF!)*$CG31)*(SUMIF(ProductCodes,"S",$CI:$CI)/(SUMIF(ProductCodes,"S",$CH:$CH))),
IF($A31="B",(SUMIF(#REF!,DN$17,#REF!)*$CG31)*(SUMIF(ProductCodes,"B",$CI:$CI)/(SUMIF(ProductCodes,"B",$CH:$CH))),
IF($A31="R",(SUMIF(#REF!,DN$17,#REF!)*$CG31)*(SUMIF(ProductCodes,"R",$CI:$CI)/(SUMIF(ProductCodes,"R",$CH:$CH))),
IF($A31="H",(SUMIF(#REF!,DN$17,#REF!)*$CG31)*(SUMIF(ProductCodes,"H",$CI:$CI)/(SUMIF(ProductCodes,"H",$CH:$CH))),""))))))),"Error")</f>
        <v>Error</v>
      </c>
      <c r="DO31" s="84" t="str">
        <f>IFERROR(
IF(SUMIF(ProductCodes,"C",$CI:$CI)=$CI$782,(IF($A31="C",(SUMIF(#REF!,DO$17,#REF!)*$CG31)*((SUMIF(ProductCodes,"C",$CI:$CI)-SUMIF(ProductCodes,"H",$CH:$CH)-SUMIF(ProductCodes,"R",$CH:$CH)-SUMIF(ProductCodes,"B",$CH:$CH)-(SUMIF(ProductCodes,"S",$CH:$CH)/2))/SUMIF(ProductCodes,"C",$CH:$CH)),IF($A31="S",(SUMIF(#REF!,DO$17,#REF!)*$CG31)/2,
IF($A31="B",(SUMIF(#REF!,DO$17,#REF!)*$CG31),
IF($A31="R",(SUMIF(#REF!,DO$17,#REF!)*$CG31),
IF($A31="H",(SUMIF(#REF!,DO$17,#REF!)*$CG31),"")))))),
IF(SUMIF(ProductCodes,"S",$CI:$CI)=$CI$782,(IF($A31="S",(SUMIF(#REF!,DO$17,#REF!)*$CG31)*((SUMIF(ProductCodes,"S",$CI:$CI)-SUMIF(ProductCodes,"H",$CH:$CH)-SUMIF(ProductCodes,"R",$CH:$CH)-SUMIF(ProductCodes,"B",$CH:$CH)-(SUMIF(ProductCodes,"C",$CH:$CH)/4))/SUMIF(ProductCodes,"S",$CH:$CH)),
IF($A31="C",(SUMIF(#REF!,DO$17,#REF!)*$CG31)/4,
IF($A31="B",(SUMIF(#REF!,DO$17,#REF!)*$CG31),
IF($A31="R",(SUMIF(#REF!,DO$17,#REF!)*$CG31),
IF($A31="H",(SUMIF(#REF!,DO$17,#REF!)*$CG31),"")))))),
IF($A31="C",(SUMIF(#REF!,DO$17,#REF!)*$CG31)*(SUMIF(ProductCodes,"C",$CI:$CI)/(SUMIF(ProductCodes,"C",$CH:$CH))),
IF($A31="S",(SUMIF(#REF!,DO$17,#REF!)*$CG31)*(SUMIF(ProductCodes,"S",$CI:$CI)/(SUMIF(ProductCodes,"S",$CH:$CH))),
IF($A31="B",(SUMIF(#REF!,DO$17,#REF!)*$CG31)*(SUMIF(ProductCodes,"B",$CI:$CI)/(SUMIF(ProductCodes,"B",$CH:$CH))),
IF($A31="R",(SUMIF(#REF!,DO$17,#REF!)*$CG31)*(SUMIF(ProductCodes,"R",$CI:$CI)/(SUMIF(ProductCodes,"R",$CH:$CH))),
IF($A31="H",(SUMIF(#REF!,DO$17,#REF!)*$CG31)*(SUMIF(ProductCodes,"H",$CI:$CI)/(SUMIF(ProductCodes,"H",$CH:$CH))),""))))))),"Error")</f>
        <v>Error</v>
      </c>
      <c r="DP31" s="85" t="str">
        <f>IFERROR(
IF(SUMIF(ProductCodes,"C",$CI:$CI)=$CI$782,(IF($A31="C",(SUMIF(#REF!,DP$17,#REF!)*$CG31)*((SUMIF(ProductCodes,"C",$CI:$CI)-SUMIF(ProductCodes,"H",$CH:$CH)-SUMIF(ProductCodes,"R",$CH:$CH)-SUMIF(ProductCodes,"B",$CH:$CH)-(SUMIF(ProductCodes,"S",$CH:$CH)/2))/SUMIF(ProductCodes,"C",$CH:$CH)),IF($A31="S",(SUMIF(#REF!,DP$17,#REF!)*$CG31)/2,
IF($A31="B",(SUMIF(#REF!,DP$17,#REF!)*$CG31),
IF($A31="R",(SUMIF(#REF!,DP$17,#REF!)*$CG31),
IF($A31="H",(SUMIF(#REF!,DP$17,#REF!)*$CG31),"")))))),
IF(SUMIF(ProductCodes,"S",$CI:$CI)=$CI$782,(IF($A31="S",(SUMIF(#REF!,DP$17,#REF!)*$CG31)*((SUMIF(ProductCodes,"S",$CI:$CI)-SUMIF(ProductCodes,"H",$CH:$CH)-SUMIF(ProductCodes,"R",$CH:$CH)-SUMIF(ProductCodes,"B",$CH:$CH)-(SUMIF(ProductCodes,"C",$CH:$CH)/4))/SUMIF(ProductCodes,"S",$CH:$CH)),
IF($A31="C",(SUMIF(#REF!,DP$17,#REF!)*$CG31)/4,
IF($A31="B",(SUMIF(#REF!,DP$17,#REF!)*$CG31),
IF($A31="R",(SUMIF(#REF!,DP$17,#REF!)*$CG31),
IF($A31="H",(SUMIF(#REF!,DP$17,#REF!)*$CG31),"")))))),
IF($A31="C",(SUMIF(#REF!,DP$17,#REF!)*$CG31)*(SUMIF(ProductCodes,"C",$CI:$CI)/(SUMIF(ProductCodes,"C",$CH:$CH))),
IF($A31="S",(SUMIF(#REF!,DP$17,#REF!)*$CG31)*(SUMIF(ProductCodes,"S",$CI:$CI)/(SUMIF(ProductCodes,"S",$CH:$CH))),
IF($A31="B",(SUMIF(#REF!,DP$17,#REF!)*$CG31)*(SUMIF(ProductCodes,"B",$CI:$CI)/(SUMIF(ProductCodes,"B",$CH:$CH))),
IF($A31="R",(SUMIF(#REF!,DP$17,#REF!)*$CG31)*(SUMIF(ProductCodes,"R",$CI:$CI)/(SUMIF(ProductCodes,"R",$CH:$CH))),
IF($A31="H",(SUMIF(#REF!,DP$17,#REF!)*$CG31)*(SUMIF(ProductCodes,"H",$CI:$CI)/(SUMIF(ProductCodes,"H",$CH:$CH))),""))))))),"Error")</f>
        <v>Error</v>
      </c>
      <c r="DQ31" s="9"/>
      <c r="DR31" s="9"/>
      <c r="DS31"/>
      <c r="DT31"/>
      <c r="DU31"/>
      <c r="DV31"/>
      <c r="DW31"/>
      <c r="DX31"/>
      <c r="DY31"/>
      <c r="DZ31"/>
      <c r="EA31"/>
      <c r="EB31"/>
      <c r="EC31"/>
      <c r="ED31"/>
    </row>
    <row r="32" spans="1:134" s="86" customFormat="1" ht="66.75" customHeight="1" thickBot="1" x14ac:dyDescent="0.4">
      <c r="A32" s="90" t="s">
        <v>43</v>
      </c>
      <c r="B32" s="230" t="s">
        <v>80</v>
      </c>
      <c r="C32" s="207" t="s">
        <v>44</v>
      </c>
      <c r="D32" s="208" t="s">
        <v>45</v>
      </c>
      <c r="E32" s="103"/>
      <c r="F32" s="103"/>
      <c r="G32" s="106"/>
      <c r="H32" s="104"/>
      <c r="I32" s="102"/>
      <c r="J32" s="103"/>
      <c r="K32" s="103"/>
      <c r="L32" s="104"/>
      <c r="M32" s="105"/>
      <c r="N32" s="103"/>
      <c r="O32" s="103"/>
      <c r="P32" s="106"/>
      <c r="Q32" s="105"/>
      <c r="R32" s="103"/>
      <c r="S32" s="103"/>
      <c r="T32" s="106"/>
      <c r="U32" s="104"/>
      <c r="V32" s="105"/>
      <c r="W32" s="103"/>
      <c r="X32" s="103"/>
      <c r="Y32" s="104"/>
      <c r="Z32" s="105"/>
      <c r="AA32" s="103"/>
      <c r="AB32" s="103"/>
      <c r="AC32" s="103"/>
      <c r="AD32" s="235">
        <v>10</v>
      </c>
      <c r="AE32" s="236"/>
      <c r="AF32" s="236"/>
      <c r="AG32" s="236"/>
      <c r="AH32" s="237"/>
      <c r="AI32" s="290">
        <v>10</v>
      </c>
      <c r="AJ32" s="236"/>
      <c r="AK32" s="236"/>
      <c r="AL32" s="237"/>
      <c r="AM32" s="290">
        <v>10</v>
      </c>
      <c r="AN32" s="236"/>
      <c r="AO32" s="236"/>
      <c r="AP32" s="236"/>
      <c r="AQ32" s="237"/>
      <c r="AR32" s="290">
        <v>10</v>
      </c>
      <c r="AS32" s="236"/>
      <c r="AT32" s="236"/>
      <c r="AU32" s="237"/>
      <c r="AV32" s="290">
        <v>10</v>
      </c>
      <c r="AW32" s="236"/>
      <c r="AX32" s="236"/>
      <c r="AY32" s="237"/>
      <c r="AZ32" s="290">
        <v>10</v>
      </c>
      <c r="BA32" s="236"/>
      <c r="BB32" s="236"/>
      <c r="BC32" s="236"/>
      <c r="BD32" s="237"/>
      <c r="BE32" s="290">
        <v>10</v>
      </c>
      <c r="BF32" s="236"/>
      <c r="BG32" s="236"/>
      <c r="BH32" s="237"/>
      <c r="BI32" s="290">
        <v>10</v>
      </c>
      <c r="BJ32" s="236"/>
      <c r="BK32" s="236"/>
      <c r="BL32" s="237"/>
      <c r="BM32" s="290">
        <v>10</v>
      </c>
      <c r="BN32" s="236"/>
      <c r="BO32" s="236"/>
      <c r="BP32" s="236"/>
      <c r="BQ32" s="237"/>
      <c r="BR32" s="290">
        <v>10</v>
      </c>
      <c r="BS32" s="236"/>
      <c r="BT32" s="236"/>
      <c r="BU32" s="237"/>
      <c r="BV32" s="290">
        <v>10</v>
      </c>
      <c r="BW32" s="236"/>
      <c r="BX32" s="236"/>
      <c r="BY32" s="237"/>
      <c r="BZ32" s="290">
        <v>10</v>
      </c>
      <c r="CA32" s="236"/>
      <c r="CB32" s="236"/>
      <c r="CC32" s="237"/>
      <c r="CD32" s="198">
        <v>1</v>
      </c>
      <c r="CE32" s="199">
        <f t="shared" si="33"/>
        <v>120</v>
      </c>
      <c r="CF32" s="199">
        <f t="shared" si="31"/>
        <v>120</v>
      </c>
      <c r="CG32" s="190">
        <v>75</v>
      </c>
      <c r="CH32" s="212">
        <f t="shared" si="32"/>
        <v>9000</v>
      </c>
      <c r="CI32" s="240"/>
      <c r="CJ32" s="91"/>
      <c r="CK32" s="91"/>
      <c r="CL32" s="91"/>
      <c r="CM32" s="92"/>
      <c r="CN32" s="92">
        <f t="shared" si="36"/>
        <v>0</v>
      </c>
      <c r="CO32" s="93"/>
      <c r="CP32" s="75"/>
      <c r="CQ32" s="75"/>
      <c r="CR32" s="83"/>
      <c r="CS32" s="84" t="str">
        <f>IFERROR(
IF(SUMIF(ProductCodes,"C",$CI:$CI)=$CI$782,(IF($A32="C",(SUMIF(#REF!,CS$17,#REF!)*$CG32)*((SUMIF(ProductCodes,"C",$CI:$CI)-SUMIF(ProductCodes,"H",$CH:$CH)-SUMIF(ProductCodes,"R",$CH:$CH)-SUMIF(ProductCodes,"B",$CH:$CH)-(SUMIF(ProductCodes,"S",$CH:$CH)/2))/SUMIF(ProductCodes,"C",$CH:$CH)),IF($A32="S",(SUMIF(#REF!,CS$17,#REF!)*$CG32)/2,
IF($A32="B",(SUMIF(#REF!,CS$17,#REF!)*$CG32),
IF($A32="R",(SUMIF(#REF!,CS$17,#REF!)*$CG32),
IF($A32="H",(SUMIF(#REF!,CS$17,#REF!)*$CG32),"")))))),
IF(SUMIF(ProductCodes,"S",$CI:$CI)=$CI$782,(IF($A32="S",(SUMIF(#REF!,CS$17,#REF!)*$CG32)*((SUMIF(ProductCodes,"S",$CI:$CI)-SUMIF(ProductCodes,"H",$CH:$CH)-SUMIF(ProductCodes,"R",$CH:$CH)-SUMIF(ProductCodes,"B",$CH:$CH)-(SUMIF(ProductCodes,"C",$CH:$CH)/4))/SUMIF(ProductCodes,"S",$CH:$CH)),
IF($A32="C",(SUMIF(#REF!,CS$17,#REF!)*$CG32)/4,
IF($A32="B",(SUMIF(#REF!,CS$17,#REF!)*$CG32),
IF($A32="R",(SUMIF(#REF!,CS$17,#REF!)*$CG32),
IF($A32="H",(SUMIF(#REF!,CS$17,#REF!)*$CG32),"")))))),
IF($A32="C",(SUMIF(#REF!,CS$17,#REF!)*$CG32)*(SUMIF(ProductCodes,"C",$CI:$CI)/(SUMIF(ProductCodes,"C",$CH:$CH))),
IF($A32="S",(SUMIF(#REF!,CS$17,#REF!)*$CG32)*(SUMIF(ProductCodes,"S",$CI:$CI)/(SUMIF(ProductCodes,"S",$CH:$CH))),
IF($A32="B",(SUMIF(#REF!,CS$17,#REF!)*$CG32)*(SUMIF(ProductCodes,"B",$CI:$CI)/(SUMIF(ProductCodes,"B",$CH:$CH))),
IF($A32="R",(SUMIF(#REF!,CS$17,#REF!)*$CG32)*(SUMIF(ProductCodes,"R",$CI:$CI)/(SUMIF(ProductCodes,"R",$CH:$CH))),
IF($A32="H",(SUMIF(#REF!,CS$17,#REF!)*$CG32)*(SUMIF(ProductCodes,"H",$CI:$CI)/(SUMIF(ProductCodes,"H",$CH:$CH))),""))))))),"Error")</f>
        <v>Error</v>
      </c>
      <c r="CT32" s="84" t="str">
        <f>IFERROR(
IF(SUMIF(ProductCodes,"C",$CI:$CI)=$CI$782,(IF($A32="C",(SUMIF(#REF!,CT$17,#REF!)*$CG32)*((SUMIF(ProductCodes,"C",$CI:$CI)-SUMIF(ProductCodes,"H",$CH:$CH)-SUMIF(ProductCodes,"R",$CH:$CH)-SUMIF(ProductCodes,"B",$CH:$CH)-(SUMIF(ProductCodes,"S",$CH:$CH)/2))/SUMIF(ProductCodes,"C",$CH:$CH)),IF($A32="S",(SUMIF(#REF!,CT$17,#REF!)*$CG32)/2,
IF($A32="B",(SUMIF(#REF!,CT$17,#REF!)*$CG32),
IF($A32="R",(SUMIF(#REF!,CT$17,#REF!)*$CG32),
IF($A32="H",(SUMIF(#REF!,CT$17,#REF!)*$CG32),"")))))),
IF(SUMIF(ProductCodes,"S",$CI:$CI)=$CI$782,(IF($A32="S",(SUMIF(#REF!,CT$17,#REF!)*$CG32)*((SUMIF(ProductCodes,"S",$CI:$CI)-SUMIF(ProductCodes,"H",$CH:$CH)-SUMIF(ProductCodes,"R",$CH:$CH)-SUMIF(ProductCodes,"B",$CH:$CH)-(SUMIF(ProductCodes,"C",$CH:$CH)/4))/SUMIF(ProductCodes,"S",$CH:$CH)),
IF($A32="C",(SUMIF(#REF!,CT$17,#REF!)*$CG32)/4,
IF($A32="B",(SUMIF(#REF!,CT$17,#REF!)*$CG32),
IF($A32="R",(SUMIF(#REF!,CT$17,#REF!)*$CG32),
IF($A32="H",(SUMIF(#REF!,CT$17,#REF!)*$CG32),"")))))),
IF($A32="C",(SUMIF(#REF!,CT$17,#REF!)*$CG32)*(SUMIF(ProductCodes,"C",$CI:$CI)/(SUMIF(ProductCodes,"C",$CH:$CH))),
IF($A32="S",(SUMIF(#REF!,CT$17,#REF!)*$CG32)*(SUMIF(ProductCodes,"S",$CI:$CI)/(SUMIF(ProductCodes,"S",$CH:$CH))),
IF($A32="B",(SUMIF(#REF!,CT$17,#REF!)*$CG32)*(SUMIF(ProductCodes,"B",$CI:$CI)/(SUMIF(ProductCodes,"B",$CH:$CH))),
IF($A32="R",(SUMIF(#REF!,CT$17,#REF!)*$CG32)*(SUMIF(ProductCodes,"R",$CI:$CI)/(SUMIF(ProductCodes,"R",$CH:$CH))),
IF($A32="H",(SUMIF(#REF!,CT$17,#REF!)*$CG32)*(SUMIF(ProductCodes,"H",$CI:$CI)/(SUMIF(ProductCodes,"H",$CH:$CH))),""))))))),"Error")</f>
        <v>Error</v>
      </c>
      <c r="CU32" s="84" t="str">
        <f>IFERROR(
IF(SUMIF(ProductCodes,"C",$CI:$CI)=$CI$782,(IF($A32="C",(SUMIF(#REF!,CU$17,#REF!)*$CG32)*((SUMIF(ProductCodes,"C",$CI:$CI)-SUMIF(ProductCodes,"H",$CH:$CH)-SUMIF(ProductCodes,"R",$CH:$CH)-SUMIF(ProductCodes,"B",$CH:$CH)-(SUMIF(ProductCodes,"S",$CH:$CH)/2))/SUMIF(ProductCodes,"C",$CH:$CH)),IF($A32="S",(SUMIF(#REF!,CU$17,#REF!)*$CG32)/2,
IF($A32="B",(SUMIF(#REF!,CU$17,#REF!)*$CG32),
IF($A32="R",(SUMIF(#REF!,CU$17,#REF!)*$CG32),
IF($A32="H",(SUMIF(#REF!,CU$17,#REF!)*$CG32),"")))))),
IF(SUMIF(ProductCodes,"S",$CI:$CI)=$CI$782,(IF($A32="S",(SUMIF(#REF!,CU$17,#REF!)*$CG32)*((SUMIF(ProductCodes,"S",$CI:$CI)-SUMIF(ProductCodes,"H",$CH:$CH)-SUMIF(ProductCodes,"R",$CH:$CH)-SUMIF(ProductCodes,"B",$CH:$CH)-(SUMIF(ProductCodes,"C",$CH:$CH)/4))/SUMIF(ProductCodes,"S",$CH:$CH)),
IF($A32="C",(SUMIF(#REF!,CU$17,#REF!)*$CG32)/4,
IF($A32="B",(SUMIF(#REF!,CU$17,#REF!)*$CG32),
IF($A32="R",(SUMIF(#REF!,CU$17,#REF!)*$CG32),
IF($A32="H",(SUMIF(#REF!,CU$17,#REF!)*$CG32),"")))))),
IF($A32="C",(SUMIF(#REF!,CU$17,#REF!)*$CG32)*(SUMIF(ProductCodes,"C",$CI:$CI)/(SUMIF(ProductCodes,"C",$CH:$CH))),
IF($A32="S",(SUMIF(#REF!,CU$17,#REF!)*$CG32)*(SUMIF(ProductCodes,"S",$CI:$CI)/(SUMIF(ProductCodes,"S",$CH:$CH))),
IF($A32="B",(SUMIF(#REF!,CU$17,#REF!)*$CG32)*(SUMIF(ProductCodes,"B",$CI:$CI)/(SUMIF(ProductCodes,"B",$CH:$CH))),
IF($A32="R",(SUMIF(#REF!,CU$17,#REF!)*$CG32)*(SUMIF(ProductCodes,"R",$CI:$CI)/(SUMIF(ProductCodes,"R",$CH:$CH))),
IF($A32="H",(SUMIF(#REF!,CU$17,#REF!)*$CG32)*(SUMIF(ProductCodes,"H",$CI:$CI)/(SUMIF(ProductCodes,"H",$CH:$CH))),""))))))),"Error")</f>
        <v>Error</v>
      </c>
      <c r="CV32" s="84" t="str">
        <f>IFERROR(
IF(SUMIF(ProductCodes,"C",$CI:$CI)=$CI$782,(IF($A32="C",(SUMIF(#REF!,CV$17,#REF!)*$CG32)*((SUMIF(ProductCodes,"C",$CI:$CI)-SUMIF(ProductCodes,"H",$CH:$CH)-SUMIF(ProductCodes,"R",$CH:$CH)-SUMIF(ProductCodes,"B",$CH:$CH)-(SUMIF(ProductCodes,"S",$CH:$CH)/2))/SUMIF(ProductCodes,"C",$CH:$CH)),IF($A32="S",(SUMIF(#REF!,CV$17,#REF!)*$CG32)/2,
IF($A32="B",(SUMIF(#REF!,CV$17,#REF!)*$CG32),
IF($A32="R",(SUMIF(#REF!,CV$17,#REF!)*$CG32),
IF($A32="H",(SUMIF(#REF!,CV$17,#REF!)*$CG32),"")))))),
IF(SUMIF(ProductCodes,"S",$CI:$CI)=$CI$782,(IF($A32="S",(SUMIF(#REF!,CV$17,#REF!)*$CG32)*((SUMIF(ProductCodes,"S",$CI:$CI)-SUMIF(ProductCodes,"H",$CH:$CH)-SUMIF(ProductCodes,"R",$CH:$CH)-SUMIF(ProductCodes,"B",$CH:$CH)-(SUMIF(ProductCodes,"C",$CH:$CH)/4))/SUMIF(ProductCodes,"S",$CH:$CH)),
IF($A32="C",(SUMIF(#REF!,CV$17,#REF!)*$CG32)/4,
IF($A32="B",(SUMIF(#REF!,CV$17,#REF!)*$CG32),
IF($A32="R",(SUMIF(#REF!,CV$17,#REF!)*$CG32),
IF($A32="H",(SUMIF(#REF!,CV$17,#REF!)*$CG32),"")))))),
IF($A32="C",(SUMIF(#REF!,CV$17,#REF!)*$CG32)*(SUMIF(ProductCodes,"C",$CI:$CI)/(SUMIF(ProductCodes,"C",$CH:$CH))),
IF($A32="S",(SUMIF(#REF!,CV$17,#REF!)*$CG32)*(SUMIF(ProductCodes,"S",$CI:$CI)/(SUMIF(ProductCodes,"S",$CH:$CH))),
IF($A32="B",(SUMIF(#REF!,CV$17,#REF!)*$CG32)*(SUMIF(ProductCodes,"B",$CI:$CI)/(SUMIF(ProductCodes,"B",$CH:$CH))),
IF($A32="R",(SUMIF(#REF!,CV$17,#REF!)*$CG32)*(SUMIF(ProductCodes,"R",$CI:$CI)/(SUMIF(ProductCodes,"R",$CH:$CH))),
IF($A32="H",(SUMIF(#REF!,CV$17,#REF!)*$CG32)*(SUMIF(ProductCodes,"H",$CI:$CI)/(SUMIF(ProductCodes,"H",$CH:$CH))),""))))))),"Error")</f>
        <v>Error</v>
      </c>
      <c r="CW32" s="84" t="str">
        <f>IFERROR(
IF(SUMIF(ProductCodes,"C",$CI:$CI)=$CI$782,(IF($A32="C",(SUMIF(#REF!,CW$17,#REF!)*$CG32)*((SUMIF(ProductCodes,"C",$CI:$CI)-SUMIF(ProductCodes,"H",$CH:$CH)-SUMIF(ProductCodes,"R",$CH:$CH)-SUMIF(ProductCodes,"B",$CH:$CH)-(SUMIF(ProductCodes,"S",$CH:$CH)/2))/SUMIF(ProductCodes,"C",$CH:$CH)),IF($A32="S",(SUMIF(#REF!,CW$17,#REF!)*$CG32)/2,
IF($A32="B",(SUMIF(#REF!,CW$17,#REF!)*$CG32),
IF($A32="R",(SUMIF(#REF!,CW$17,#REF!)*$CG32),
IF($A32="H",(SUMIF(#REF!,CW$17,#REF!)*$CG32),"")))))),
IF(SUMIF(ProductCodes,"S",$CI:$CI)=$CI$782,(IF($A32="S",(SUMIF(#REF!,CW$17,#REF!)*$CG32)*((SUMIF(ProductCodes,"S",$CI:$CI)-SUMIF(ProductCodes,"H",$CH:$CH)-SUMIF(ProductCodes,"R",$CH:$CH)-SUMIF(ProductCodes,"B",$CH:$CH)-(SUMIF(ProductCodes,"C",$CH:$CH)/4))/SUMIF(ProductCodes,"S",$CH:$CH)),
IF($A32="C",(SUMIF(#REF!,CW$17,#REF!)*$CG32)/4,
IF($A32="B",(SUMIF(#REF!,CW$17,#REF!)*$CG32),
IF($A32="R",(SUMIF(#REF!,CW$17,#REF!)*$CG32),
IF($A32="H",(SUMIF(#REF!,CW$17,#REF!)*$CG32),"")))))),
IF($A32="C",(SUMIF(#REF!,CW$17,#REF!)*$CG32)*(SUMIF(ProductCodes,"C",$CI:$CI)/(SUMIF(ProductCodes,"C",$CH:$CH))),
IF($A32="S",(SUMIF(#REF!,CW$17,#REF!)*$CG32)*(SUMIF(ProductCodes,"S",$CI:$CI)/(SUMIF(ProductCodes,"S",$CH:$CH))),
IF($A32="B",(SUMIF(#REF!,CW$17,#REF!)*$CG32)*(SUMIF(ProductCodes,"B",$CI:$CI)/(SUMIF(ProductCodes,"B",$CH:$CH))),
IF($A32="R",(SUMIF(#REF!,CW$17,#REF!)*$CG32)*(SUMIF(ProductCodes,"R",$CI:$CI)/(SUMIF(ProductCodes,"R",$CH:$CH))),
IF($A32="H",(SUMIF(#REF!,CW$17,#REF!)*$CG32)*(SUMIF(ProductCodes,"H",$CI:$CI)/(SUMIF(ProductCodes,"H",$CH:$CH))),""))))))),"Error")</f>
        <v>Error</v>
      </c>
      <c r="CX32" s="84" t="str">
        <f>IFERROR(
IF(SUMIF(ProductCodes,"C",$CI:$CI)=$CI$782,(IF($A32="C",(SUMIF(#REF!,CX$17,#REF!)*$CG32)*((SUMIF(ProductCodes,"C",$CI:$CI)-SUMIF(ProductCodes,"H",$CH:$CH)-SUMIF(ProductCodes,"R",$CH:$CH)-SUMIF(ProductCodes,"B",$CH:$CH)-(SUMIF(ProductCodes,"S",$CH:$CH)/2))/SUMIF(ProductCodes,"C",$CH:$CH)),IF($A32="S",(SUMIF(#REF!,CX$17,#REF!)*$CG32)/2,
IF($A32="B",(SUMIF(#REF!,CX$17,#REF!)*$CG32),
IF($A32="R",(SUMIF(#REF!,CX$17,#REF!)*$CG32),
IF($A32="H",(SUMIF(#REF!,CX$17,#REF!)*$CG32),"")))))),
IF(SUMIF(ProductCodes,"S",$CI:$CI)=$CI$782,(IF($A32="S",(SUMIF(#REF!,CX$17,#REF!)*$CG32)*((SUMIF(ProductCodes,"S",$CI:$CI)-SUMIF(ProductCodes,"H",$CH:$CH)-SUMIF(ProductCodes,"R",$CH:$CH)-SUMIF(ProductCodes,"B",$CH:$CH)-(SUMIF(ProductCodes,"C",$CH:$CH)/4))/SUMIF(ProductCodes,"S",$CH:$CH)),
IF($A32="C",(SUMIF(#REF!,CX$17,#REF!)*$CG32)/4,
IF($A32="B",(SUMIF(#REF!,CX$17,#REF!)*$CG32),
IF($A32="R",(SUMIF(#REF!,CX$17,#REF!)*$CG32),
IF($A32="H",(SUMIF(#REF!,CX$17,#REF!)*$CG32),"")))))),
IF($A32="C",(SUMIF(#REF!,CX$17,#REF!)*$CG32)*(SUMIF(ProductCodes,"C",$CI:$CI)/(SUMIF(ProductCodes,"C",$CH:$CH))),
IF($A32="S",(SUMIF(#REF!,CX$17,#REF!)*$CG32)*(SUMIF(ProductCodes,"S",$CI:$CI)/(SUMIF(ProductCodes,"S",$CH:$CH))),
IF($A32="B",(SUMIF(#REF!,CX$17,#REF!)*$CG32)*(SUMIF(ProductCodes,"B",$CI:$CI)/(SUMIF(ProductCodes,"B",$CH:$CH))),
IF($A32="R",(SUMIF(#REF!,CX$17,#REF!)*$CG32)*(SUMIF(ProductCodes,"R",$CI:$CI)/(SUMIF(ProductCodes,"R",$CH:$CH))),
IF($A32="H",(SUMIF(#REF!,CX$17,#REF!)*$CG32)*(SUMIF(ProductCodes,"H",$CI:$CI)/(SUMIF(ProductCodes,"H",$CH:$CH))),""))))))),"Error")</f>
        <v>Error</v>
      </c>
      <c r="CY32" s="84" t="str">
        <f>IFERROR(
IF(SUMIF(ProductCodes,"C",$CI:$CI)=$CI$782,(IF($A32="C",(SUMIF(#REF!,CY$17,#REF!)*$CG32)*((SUMIF(ProductCodes,"C",$CI:$CI)-SUMIF(ProductCodes,"H",$CH:$CH)-SUMIF(ProductCodes,"R",$CH:$CH)-SUMIF(ProductCodes,"B",$CH:$CH)-(SUMIF(ProductCodes,"S",$CH:$CH)/2))/SUMIF(ProductCodes,"C",$CH:$CH)),IF($A32="S",(SUMIF(#REF!,CY$17,#REF!)*$CG32)/2,
IF($A32="B",(SUMIF(#REF!,CY$17,#REF!)*$CG32),
IF($A32="R",(SUMIF(#REF!,CY$17,#REF!)*$CG32),
IF($A32="H",(SUMIF(#REF!,CY$17,#REF!)*$CG32),"")))))),
IF(SUMIF(ProductCodes,"S",$CI:$CI)=$CI$782,(IF($A32="S",(SUMIF(#REF!,CY$17,#REF!)*$CG32)*((SUMIF(ProductCodes,"S",$CI:$CI)-SUMIF(ProductCodes,"H",$CH:$CH)-SUMIF(ProductCodes,"R",$CH:$CH)-SUMIF(ProductCodes,"B",$CH:$CH)-(SUMIF(ProductCodes,"C",$CH:$CH)/4))/SUMIF(ProductCodes,"S",$CH:$CH)),
IF($A32="C",(SUMIF(#REF!,CY$17,#REF!)*$CG32)/4,
IF($A32="B",(SUMIF(#REF!,CY$17,#REF!)*$CG32),
IF($A32="R",(SUMIF(#REF!,CY$17,#REF!)*$CG32),
IF($A32="H",(SUMIF(#REF!,CY$17,#REF!)*$CG32),"")))))),
IF($A32="C",(SUMIF(#REF!,CY$17,#REF!)*$CG32)*(SUMIF(ProductCodes,"C",$CI:$CI)/(SUMIF(ProductCodes,"C",$CH:$CH))),
IF($A32="S",(SUMIF(#REF!,CY$17,#REF!)*$CG32)*(SUMIF(ProductCodes,"S",$CI:$CI)/(SUMIF(ProductCodes,"S",$CH:$CH))),
IF($A32="B",(SUMIF(#REF!,CY$17,#REF!)*$CG32)*(SUMIF(ProductCodes,"B",$CI:$CI)/(SUMIF(ProductCodes,"B",$CH:$CH))),
IF($A32="R",(SUMIF(#REF!,CY$17,#REF!)*$CG32)*(SUMIF(ProductCodes,"R",$CI:$CI)/(SUMIF(ProductCodes,"R",$CH:$CH))),
IF($A32="H",(SUMIF(#REF!,CY$17,#REF!)*$CG32)*(SUMIF(ProductCodes,"H",$CI:$CI)/(SUMIF(ProductCodes,"H",$CH:$CH))),""))))))),"Error")</f>
        <v>Error</v>
      </c>
      <c r="CZ32" s="84" t="str">
        <f>IFERROR(
IF(SUMIF(ProductCodes,"C",$CI:$CI)=$CI$782,(IF($A32="C",(SUMIF(#REF!,CZ$17,#REF!)*$CG32)*((SUMIF(ProductCodes,"C",$CI:$CI)-SUMIF(ProductCodes,"H",$CH:$CH)-SUMIF(ProductCodes,"R",$CH:$CH)-SUMIF(ProductCodes,"B",$CH:$CH)-(SUMIF(ProductCodes,"S",$CH:$CH)/2))/SUMIF(ProductCodes,"C",$CH:$CH)),IF($A32="S",(SUMIF(#REF!,CZ$17,#REF!)*$CG32)/2,
IF($A32="B",(SUMIF(#REF!,CZ$17,#REF!)*$CG32),
IF($A32="R",(SUMIF(#REF!,CZ$17,#REF!)*$CG32),
IF($A32="H",(SUMIF(#REF!,CZ$17,#REF!)*$CG32),"")))))),
IF(SUMIF(ProductCodes,"S",$CI:$CI)=$CI$782,(IF($A32="S",(SUMIF(#REF!,CZ$17,#REF!)*$CG32)*((SUMIF(ProductCodes,"S",$CI:$CI)-SUMIF(ProductCodes,"H",$CH:$CH)-SUMIF(ProductCodes,"R",$CH:$CH)-SUMIF(ProductCodes,"B",$CH:$CH)-(SUMIF(ProductCodes,"C",$CH:$CH)/4))/SUMIF(ProductCodes,"S",$CH:$CH)),
IF($A32="C",(SUMIF(#REF!,CZ$17,#REF!)*$CG32)/4,
IF($A32="B",(SUMIF(#REF!,CZ$17,#REF!)*$CG32),
IF($A32="R",(SUMIF(#REF!,CZ$17,#REF!)*$CG32),
IF($A32="H",(SUMIF(#REF!,CZ$17,#REF!)*$CG32),"")))))),
IF($A32="C",(SUMIF(#REF!,CZ$17,#REF!)*$CG32)*(SUMIF(ProductCodes,"C",$CI:$CI)/(SUMIF(ProductCodes,"C",$CH:$CH))),
IF($A32="S",(SUMIF(#REF!,CZ$17,#REF!)*$CG32)*(SUMIF(ProductCodes,"S",$CI:$CI)/(SUMIF(ProductCodes,"S",$CH:$CH))),
IF($A32="B",(SUMIF(#REF!,CZ$17,#REF!)*$CG32)*(SUMIF(ProductCodes,"B",$CI:$CI)/(SUMIF(ProductCodes,"B",$CH:$CH))),
IF($A32="R",(SUMIF(#REF!,CZ$17,#REF!)*$CG32)*(SUMIF(ProductCodes,"R",$CI:$CI)/(SUMIF(ProductCodes,"R",$CH:$CH))),
IF($A32="H",(SUMIF(#REF!,CZ$17,#REF!)*$CG32)*(SUMIF(ProductCodes,"H",$CI:$CI)/(SUMIF(ProductCodes,"H",$CH:$CH))),""))))))),"Error")</f>
        <v>Error</v>
      </c>
      <c r="DA32" s="84" t="str">
        <f>IFERROR(
IF(SUMIF(ProductCodes,"C",$CI:$CI)=$CI$782,(IF($A32="C",(SUMIF(#REF!,DA$17,#REF!)*$CG32)*((SUMIF(ProductCodes,"C",$CI:$CI)-SUMIF(ProductCodes,"H",$CH:$CH)-SUMIF(ProductCodes,"R",$CH:$CH)-SUMIF(ProductCodes,"B",$CH:$CH)-(SUMIF(ProductCodes,"S",$CH:$CH)/2))/SUMIF(ProductCodes,"C",$CH:$CH)),IF($A32="S",(SUMIF(#REF!,DA$17,#REF!)*$CG32)/2,
IF($A32="B",(SUMIF(#REF!,DA$17,#REF!)*$CG32),
IF($A32="R",(SUMIF(#REF!,DA$17,#REF!)*$CG32),
IF($A32="H",(SUMIF(#REF!,DA$17,#REF!)*$CG32),"")))))),
IF(SUMIF(ProductCodes,"S",$CI:$CI)=$CI$782,(IF($A32="S",(SUMIF(#REF!,DA$17,#REF!)*$CG32)*((SUMIF(ProductCodes,"S",$CI:$CI)-SUMIF(ProductCodes,"H",$CH:$CH)-SUMIF(ProductCodes,"R",$CH:$CH)-SUMIF(ProductCodes,"B",$CH:$CH)-(SUMIF(ProductCodes,"C",$CH:$CH)/4))/SUMIF(ProductCodes,"S",$CH:$CH)),
IF($A32="C",(SUMIF(#REF!,DA$17,#REF!)*$CG32)/4,
IF($A32="B",(SUMIF(#REF!,DA$17,#REF!)*$CG32),
IF($A32="R",(SUMIF(#REF!,DA$17,#REF!)*$CG32),
IF($A32="H",(SUMIF(#REF!,DA$17,#REF!)*$CG32),"")))))),
IF($A32="C",(SUMIF(#REF!,DA$17,#REF!)*$CG32)*(SUMIF(ProductCodes,"C",$CI:$CI)/(SUMIF(ProductCodes,"C",$CH:$CH))),
IF($A32="S",(SUMIF(#REF!,DA$17,#REF!)*$CG32)*(SUMIF(ProductCodes,"S",$CI:$CI)/(SUMIF(ProductCodes,"S",$CH:$CH))),
IF($A32="B",(SUMIF(#REF!,DA$17,#REF!)*$CG32)*(SUMIF(ProductCodes,"B",$CI:$CI)/(SUMIF(ProductCodes,"B",$CH:$CH))),
IF($A32="R",(SUMIF(#REF!,DA$17,#REF!)*$CG32)*(SUMIF(ProductCodes,"R",$CI:$CI)/(SUMIF(ProductCodes,"R",$CH:$CH))),
IF($A32="H",(SUMIF(#REF!,DA$17,#REF!)*$CG32)*(SUMIF(ProductCodes,"H",$CI:$CI)/(SUMIF(ProductCodes,"H",$CH:$CH))),""))))))),"Error")</f>
        <v>Error</v>
      </c>
      <c r="DB32" s="84" t="str">
        <f>IFERROR(
IF(SUMIF(ProductCodes,"C",$CI:$CI)=$CI$782,(IF($A32="C",(SUMIF(#REF!,DB$17,#REF!)*$CG32)*((SUMIF(ProductCodes,"C",$CI:$CI)-SUMIF(ProductCodes,"H",$CH:$CH)-SUMIF(ProductCodes,"R",$CH:$CH)-SUMIF(ProductCodes,"B",$CH:$CH)-(SUMIF(ProductCodes,"S",$CH:$CH)/2))/SUMIF(ProductCodes,"C",$CH:$CH)),IF($A32="S",(SUMIF(#REF!,DB$17,#REF!)*$CG32)/2,
IF($A32="B",(SUMIF(#REF!,DB$17,#REF!)*$CG32),
IF($A32="R",(SUMIF(#REF!,DB$17,#REF!)*$CG32),
IF($A32="H",(SUMIF(#REF!,DB$17,#REF!)*$CG32),"")))))),
IF(SUMIF(ProductCodes,"S",$CI:$CI)=$CI$782,(IF($A32="S",(SUMIF(#REF!,DB$17,#REF!)*$CG32)*((SUMIF(ProductCodes,"S",$CI:$CI)-SUMIF(ProductCodes,"H",$CH:$CH)-SUMIF(ProductCodes,"R",$CH:$CH)-SUMIF(ProductCodes,"B",$CH:$CH)-(SUMIF(ProductCodes,"C",$CH:$CH)/4))/SUMIF(ProductCodes,"S",$CH:$CH)),
IF($A32="C",(SUMIF(#REF!,DB$17,#REF!)*$CG32)/4,
IF($A32="B",(SUMIF(#REF!,DB$17,#REF!)*$CG32),
IF($A32="R",(SUMIF(#REF!,DB$17,#REF!)*$CG32),
IF($A32="H",(SUMIF(#REF!,DB$17,#REF!)*$CG32),"")))))),
IF($A32="C",(SUMIF(#REF!,DB$17,#REF!)*$CG32)*(SUMIF(ProductCodes,"C",$CI:$CI)/(SUMIF(ProductCodes,"C",$CH:$CH))),
IF($A32="S",(SUMIF(#REF!,DB$17,#REF!)*$CG32)*(SUMIF(ProductCodes,"S",$CI:$CI)/(SUMIF(ProductCodes,"S",$CH:$CH))),
IF($A32="B",(SUMIF(#REF!,DB$17,#REF!)*$CG32)*(SUMIF(ProductCodes,"B",$CI:$CI)/(SUMIF(ProductCodes,"B",$CH:$CH))),
IF($A32="R",(SUMIF(#REF!,DB$17,#REF!)*$CG32)*(SUMIF(ProductCodes,"R",$CI:$CI)/(SUMIF(ProductCodes,"R",$CH:$CH))),
IF($A32="H",(SUMIF(#REF!,DB$17,#REF!)*$CG32)*(SUMIF(ProductCodes,"H",$CI:$CI)/(SUMIF(ProductCodes,"H",$CH:$CH))),""))))))),"Error")</f>
        <v>Error</v>
      </c>
      <c r="DC32" s="84" t="str">
        <f>IFERROR(
IF(SUMIF(ProductCodes,"C",$CI:$CI)=$CI$782,(IF($A32="C",(SUMIF(#REF!,DC$17,#REF!)*$CG32)*((SUMIF(ProductCodes,"C",$CI:$CI)-SUMIF(ProductCodes,"H",$CH:$CH)-SUMIF(ProductCodes,"R",$CH:$CH)-SUMIF(ProductCodes,"B",$CH:$CH)-(SUMIF(ProductCodes,"S",$CH:$CH)/2))/SUMIF(ProductCodes,"C",$CH:$CH)),IF($A32="S",(SUMIF(#REF!,DC$17,#REF!)*$CG32)/2,
IF($A32="B",(SUMIF(#REF!,DC$17,#REF!)*$CG32),
IF($A32="R",(SUMIF(#REF!,DC$17,#REF!)*$CG32),
IF($A32="H",(SUMIF(#REF!,DC$17,#REF!)*$CG32),"")))))),
IF(SUMIF(ProductCodes,"S",$CI:$CI)=$CI$782,(IF($A32="S",(SUMIF(#REF!,DC$17,#REF!)*$CG32)*((SUMIF(ProductCodes,"S",$CI:$CI)-SUMIF(ProductCodes,"H",$CH:$CH)-SUMIF(ProductCodes,"R",$CH:$CH)-SUMIF(ProductCodes,"B",$CH:$CH)-(SUMIF(ProductCodes,"C",$CH:$CH)/4))/SUMIF(ProductCodes,"S",$CH:$CH)),
IF($A32="C",(SUMIF(#REF!,DC$17,#REF!)*$CG32)/4,
IF($A32="B",(SUMIF(#REF!,DC$17,#REF!)*$CG32),
IF($A32="R",(SUMIF(#REF!,DC$17,#REF!)*$CG32),
IF($A32="H",(SUMIF(#REF!,DC$17,#REF!)*$CG32),"")))))),
IF($A32="C",(SUMIF(#REF!,DC$17,#REF!)*$CG32)*(SUMIF(ProductCodes,"C",$CI:$CI)/(SUMIF(ProductCodes,"C",$CH:$CH))),
IF($A32="S",(SUMIF(#REF!,DC$17,#REF!)*$CG32)*(SUMIF(ProductCodes,"S",$CI:$CI)/(SUMIF(ProductCodes,"S",$CH:$CH))),
IF($A32="B",(SUMIF(#REF!,DC$17,#REF!)*$CG32)*(SUMIF(ProductCodes,"B",$CI:$CI)/(SUMIF(ProductCodes,"B",$CH:$CH))),
IF($A32="R",(SUMIF(#REF!,DC$17,#REF!)*$CG32)*(SUMIF(ProductCodes,"R",$CI:$CI)/(SUMIF(ProductCodes,"R",$CH:$CH))),
IF($A32="H",(SUMIF(#REF!,DC$17,#REF!)*$CG32)*(SUMIF(ProductCodes,"H",$CI:$CI)/(SUMIF(ProductCodes,"H",$CH:$CH))),""))))))),"Error")</f>
        <v>Error</v>
      </c>
      <c r="DD32" s="84" t="str">
        <f>IFERROR(
IF(SUMIF(ProductCodes,"C",$CI:$CI)=$CI$782,(IF($A32="C",(SUMIF(#REF!,DD$17,#REF!)*$CG32)*((SUMIF(ProductCodes,"C",$CI:$CI)-SUMIF(ProductCodes,"H",$CH:$CH)-SUMIF(ProductCodes,"R",$CH:$CH)-SUMIF(ProductCodes,"B",$CH:$CH)-(SUMIF(ProductCodes,"S",$CH:$CH)/2))/SUMIF(ProductCodes,"C",$CH:$CH)),IF($A32="S",(SUMIF(#REF!,DD$17,#REF!)*$CG32)/2,
IF($A32="B",(SUMIF(#REF!,DD$17,#REF!)*$CG32),
IF($A32="R",(SUMIF(#REF!,DD$17,#REF!)*$CG32),
IF($A32="H",(SUMIF(#REF!,DD$17,#REF!)*$CG32),"")))))),
IF(SUMIF(ProductCodes,"S",$CI:$CI)=$CI$782,(IF($A32="S",(SUMIF(#REF!,DD$17,#REF!)*$CG32)*((SUMIF(ProductCodes,"S",$CI:$CI)-SUMIF(ProductCodes,"H",$CH:$CH)-SUMIF(ProductCodes,"R",$CH:$CH)-SUMIF(ProductCodes,"B",$CH:$CH)-(SUMIF(ProductCodes,"C",$CH:$CH)/4))/SUMIF(ProductCodes,"S",$CH:$CH)),
IF($A32="C",(SUMIF(#REF!,DD$17,#REF!)*$CG32)/4,
IF($A32="B",(SUMIF(#REF!,DD$17,#REF!)*$CG32),
IF($A32="R",(SUMIF(#REF!,DD$17,#REF!)*$CG32),
IF($A32="H",(SUMIF(#REF!,DD$17,#REF!)*$CG32),"")))))),
IF($A32="C",(SUMIF(#REF!,DD$17,#REF!)*$CG32)*(SUMIF(ProductCodes,"C",$CI:$CI)/(SUMIF(ProductCodes,"C",$CH:$CH))),
IF($A32="S",(SUMIF(#REF!,DD$17,#REF!)*$CG32)*(SUMIF(ProductCodes,"S",$CI:$CI)/(SUMIF(ProductCodes,"S",$CH:$CH))),
IF($A32="B",(SUMIF(#REF!,DD$17,#REF!)*$CG32)*(SUMIF(ProductCodes,"B",$CI:$CI)/(SUMIF(ProductCodes,"B",$CH:$CH))),
IF($A32="R",(SUMIF(#REF!,DD$17,#REF!)*$CG32)*(SUMIF(ProductCodes,"R",$CI:$CI)/(SUMIF(ProductCodes,"R",$CH:$CH))),
IF($A32="H",(SUMIF(#REF!,DD$17,#REF!)*$CG32)*(SUMIF(ProductCodes,"H",$CI:$CI)/(SUMIF(ProductCodes,"H",$CH:$CH))),""))))))),"Error")</f>
        <v>Error</v>
      </c>
      <c r="DE32" s="84" t="str">
        <f>IFERROR(
IF(SUMIF(ProductCodes,"C",$CI:$CI)=$CI$782,(IF($A32="C",(SUMIF(#REF!,DE$17,#REF!)*$CG32)*((SUMIF(ProductCodes,"C",$CI:$CI)-SUMIF(ProductCodes,"H",$CH:$CH)-SUMIF(ProductCodes,"R",$CH:$CH)-SUMIF(ProductCodes,"B",$CH:$CH)-(SUMIF(ProductCodes,"S",$CH:$CH)/2))/SUMIF(ProductCodes,"C",$CH:$CH)),IF($A32="S",(SUMIF(#REF!,DE$17,#REF!)*$CG32)/2,
IF($A32="B",(SUMIF(#REF!,DE$17,#REF!)*$CG32),
IF($A32="R",(SUMIF(#REF!,DE$17,#REF!)*$CG32),
IF($A32="H",(SUMIF(#REF!,DE$17,#REF!)*$CG32),"")))))),
IF(SUMIF(ProductCodes,"S",$CI:$CI)=$CI$782,(IF($A32="S",(SUMIF(#REF!,DE$17,#REF!)*$CG32)*((SUMIF(ProductCodes,"S",$CI:$CI)-SUMIF(ProductCodes,"H",$CH:$CH)-SUMIF(ProductCodes,"R",$CH:$CH)-SUMIF(ProductCodes,"B",$CH:$CH)-(SUMIF(ProductCodes,"C",$CH:$CH)/4))/SUMIF(ProductCodes,"S",$CH:$CH)),
IF($A32="C",(SUMIF(#REF!,DE$17,#REF!)*$CG32)/4,
IF($A32="B",(SUMIF(#REF!,DE$17,#REF!)*$CG32),
IF($A32="R",(SUMIF(#REF!,DE$17,#REF!)*$CG32),
IF($A32="H",(SUMIF(#REF!,DE$17,#REF!)*$CG32),"")))))),
IF($A32="C",(SUMIF(#REF!,DE$17,#REF!)*$CG32)*(SUMIF(ProductCodes,"C",$CI:$CI)/(SUMIF(ProductCodes,"C",$CH:$CH))),
IF($A32="S",(SUMIF(#REF!,DE$17,#REF!)*$CG32)*(SUMIF(ProductCodes,"S",$CI:$CI)/(SUMIF(ProductCodes,"S",$CH:$CH))),
IF($A32="B",(SUMIF(#REF!,DE$17,#REF!)*$CG32)*(SUMIF(ProductCodes,"B",$CI:$CI)/(SUMIF(ProductCodes,"B",$CH:$CH))),
IF($A32="R",(SUMIF(#REF!,DE$17,#REF!)*$CG32)*(SUMIF(ProductCodes,"R",$CI:$CI)/(SUMIF(ProductCodes,"R",$CH:$CH))),
IF($A32="H",(SUMIF(#REF!,DE$17,#REF!)*$CG32)*(SUMIF(ProductCodes,"H",$CI:$CI)/(SUMIF(ProductCodes,"H",$CH:$CH))),""))))))),"Error")</f>
        <v>Error</v>
      </c>
      <c r="DF32" s="84" t="str">
        <f>IFERROR(
IF(SUMIF(ProductCodes,"C",$CI:$CI)=$CI$782,(IF($A32="C",(SUMIF(#REF!,DF$17,#REF!)*$CG32)*((SUMIF(ProductCodes,"C",$CI:$CI)-SUMIF(ProductCodes,"H",$CH:$CH)-SUMIF(ProductCodes,"R",$CH:$CH)-SUMIF(ProductCodes,"B",$CH:$CH)-(SUMIF(ProductCodes,"S",$CH:$CH)/2))/SUMIF(ProductCodes,"C",$CH:$CH)),IF($A32="S",(SUMIF(#REF!,DF$17,#REF!)*$CG32)/2,
IF($A32="B",(SUMIF(#REF!,DF$17,#REF!)*$CG32),
IF($A32="R",(SUMIF(#REF!,DF$17,#REF!)*$CG32),
IF($A32="H",(SUMIF(#REF!,DF$17,#REF!)*$CG32),"")))))),
IF(SUMIF(ProductCodes,"S",$CI:$CI)=$CI$782,(IF($A32="S",(SUMIF(#REF!,DF$17,#REF!)*$CG32)*((SUMIF(ProductCodes,"S",$CI:$CI)-SUMIF(ProductCodes,"H",$CH:$CH)-SUMIF(ProductCodes,"R",$CH:$CH)-SUMIF(ProductCodes,"B",$CH:$CH)-(SUMIF(ProductCodes,"C",$CH:$CH)/4))/SUMIF(ProductCodes,"S",$CH:$CH)),
IF($A32="C",(SUMIF(#REF!,DF$17,#REF!)*$CG32)/4,
IF($A32="B",(SUMIF(#REF!,DF$17,#REF!)*$CG32),
IF($A32="R",(SUMIF(#REF!,DF$17,#REF!)*$CG32),
IF($A32="H",(SUMIF(#REF!,DF$17,#REF!)*$CG32),"")))))),
IF($A32="C",(SUMIF(#REF!,DF$17,#REF!)*$CG32)*(SUMIF(ProductCodes,"C",$CI:$CI)/(SUMIF(ProductCodes,"C",$CH:$CH))),
IF($A32="S",(SUMIF(#REF!,DF$17,#REF!)*$CG32)*(SUMIF(ProductCodes,"S",$CI:$CI)/(SUMIF(ProductCodes,"S",$CH:$CH))),
IF($A32="B",(SUMIF(#REF!,DF$17,#REF!)*$CG32)*(SUMIF(ProductCodes,"B",$CI:$CI)/(SUMIF(ProductCodes,"B",$CH:$CH))),
IF($A32="R",(SUMIF(#REF!,DF$17,#REF!)*$CG32)*(SUMIF(ProductCodes,"R",$CI:$CI)/(SUMIF(ProductCodes,"R",$CH:$CH))),
IF($A32="H",(SUMIF(#REF!,DF$17,#REF!)*$CG32)*(SUMIF(ProductCodes,"H",$CI:$CI)/(SUMIF(ProductCodes,"H",$CH:$CH))),""))))))),"Error")</f>
        <v>Error</v>
      </c>
      <c r="DG32" s="84" t="str">
        <f>IFERROR(
IF(SUMIF(ProductCodes,"C",$CI:$CI)=$CI$782,(IF($A32="C",(SUMIF(#REF!,DG$17,#REF!)*$CG32)*((SUMIF(ProductCodes,"C",$CI:$CI)-SUMIF(ProductCodes,"H",$CH:$CH)-SUMIF(ProductCodes,"R",$CH:$CH)-SUMIF(ProductCodes,"B",$CH:$CH)-(SUMIF(ProductCodes,"S",$CH:$CH)/2))/SUMIF(ProductCodes,"C",$CH:$CH)),IF($A32="S",(SUMIF(#REF!,DG$17,#REF!)*$CG32)/2,
IF($A32="B",(SUMIF(#REF!,DG$17,#REF!)*$CG32),
IF($A32="R",(SUMIF(#REF!,DG$17,#REF!)*$CG32),
IF($A32="H",(SUMIF(#REF!,DG$17,#REF!)*$CG32),"")))))),
IF(SUMIF(ProductCodes,"S",$CI:$CI)=$CI$782,(IF($A32="S",(SUMIF(#REF!,DG$17,#REF!)*$CG32)*((SUMIF(ProductCodes,"S",$CI:$CI)-SUMIF(ProductCodes,"H",$CH:$CH)-SUMIF(ProductCodes,"R",$CH:$CH)-SUMIF(ProductCodes,"B",$CH:$CH)-(SUMIF(ProductCodes,"C",$CH:$CH)/4))/SUMIF(ProductCodes,"S",$CH:$CH)),
IF($A32="C",(SUMIF(#REF!,DG$17,#REF!)*$CG32)/4,
IF($A32="B",(SUMIF(#REF!,DG$17,#REF!)*$CG32),
IF($A32="R",(SUMIF(#REF!,DG$17,#REF!)*$CG32),
IF($A32="H",(SUMIF(#REF!,DG$17,#REF!)*$CG32),"")))))),
IF($A32="C",(SUMIF(#REF!,DG$17,#REF!)*$CG32)*(SUMIF(ProductCodes,"C",$CI:$CI)/(SUMIF(ProductCodes,"C",$CH:$CH))),
IF($A32="S",(SUMIF(#REF!,DG$17,#REF!)*$CG32)*(SUMIF(ProductCodes,"S",$CI:$CI)/(SUMIF(ProductCodes,"S",$CH:$CH))),
IF($A32="B",(SUMIF(#REF!,DG$17,#REF!)*$CG32)*(SUMIF(ProductCodes,"B",$CI:$CI)/(SUMIF(ProductCodes,"B",$CH:$CH))),
IF($A32="R",(SUMIF(#REF!,DG$17,#REF!)*$CG32)*(SUMIF(ProductCodes,"R",$CI:$CI)/(SUMIF(ProductCodes,"R",$CH:$CH))),
IF($A32="H",(SUMIF(#REF!,DG$17,#REF!)*$CG32)*(SUMIF(ProductCodes,"H",$CI:$CI)/(SUMIF(ProductCodes,"H",$CH:$CH))),""))))))),"Error")</f>
        <v>Error</v>
      </c>
      <c r="DH32" s="84" t="str">
        <f>IFERROR(
IF(SUMIF(ProductCodes,"C",$CI:$CI)=$CI$782,(IF($A32="C",(SUMIF(#REF!,DH$17,#REF!)*$CG32)*((SUMIF(ProductCodes,"C",$CI:$CI)-SUMIF(ProductCodes,"H",$CH:$CH)-SUMIF(ProductCodes,"R",$CH:$CH)-SUMIF(ProductCodes,"B",$CH:$CH)-(SUMIF(ProductCodes,"S",$CH:$CH)/2))/SUMIF(ProductCodes,"C",$CH:$CH)),IF($A32="S",(SUMIF(#REF!,DH$17,#REF!)*$CG32)/2,
IF($A32="B",(SUMIF(#REF!,DH$17,#REF!)*$CG32),
IF($A32="R",(SUMIF(#REF!,DH$17,#REF!)*$CG32),
IF($A32="H",(SUMIF(#REF!,DH$17,#REF!)*$CG32),"")))))),
IF(SUMIF(ProductCodes,"S",$CI:$CI)=$CI$782,(IF($A32="S",(SUMIF(#REF!,DH$17,#REF!)*$CG32)*((SUMIF(ProductCodes,"S",$CI:$CI)-SUMIF(ProductCodes,"H",$CH:$CH)-SUMIF(ProductCodes,"R",$CH:$CH)-SUMIF(ProductCodes,"B",$CH:$CH)-(SUMIF(ProductCodes,"C",$CH:$CH)/4))/SUMIF(ProductCodes,"S",$CH:$CH)),
IF($A32="C",(SUMIF(#REF!,DH$17,#REF!)*$CG32)/4,
IF($A32="B",(SUMIF(#REF!,DH$17,#REF!)*$CG32),
IF($A32="R",(SUMIF(#REF!,DH$17,#REF!)*$CG32),
IF($A32="H",(SUMIF(#REF!,DH$17,#REF!)*$CG32),"")))))),
IF($A32="C",(SUMIF(#REF!,DH$17,#REF!)*$CG32)*(SUMIF(ProductCodes,"C",$CI:$CI)/(SUMIF(ProductCodes,"C",$CH:$CH))),
IF($A32="S",(SUMIF(#REF!,DH$17,#REF!)*$CG32)*(SUMIF(ProductCodes,"S",$CI:$CI)/(SUMIF(ProductCodes,"S",$CH:$CH))),
IF($A32="B",(SUMIF(#REF!,DH$17,#REF!)*$CG32)*(SUMIF(ProductCodes,"B",$CI:$CI)/(SUMIF(ProductCodes,"B",$CH:$CH))),
IF($A32="R",(SUMIF(#REF!,DH$17,#REF!)*$CG32)*(SUMIF(ProductCodes,"R",$CI:$CI)/(SUMIF(ProductCodes,"R",$CH:$CH))),
IF($A32="H",(SUMIF(#REF!,DH$17,#REF!)*$CG32)*(SUMIF(ProductCodes,"H",$CI:$CI)/(SUMIF(ProductCodes,"H",$CH:$CH))),""))))))),"Error")</f>
        <v>Error</v>
      </c>
      <c r="DI32" s="84" t="str">
        <f>IFERROR(
IF(SUMIF(ProductCodes,"C",$CI:$CI)=$CI$782,(IF($A32="C",(SUMIF(#REF!,DI$17,#REF!)*$CG32)*((SUMIF(ProductCodes,"C",$CI:$CI)-SUMIF(ProductCodes,"H",$CH:$CH)-SUMIF(ProductCodes,"R",$CH:$CH)-SUMIF(ProductCodes,"B",$CH:$CH)-(SUMIF(ProductCodes,"S",$CH:$CH)/2))/SUMIF(ProductCodes,"C",$CH:$CH)),IF($A32="S",(SUMIF(#REF!,DI$17,#REF!)*$CG32)/2,
IF($A32="B",(SUMIF(#REF!,DI$17,#REF!)*$CG32),
IF($A32="R",(SUMIF(#REF!,DI$17,#REF!)*$CG32),
IF($A32="H",(SUMIF(#REF!,DI$17,#REF!)*$CG32),"")))))),
IF(SUMIF(ProductCodes,"S",$CI:$CI)=$CI$782,(IF($A32="S",(SUMIF(#REF!,DI$17,#REF!)*$CG32)*((SUMIF(ProductCodes,"S",$CI:$CI)-SUMIF(ProductCodes,"H",$CH:$CH)-SUMIF(ProductCodes,"R",$CH:$CH)-SUMIF(ProductCodes,"B",$CH:$CH)-(SUMIF(ProductCodes,"C",$CH:$CH)/4))/SUMIF(ProductCodes,"S",$CH:$CH)),
IF($A32="C",(SUMIF(#REF!,DI$17,#REF!)*$CG32)/4,
IF($A32="B",(SUMIF(#REF!,DI$17,#REF!)*$CG32),
IF($A32="R",(SUMIF(#REF!,DI$17,#REF!)*$CG32),
IF($A32="H",(SUMIF(#REF!,DI$17,#REF!)*$CG32),"")))))),
IF($A32="C",(SUMIF(#REF!,DI$17,#REF!)*$CG32)*(SUMIF(ProductCodes,"C",$CI:$CI)/(SUMIF(ProductCodes,"C",$CH:$CH))),
IF($A32="S",(SUMIF(#REF!,DI$17,#REF!)*$CG32)*(SUMIF(ProductCodes,"S",$CI:$CI)/(SUMIF(ProductCodes,"S",$CH:$CH))),
IF($A32="B",(SUMIF(#REF!,DI$17,#REF!)*$CG32)*(SUMIF(ProductCodes,"B",$CI:$CI)/(SUMIF(ProductCodes,"B",$CH:$CH))),
IF($A32="R",(SUMIF(#REF!,DI$17,#REF!)*$CG32)*(SUMIF(ProductCodes,"R",$CI:$CI)/(SUMIF(ProductCodes,"R",$CH:$CH))),
IF($A32="H",(SUMIF(#REF!,DI$17,#REF!)*$CG32)*(SUMIF(ProductCodes,"H",$CI:$CI)/(SUMIF(ProductCodes,"H",$CH:$CH))),""))))))),"Error")</f>
        <v>Error</v>
      </c>
      <c r="DJ32" s="84" t="str">
        <f>IFERROR(
IF(SUMIF(ProductCodes,"C",$CI:$CI)=$CI$782,(IF($A32="C",(SUMIF(#REF!,DJ$17,#REF!)*$CG32)*((SUMIF(ProductCodes,"C",$CI:$CI)-SUMIF(ProductCodes,"H",$CH:$CH)-SUMIF(ProductCodes,"R",$CH:$CH)-SUMIF(ProductCodes,"B",$CH:$CH)-(SUMIF(ProductCodes,"S",$CH:$CH)/2))/SUMIF(ProductCodes,"C",$CH:$CH)),IF($A32="S",(SUMIF(#REF!,DJ$17,#REF!)*$CG32)/2,
IF($A32="B",(SUMIF(#REF!,DJ$17,#REF!)*$CG32),
IF($A32="R",(SUMIF(#REF!,DJ$17,#REF!)*$CG32),
IF($A32="H",(SUMIF(#REF!,DJ$17,#REF!)*$CG32),"")))))),
IF(SUMIF(ProductCodes,"S",$CI:$CI)=$CI$782,(IF($A32="S",(SUMIF(#REF!,DJ$17,#REF!)*$CG32)*((SUMIF(ProductCodes,"S",$CI:$CI)-SUMIF(ProductCodes,"H",$CH:$CH)-SUMIF(ProductCodes,"R",$CH:$CH)-SUMIF(ProductCodes,"B",$CH:$CH)-(SUMIF(ProductCodes,"C",$CH:$CH)/4))/SUMIF(ProductCodes,"S",$CH:$CH)),
IF($A32="C",(SUMIF(#REF!,DJ$17,#REF!)*$CG32)/4,
IF($A32="B",(SUMIF(#REF!,DJ$17,#REF!)*$CG32),
IF($A32="R",(SUMIF(#REF!,DJ$17,#REF!)*$CG32),
IF($A32="H",(SUMIF(#REF!,DJ$17,#REF!)*$CG32),"")))))),
IF($A32="C",(SUMIF(#REF!,DJ$17,#REF!)*$CG32)*(SUMIF(ProductCodes,"C",$CI:$CI)/(SUMIF(ProductCodes,"C",$CH:$CH))),
IF($A32="S",(SUMIF(#REF!,DJ$17,#REF!)*$CG32)*(SUMIF(ProductCodes,"S",$CI:$CI)/(SUMIF(ProductCodes,"S",$CH:$CH))),
IF($A32="B",(SUMIF(#REF!,DJ$17,#REF!)*$CG32)*(SUMIF(ProductCodes,"B",$CI:$CI)/(SUMIF(ProductCodes,"B",$CH:$CH))),
IF($A32="R",(SUMIF(#REF!,DJ$17,#REF!)*$CG32)*(SUMIF(ProductCodes,"R",$CI:$CI)/(SUMIF(ProductCodes,"R",$CH:$CH))),
IF($A32="H",(SUMIF(#REF!,DJ$17,#REF!)*$CG32)*(SUMIF(ProductCodes,"H",$CI:$CI)/(SUMIF(ProductCodes,"H",$CH:$CH))),""))))))),"Error")</f>
        <v>Error</v>
      </c>
      <c r="DK32" s="84" t="str">
        <f>IFERROR(
IF(SUMIF(ProductCodes,"C",$CI:$CI)=$CI$782,(IF($A32="C",(SUMIF(#REF!,DK$17,#REF!)*$CG32)*((SUMIF(ProductCodes,"C",$CI:$CI)-SUMIF(ProductCodes,"H",$CH:$CH)-SUMIF(ProductCodes,"R",$CH:$CH)-SUMIF(ProductCodes,"B",$CH:$CH)-(SUMIF(ProductCodes,"S",$CH:$CH)/2))/SUMIF(ProductCodes,"C",$CH:$CH)),IF($A32="S",(SUMIF(#REF!,DK$17,#REF!)*$CG32)/2,
IF($A32="B",(SUMIF(#REF!,DK$17,#REF!)*$CG32),
IF($A32="R",(SUMIF(#REF!,DK$17,#REF!)*$CG32),
IF($A32="H",(SUMIF(#REF!,DK$17,#REF!)*$CG32),"")))))),
IF(SUMIF(ProductCodes,"S",$CI:$CI)=$CI$782,(IF($A32="S",(SUMIF(#REF!,DK$17,#REF!)*$CG32)*((SUMIF(ProductCodes,"S",$CI:$CI)-SUMIF(ProductCodes,"H",$CH:$CH)-SUMIF(ProductCodes,"R",$CH:$CH)-SUMIF(ProductCodes,"B",$CH:$CH)-(SUMIF(ProductCodes,"C",$CH:$CH)/4))/SUMIF(ProductCodes,"S",$CH:$CH)),
IF($A32="C",(SUMIF(#REF!,DK$17,#REF!)*$CG32)/4,
IF($A32="B",(SUMIF(#REF!,DK$17,#REF!)*$CG32),
IF($A32="R",(SUMIF(#REF!,DK$17,#REF!)*$CG32),
IF($A32="H",(SUMIF(#REF!,DK$17,#REF!)*$CG32),"")))))),
IF($A32="C",(SUMIF(#REF!,DK$17,#REF!)*$CG32)*(SUMIF(ProductCodes,"C",$CI:$CI)/(SUMIF(ProductCodes,"C",$CH:$CH))),
IF($A32="S",(SUMIF(#REF!,DK$17,#REF!)*$CG32)*(SUMIF(ProductCodes,"S",$CI:$CI)/(SUMIF(ProductCodes,"S",$CH:$CH))),
IF($A32="B",(SUMIF(#REF!,DK$17,#REF!)*$CG32)*(SUMIF(ProductCodes,"B",$CI:$CI)/(SUMIF(ProductCodes,"B",$CH:$CH))),
IF($A32="R",(SUMIF(#REF!,DK$17,#REF!)*$CG32)*(SUMIF(ProductCodes,"R",$CI:$CI)/(SUMIF(ProductCodes,"R",$CH:$CH))),
IF($A32="H",(SUMIF(#REF!,DK$17,#REF!)*$CG32)*(SUMIF(ProductCodes,"H",$CI:$CI)/(SUMIF(ProductCodes,"H",$CH:$CH))),""))))))),"Error")</f>
        <v>Error</v>
      </c>
      <c r="DL32" s="84" t="str">
        <f>IFERROR(
IF(SUMIF(ProductCodes,"C",$CI:$CI)=$CI$782,(IF($A32="C",(SUMIF(#REF!,DL$17,#REF!)*$CG32)*((SUMIF(ProductCodes,"C",$CI:$CI)-SUMIF(ProductCodes,"H",$CH:$CH)-SUMIF(ProductCodes,"R",$CH:$CH)-SUMIF(ProductCodes,"B",$CH:$CH)-(SUMIF(ProductCodes,"S",$CH:$CH)/2))/SUMIF(ProductCodes,"C",$CH:$CH)),IF($A32="S",(SUMIF(#REF!,DL$17,#REF!)*$CG32)/2,
IF($A32="B",(SUMIF(#REF!,DL$17,#REF!)*$CG32),
IF($A32="R",(SUMIF(#REF!,DL$17,#REF!)*$CG32),
IF($A32="H",(SUMIF(#REF!,DL$17,#REF!)*$CG32),"")))))),
IF(SUMIF(ProductCodes,"S",$CI:$CI)=$CI$782,(IF($A32="S",(SUMIF(#REF!,DL$17,#REF!)*$CG32)*((SUMIF(ProductCodes,"S",$CI:$CI)-SUMIF(ProductCodes,"H",$CH:$CH)-SUMIF(ProductCodes,"R",$CH:$CH)-SUMIF(ProductCodes,"B",$CH:$CH)-(SUMIF(ProductCodes,"C",$CH:$CH)/4))/SUMIF(ProductCodes,"S",$CH:$CH)),
IF($A32="C",(SUMIF(#REF!,DL$17,#REF!)*$CG32)/4,
IF($A32="B",(SUMIF(#REF!,DL$17,#REF!)*$CG32),
IF($A32="R",(SUMIF(#REF!,DL$17,#REF!)*$CG32),
IF($A32="H",(SUMIF(#REF!,DL$17,#REF!)*$CG32),"")))))),
IF($A32="C",(SUMIF(#REF!,DL$17,#REF!)*$CG32)*(SUMIF(ProductCodes,"C",$CI:$CI)/(SUMIF(ProductCodes,"C",$CH:$CH))),
IF($A32="S",(SUMIF(#REF!,DL$17,#REF!)*$CG32)*(SUMIF(ProductCodes,"S",$CI:$CI)/(SUMIF(ProductCodes,"S",$CH:$CH))),
IF($A32="B",(SUMIF(#REF!,DL$17,#REF!)*$CG32)*(SUMIF(ProductCodes,"B",$CI:$CI)/(SUMIF(ProductCodes,"B",$CH:$CH))),
IF($A32="R",(SUMIF(#REF!,DL$17,#REF!)*$CG32)*(SUMIF(ProductCodes,"R",$CI:$CI)/(SUMIF(ProductCodes,"R",$CH:$CH))),
IF($A32="H",(SUMIF(#REF!,DL$17,#REF!)*$CG32)*(SUMIF(ProductCodes,"H",$CI:$CI)/(SUMIF(ProductCodes,"H",$CH:$CH))),""))))))),"Error")</f>
        <v>Error</v>
      </c>
      <c r="DM32" s="84" t="str">
        <f>IFERROR(
IF(SUMIF(ProductCodes,"C",$CI:$CI)=$CI$782,(IF($A32="C",(SUMIF(#REF!,DM$17,#REF!)*$CG32)*((SUMIF(ProductCodes,"C",$CI:$CI)-SUMIF(ProductCodes,"H",$CH:$CH)-SUMIF(ProductCodes,"R",$CH:$CH)-SUMIF(ProductCodes,"B",$CH:$CH)-(SUMIF(ProductCodes,"S",$CH:$CH)/2))/SUMIF(ProductCodes,"C",$CH:$CH)),IF($A32="S",(SUMIF(#REF!,DM$17,#REF!)*$CG32)/2,
IF($A32="B",(SUMIF(#REF!,DM$17,#REF!)*$CG32),
IF($A32="R",(SUMIF(#REF!,DM$17,#REF!)*$CG32),
IF($A32="H",(SUMIF(#REF!,DM$17,#REF!)*$CG32),"")))))),
IF(SUMIF(ProductCodes,"S",$CI:$CI)=$CI$782,(IF($A32="S",(SUMIF(#REF!,DM$17,#REF!)*$CG32)*((SUMIF(ProductCodes,"S",$CI:$CI)-SUMIF(ProductCodes,"H",$CH:$CH)-SUMIF(ProductCodes,"R",$CH:$CH)-SUMIF(ProductCodes,"B",$CH:$CH)-(SUMIF(ProductCodes,"C",$CH:$CH)/4))/SUMIF(ProductCodes,"S",$CH:$CH)),
IF($A32="C",(SUMIF(#REF!,DM$17,#REF!)*$CG32)/4,
IF($A32="B",(SUMIF(#REF!,DM$17,#REF!)*$CG32),
IF($A32="R",(SUMIF(#REF!,DM$17,#REF!)*$CG32),
IF($A32="H",(SUMIF(#REF!,DM$17,#REF!)*$CG32),"")))))),
IF($A32="C",(SUMIF(#REF!,DM$17,#REF!)*$CG32)*(SUMIF(ProductCodes,"C",$CI:$CI)/(SUMIF(ProductCodes,"C",$CH:$CH))),
IF($A32="S",(SUMIF(#REF!,DM$17,#REF!)*$CG32)*(SUMIF(ProductCodes,"S",$CI:$CI)/(SUMIF(ProductCodes,"S",$CH:$CH))),
IF($A32="B",(SUMIF(#REF!,DM$17,#REF!)*$CG32)*(SUMIF(ProductCodes,"B",$CI:$CI)/(SUMIF(ProductCodes,"B",$CH:$CH))),
IF($A32="R",(SUMIF(#REF!,DM$17,#REF!)*$CG32)*(SUMIF(ProductCodes,"R",$CI:$CI)/(SUMIF(ProductCodes,"R",$CH:$CH))),
IF($A32="H",(SUMIF(#REF!,DM$17,#REF!)*$CG32)*(SUMIF(ProductCodes,"H",$CI:$CI)/(SUMIF(ProductCodes,"H",$CH:$CH))),""))))))),"Error")</f>
        <v>Error</v>
      </c>
      <c r="DN32" s="84" t="str">
        <f>IFERROR(
IF(SUMIF(ProductCodes,"C",$CI:$CI)=$CI$782,(IF($A32="C",(SUMIF(#REF!,DN$17,#REF!)*$CG32)*((SUMIF(ProductCodes,"C",$CI:$CI)-SUMIF(ProductCodes,"H",$CH:$CH)-SUMIF(ProductCodes,"R",$CH:$CH)-SUMIF(ProductCodes,"B",$CH:$CH)-(SUMIF(ProductCodes,"S",$CH:$CH)/2))/SUMIF(ProductCodes,"C",$CH:$CH)),IF($A32="S",(SUMIF(#REF!,DN$17,#REF!)*$CG32)/2,
IF($A32="B",(SUMIF(#REF!,DN$17,#REF!)*$CG32),
IF($A32="R",(SUMIF(#REF!,DN$17,#REF!)*$CG32),
IF($A32="H",(SUMIF(#REF!,DN$17,#REF!)*$CG32),"")))))),
IF(SUMIF(ProductCodes,"S",$CI:$CI)=$CI$782,(IF($A32="S",(SUMIF(#REF!,DN$17,#REF!)*$CG32)*((SUMIF(ProductCodes,"S",$CI:$CI)-SUMIF(ProductCodes,"H",$CH:$CH)-SUMIF(ProductCodes,"R",$CH:$CH)-SUMIF(ProductCodes,"B",$CH:$CH)-(SUMIF(ProductCodes,"C",$CH:$CH)/4))/SUMIF(ProductCodes,"S",$CH:$CH)),
IF($A32="C",(SUMIF(#REF!,DN$17,#REF!)*$CG32)/4,
IF($A32="B",(SUMIF(#REF!,DN$17,#REF!)*$CG32),
IF($A32="R",(SUMIF(#REF!,DN$17,#REF!)*$CG32),
IF($A32="H",(SUMIF(#REF!,DN$17,#REF!)*$CG32),"")))))),
IF($A32="C",(SUMIF(#REF!,DN$17,#REF!)*$CG32)*(SUMIF(ProductCodes,"C",$CI:$CI)/(SUMIF(ProductCodes,"C",$CH:$CH))),
IF($A32="S",(SUMIF(#REF!,DN$17,#REF!)*$CG32)*(SUMIF(ProductCodes,"S",$CI:$CI)/(SUMIF(ProductCodes,"S",$CH:$CH))),
IF($A32="B",(SUMIF(#REF!,DN$17,#REF!)*$CG32)*(SUMIF(ProductCodes,"B",$CI:$CI)/(SUMIF(ProductCodes,"B",$CH:$CH))),
IF($A32="R",(SUMIF(#REF!,DN$17,#REF!)*$CG32)*(SUMIF(ProductCodes,"R",$CI:$CI)/(SUMIF(ProductCodes,"R",$CH:$CH))),
IF($A32="H",(SUMIF(#REF!,DN$17,#REF!)*$CG32)*(SUMIF(ProductCodes,"H",$CI:$CI)/(SUMIF(ProductCodes,"H",$CH:$CH))),""))))))),"Error")</f>
        <v>Error</v>
      </c>
      <c r="DO32" s="84" t="str">
        <f>IFERROR(
IF(SUMIF(ProductCodes,"C",$CI:$CI)=$CI$782,(IF($A32="C",(SUMIF(#REF!,DO$17,#REF!)*$CG32)*((SUMIF(ProductCodes,"C",$CI:$CI)-SUMIF(ProductCodes,"H",$CH:$CH)-SUMIF(ProductCodes,"R",$CH:$CH)-SUMIF(ProductCodes,"B",$CH:$CH)-(SUMIF(ProductCodes,"S",$CH:$CH)/2))/SUMIF(ProductCodes,"C",$CH:$CH)),IF($A32="S",(SUMIF(#REF!,DO$17,#REF!)*$CG32)/2,
IF($A32="B",(SUMIF(#REF!,DO$17,#REF!)*$CG32),
IF($A32="R",(SUMIF(#REF!,DO$17,#REF!)*$CG32),
IF($A32="H",(SUMIF(#REF!,DO$17,#REF!)*$CG32),"")))))),
IF(SUMIF(ProductCodes,"S",$CI:$CI)=$CI$782,(IF($A32="S",(SUMIF(#REF!,DO$17,#REF!)*$CG32)*((SUMIF(ProductCodes,"S",$CI:$CI)-SUMIF(ProductCodes,"H",$CH:$CH)-SUMIF(ProductCodes,"R",$CH:$CH)-SUMIF(ProductCodes,"B",$CH:$CH)-(SUMIF(ProductCodes,"C",$CH:$CH)/4))/SUMIF(ProductCodes,"S",$CH:$CH)),
IF($A32="C",(SUMIF(#REF!,DO$17,#REF!)*$CG32)/4,
IF($A32="B",(SUMIF(#REF!,DO$17,#REF!)*$CG32),
IF($A32="R",(SUMIF(#REF!,DO$17,#REF!)*$CG32),
IF($A32="H",(SUMIF(#REF!,DO$17,#REF!)*$CG32),"")))))),
IF($A32="C",(SUMIF(#REF!,DO$17,#REF!)*$CG32)*(SUMIF(ProductCodes,"C",$CI:$CI)/(SUMIF(ProductCodes,"C",$CH:$CH))),
IF($A32="S",(SUMIF(#REF!,DO$17,#REF!)*$CG32)*(SUMIF(ProductCodes,"S",$CI:$CI)/(SUMIF(ProductCodes,"S",$CH:$CH))),
IF($A32="B",(SUMIF(#REF!,DO$17,#REF!)*$CG32)*(SUMIF(ProductCodes,"B",$CI:$CI)/(SUMIF(ProductCodes,"B",$CH:$CH))),
IF($A32="R",(SUMIF(#REF!,DO$17,#REF!)*$CG32)*(SUMIF(ProductCodes,"R",$CI:$CI)/(SUMIF(ProductCodes,"R",$CH:$CH))),
IF($A32="H",(SUMIF(#REF!,DO$17,#REF!)*$CG32)*(SUMIF(ProductCodes,"H",$CI:$CI)/(SUMIF(ProductCodes,"H",$CH:$CH))),""))))))),"Error")</f>
        <v>Error</v>
      </c>
      <c r="DP32" s="85" t="str">
        <f>IFERROR(
IF(SUMIF(ProductCodes,"C",$CI:$CI)=$CI$782,(IF($A32="C",(SUMIF(#REF!,DP$17,#REF!)*$CG32)*((SUMIF(ProductCodes,"C",$CI:$CI)-SUMIF(ProductCodes,"H",$CH:$CH)-SUMIF(ProductCodes,"R",$CH:$CH)-SUMIF(ProductCodes,"B",$CH:$CH)-(SUMIF(ProductCodes,"S",$CH:$CH)/2))/SUMIF(ProductCodes,"C",$CH:$CH)),IF($A32="S",(SUMIF(#REF!,DP$17,#REF!)*$CG32)/2,
IF($A32="B",(SUMIF(#REF!,DP$17,#REF!)*$CG32),
IF($A32="R",(SUMIF(#REF!,DP$17,#REF!)*$CG32),
IF($A32="H",(SUMIF(#REF!,DP$17,#REF!)*$CG32),"")))))),
IF(SUMIF(ProductCodes,"S",$CI:$CI)=$CI$782,(IF($A32="S",(SUMIF(#REF!,DP$17,#REF!)*$CG32)*((SUMIF(ProductCodes,"S",$CI:$CI)-SUMIF(ProductCodes,"H",$CH:$CH)-SUMIF(ProductCodes,"R",$CH:$CH)-SUMIF(ProductCodes,"B",$CH:$CH)-(SUMIF(ProductCodes,"C",$CH:$CH)/4))/SUMIF(ProductCodes,"S",$CH:$CH)),
IF($A32="C",(SUMIF(#REF!,DP$17,#REF!)*$CG32)/4,
IF($A32="B",(SUMIF(#REF!,DP$17,#REF!)*$CG32),
IF($A32="R",(SUMIF(#REF!,DP$17,#REF!)*$CG32),
IF($A32="H",(SUMIF(#REF!,DP$17,#REF!)*$CG32),"")))))),
IF($A32="C",(SUMIF(#REF!,DP$17,#REF!)*$CG32)*(SUMIF(ProductCodes,"C",$CI:$CI)/(SUMIF(ProductCodes,"C",$CH:$CH))),
IF($A32="S",(SUMIF(#REF!,DP$17,#REF!)*$CG32)*(SUMIF(ProductCodes,"S",$CI:$CI)/(SUMIF(ProductCodes,"S",$CH:$CH))),
IF($A32="B",(SUMIF(#REF!,DP$17,#REF!)*$CG32)*(SUMIF(ProductCodes,"B",$CI:$CI)/(SUMIF(ProductCodes,"B",$CH:$CH))),
IF($A32="R",(SUMIF(#REF!,DP$17,#REF!)*$CG32)*(SUMIF(ProductCodes,"R",$CI:$CI)/(SUMIF(ProductCodes,"R",$CH:$CH))),
IF($A32="H",(SUMIF(#REF!,DP$17,#REF!)*$CG32)*(SUMIF(ProductCodes,"H",$CI:$CI)/(SUMIF(ProductCodes,"H",$CH:$CH))),""))))))),"Error")</f>
        <v>Error</v>
      </c>
      <c r="DQ32" s="9"/>
      <c r="DR32" s="9"/>
      <c r="DS32"/>
      <c r="DT32"/>
      <c r="DU32"/>
      <c r="DV32"/>
      <c r="DW32"/>
      <c r="DX32"/>
      <c r="DY32"/>
      <c r="DZ32"/>
      <c r="EA32"/>
      <c r="EB32"/>
      <c r="EC32"/>
      <c r="ED32"/>
    </row>
    <row r="33" spans="1:135" s="86" customFormat="1" ht="66.75" customHeight="1" thickBot="1" x14ac:dyDescent="0.4">
      <c r="A33" s="90" t="s">
        <v>43</v>
      </c>
      <c r="B33" s="230" t="s">
        <v>89</v>
      </c>
      <c r="C33" s="207" t="s">
        <v>44</v>
      </c>
      <c r="D33" s="208" t="s">
        <v>45</v>
      </c>
      <c r="E33" s="103"/>
      <c r="F33" s="103"/>
      <c r="G33" s="106"/>
      <c r="H33" s="104"/>
      <c r="I33" s="102"/>
      <c r="J33" s="103"/>
      <c r="K33" s="103"/>
      <c r="L33" s="104"/>
      <c r="M33" s="105"/>
      <c r="N33" s="103"/>
      <c r="O33" s="103"/>
      <c r="P33" s="106"/>
      <c r="Q33" s="105"/>
      <c r="R33" s="103"/>
      <c r="S33" s="103"/>
      <c r="T33" s="106"/>
      <c r="U33" s="104"/>
      <c r="V33" s="105"/>
      <c r="W33" s="103"/>
      <c r="X33" s="103"/>
      <c r="Y33" s="104"/>
      <c r="Z33" s="105"/>
      <c r="AA33" s="103"/>
      <c r="AB33" s="103"/>
      <c r="AC33" s="103"/>
      <c r="AD33" s="235">
        <v>10</v>
      </c>
      <c r="AE33" s="236"/>
      <c r="AF33" s="236"/>
      <c r="AG33" s="236"/>
      <c r="AH33" s="237"/>
      <c r="AI33" s="290">
        <v>10</v>
      </c>
      <c r="AJ33" s="236"/>
      <c r="AK33" s="236"/>
      <c r="AL33" s="237"/>
      <c r="AM33" s="290">
        <v>10</v>
      </c>
      <c r="AN33" s="236"/>
      <c r="AO33" s="236"/>
      <c r="AP33" s="236"/>
      <c r="AQ33" s="237"/>
      <c r="AR33" s="290">
        <v>10</v>
      </c>
      <c r="AS33" s="236"/>
      <c r="AT33" s="236"/>
      <c r="AU33" s="237"/>
      <c r="AV33" s="290">
        <v>10</v>
      </c>
      <c r="AW33" s="236"/>
      <c r="AX33" s="236"/>
      <c r="AY33" s="237"/>
      <c r="AZ33" s="290">
        <v>10</v>
      </c>
      <c r="BA33" s="236"/>
      <c r="BB33" s="236"/>
      <c r="BC33" s="236"/>
      <c r="BD33" s="237"/>
      <c r="BE33" s="290">
        <v>10</v>
      </c>
      <c r="BF33" s="236"/>
      <c r="BG33" s="236"/>
      <c r="BH33" s="237"/>
      <c r="BI33" s="290">
        <v>10</v>
      </c>
      <c r="BJ33" s="236"/>
      <c r="BK33" s="236"/>
      <c r="BL33" s="237"/>
      <c r="BM33" s="290">
        <v>10</v>
      </c>
      <c r="BN33" s="236"/>
      <c r="BO33" s="236"/>
      <c r="BP33" s="236"/>
      <c r="BQ33" s="237"/>
      <c r="BR33" s="290">
        <v>10</v>
      </c>
      <c r="BS33" s="236"/>
      <c r="BT33" s="236"/>
      <c r="BU33" s="237"/>
      <c r="BV33" s="290">
        <v>10</v>
      </c>
      <c r="BW33" s="236"/>
      <c r="BX33" s="236"/>
      <c r="BY33" s="237"/>
      <c r="BZ33" s="290">
        <v>10</v>
      </c>
      <c r="CA33" s="236"/>
      <c r="CB33" s="236"/>
      <c r="CC33" s="237"/>
      <c r="CD33" s="198">
        <v>1</v>
      </c>
      <c r="CE33" s="199">
        <f t="shared" si="33"/>
        <v>120</v>
      </c>
      <c r="CF33" s="199">
        <f t="shared" ref="CF33" si="37">CD33*CE33</f>
        <v>120</v>
      </c>
      <c r="CG33" s="190">
        <v>75</v>
      </c>
      <c r="CH33" s="212">
        <f t="shared" ref="CH33" si="38">CG33*CE33</f>
        <v>9000</v>
      </c>
      <c r="CI33" s="240"/>
      <c r="CJ33" s="91"/>
      <c r="CK33" s="91"/>
      <c r="CL33" s="91"/>
      <c r="CM33" s="92"/>
      <c r="CN33" s="92">
        <f t="shared" si="36"/>
        <v>0</v>
      </c>
      <c r="CO33" s="93"/>
      <c r="CP33" s="75"/>
      <c r="CQ33" s="75"/>
      <c r="CR33" s="83"/>
      <c r="CS33" s="84" t="str">
        <f>IFERROR(
IF(SUMIF(ProductCodes,"C",$CI:$CI)=$CI$782,(IF($A33="C",(SUMIF(#REF!,CS$17,#REF!)*$CG33)*((SUMIF(ProductCodes,"C",$CI:$CI)-SUMIF(ProductCodes,"H",$CH:$CH)-SUMIF(ProductCodes,"R",$CH:$CH)-SUMIF(ProductCodes,"B",$CH:$CH)-(SUMIF(ProductCodes,"S",$CH:$CH)/2))/SUMIF(ProductCodes,"C",$CH:$CH)),IF($A33="S",(SUMIF(#REF!,CS$17,#REF!)*$CG33)/2,
IF($A33="B",(SUMIF(#REF!,CS$17,#REF!)*$CG33),
IF($A33="R",(SUMIF(#REF!,CS$17,#REF!)*$CG33),
IF($A33="H",(SUMIF(#REF!,CS$17,#REF!)*$CG33),"")))))),
IF(SUMIF(ProductCodes,"S",$CI:$CI)=$CI$782,(IF($A33="S",(SUMIF(#REF!,CS$17,#REF!)*$CG33)*((SUMIF(ProductCodes,"S",$CI:$CI)-SUMIF(ProductCodes,"H",$CH:$CH)-SUMIF(ProductCodes,"R",$CH:$CH)-SUMIF(ProductCodes,"B",$CH:$CH)-(SUMIF(ProductCodes,"C",$CH:$CH)/4))/SUMIF(ProductCodes,"S",$CH:$CH)),
IF($A33="C",(SUMIF(#REF!,CS$17,#REF!)*$CG33)/4,
IF($A33="B",(SUMIF(#REF!,CS$17,#REF!)*$CG33),
IF($A33="R",(SUMIF(#REF!,CS$17,#REF!)*$CG33),
IF($A33="H",(SUMIF(#REF!,CS$17,#REF!)*$CG33),"")))))),
IF($A33="C",(SUMIF(#REF!,CS$17,#REF!)*$CG33)*(SUMIF(ProductCodes,"C",$CI:$CI)/(SUMIF(ProductCodes,"C",$CH:$CH))),
IF($A33="S",(SUMIF(#REF!,CS$17,#REF!)*$CG33)*(SUMIF(ProductCodes,"S",$CI:$CI)/(SUMIF(ProductCodes,"S",$CH:$CH))),
IF($A33="B",(SUMIF(#REF!,CS$17,#REF!)*$CG33)*(SUMIF(ProductCodes,"B",$CI:$CI)/(SUMIF(ProductCodes,"B",$CH:$CH))),
IF($A33="R",(SUMIF(#REF!,CS$17,#REF!)*$CG33)*(SUMIF(ProductCodes,"R",$CI:$CI)/(SUMIF(ProductCodes,"R",$CH:$CH))),
IF($A33="H",(SUMIF(#REF!,CS$17,#REF!)*$CG33)*(SUMIF(ProductCodes,"H",$CI:$CI)/(SUMIF(ProductCodes,"H",$CH:$CH))),""))))))),"Error")</f>
        <v>Error</v>
      </c>
      <c r="CT33" s="84" t="str">
        <f>IFERROR(
IF(SUMIF(ProductCodes,"C",$CI:$CI)=$CI$782,(IF($A33="C",(SUMIF(#REF!,CT$17,#REF!)*$CG33)*((SUMIF(ProductCodes,"C",$CI:$CI)-SUMIF(ProductCodes,"H",$CH:$CH)-SUMIF(ProductCodes,"R",$CH:$CH)-SUMIF(ProductCodes,"B",$CH:$CH)-(SUMIF(ProductCodes,"S",$CH:$CH)/2))/SUMIF(ProductCodes,"C",$CH:$CH)),IF($A33="S",(SUMIF(#REF!,CT$17,#REF!)*$CG33)/2,
IF($A33="B",(SUMIF(#REF!,CT$17,#REF!)*$CG33),
IF($A33="R",(SUMIF(#REF!,CT$17,#REF!)*$CG33),
IF($A33="H",(SUMIF(#REF!,CT$17,#REF!)*$CG33),"")))))),
IF(SUMIF(ProductCodes,"S",$CI:$CI)=$CI$782,(IF($A33="S",(SUMIF(#REF!,CT$17,#REF!)*$CG33)*((SUMIF(ProductCodes,"S",$CI:$CI)-SUMIF(ProductCodes,"H",$CH:$CH)-SUMIF(ProductCodes,"R",$CH:$CH)-SUMIF(ProductCodes,"B",$CH:$CH)-(SUMIF(ProductCodes,"C",$CH:$CH)/4))/SUMIF(ProductCodes,"S",$CH:$CH)),
IF($A33="C",(SUMIF(#REF!,CT$17,#REF!)*$CG33)/4,
IF($A33="B",(SUMIF(#REF!,CT$17,#REF!)*$CG33),
IF($A33="R",(SUMIF(#REF!,CT$17,#REF!)*$CG33),
IF($A33="H",(SUMIF(#REF!,CT$17,#REF!)*$CG33),"")))))),
IF($A33="C",(SUMIF(#REF!,CT$17,#REF!)*$CG33)*(SUMIF(ProductCodes,"C",$CI:$CI)/(SUMIF(ProductCodes,"C",$CH:$CH))),
IF($A33="S",(SUMIF(#REF!,CT$17,#REF!)*$CG33)*(SUMIF(ProductCodes,"S",$CI:$CI)/(SUMIF(ProductCodes,"S",$CH:$CH))),
IF($A33="B",(SUMIF(#REF!,CT$17,#REF!)*$CG33)*(SUMIF(ProductCodes,"B",$CI:$CI)/(SUMIF(ProductCodes,"B",$CH:$CH))),
IF($A33="R",(SUMIF(#REF!,CT$17,#REF!)*$CG33)*(SUMIF(ProductCodes,"R",$CI:$CI)/(SUMIF(ProductCodes,"R",$CH:$CH))),
IF($A33="H",(SUMIF(#REF!,CT$17,#REF!)*$CG33)*(SUMIF(ProductCodes,"H",$CI:$CI)/(SUMIF(ProductCodes,"H",$CH:$CH))),""))))))),"Error")</f>
        <v>Error</v>
      </c>
      <c r="CU33" s="84" t="str">
        <f>IFERROR(
IF(SUMIF(ProductCodes,"C",$CI:$CI)=$CI$782,(IF($A33="C",(SUMIF(#REF!,CU$17,#REF!)*$CG33)*((SUMIF(ProductCodes,"C",$CI:$CI)-SUMIF(ProductCodes,"H",$CH:$CH)-SUMIF(ProductCodes,"R",$CH:$CH)-SUMIF(ProductCodes,"B",$CH:$CH)-(SUMIF(ProductCodes,"S",$CH:$CH)/2))/SUMIF(ProductCodes,"C",$CH:$CH)),IF($A33="S",(SUMIF(#REF!,CU$17,#REF!)*$CG33)/2,
IF($A33="B",(SUMIF(#REF!,CU$17,#REF!)*$CG33),
IF($A33="R",(SUMIF(#REF!,CU$17,#REF!)*$CG33),
IF($A33="H",(SUMIF(#REF!,CU$17,#REF!)*$CG33),"")))))),
IF(SUMIF(ProductCodes,"S",$CI:$CI)=$CI$782,(IF($A33="S",(SUMIF(#REF!,CU$17,#REF!)*$CG33)*((SUMIF(ProductCodes,"S",$CI:$CI)-SUMIF(ProductCodes,"H",$CH:$CH)-SUMIF(ProductCodes,"R",$CH:$CH)-SUMIF(ProductCodes,"B",$CH:$CH)-(SUMIF(ProductCodes,"C",$CH:$CH)/4))/SUMIF(ProductCodes,"S",$CH:$CH)),
IF($A33="C",(SUMIF(#REF!,CU$17,#REF!)*$CG33)/4,
IF($A33="B",(SUMIF(#REF!,CU$17,#REF!)*$CG33),
IF($A33="R",(SUMIF(#REF!,CU$17,#REF!)*$CG33),
IF($A33="H",(SUMIF(#REF!,CU$17,#REF!)*$CG33),"")))))),
IF($A33="C",(SUMIF(#REF!,CU$17,#REF!)*$CG33)*(SUMIF(ProductCodes,"C",$CI:$CI)/(SUMIF(ProductCodes,"C",$CH:$CH))),
IF($A33="S",(SUMIF(#REF!,CU$17,#REF!)*$CG33)*(SUMIF(ProductCodes,"S",$CI:$CI)/(SUMIF(ProductCodes,"S",$CH:$CH))),
IF($A33="B",(SUMIF(#REF!,CU$17,#REF!)*$CG33)*(SUMIF(ProductCodes,"B",$CI:$CI)/(SUMIF(ProductCodes,"B",$CH:$CH))),
IF($A33="R",(SUMIF(#REF!,CU$17,#REF!)*$CG33)*(SUMIF(ProductCodes,"R",$CI:$CI)/(SUMIF(ProductCodes,"R",$CH:$CH))),
IF($A33="H",(SUMIF(#REF!,CU$17,#REF!)*$CG33)*(SUMIF(ProductCodes,"H",$CI:$CI)/(SUMIF(ProductCodes,"H",$CH:$CH))),""))))))),"Error")</f>
        <v>Error</v>
      </c>
      <c r="CV33" s="84" t="str">
        <f>IFERROR(
IF(SUMIF(ProductCodes,"C",$CI:$CI)=$CI$782,(IF($A33="C",(SUMIF(#REF!,CV$17,#REF!)*$CG33)*((SUMIF(ProductCodes,"C",$CI:$CI)-SUMIF(ProductCodes,"H",$CH:$CH)-SUMIF(ProductCodes,"R",$CH:$CH)-SUMIF(ProductCodes,"B",$CH:$CH)-(SUMIF(ProductCodes,"S",$CH:$CH)/2))/SUMIF(ProductCodes,"C",$CH:$CH)),IF($A33="S",(SUMIF(#REF!,CV$17,#REF!)*$CG33)/2,
IF($A33="B",(SUMIF(#REF!,CV$17,#REF!)*$CG33),
IF($A33="R",(SUMIF(#REF!,CV$17,#REF!)*$CG33),
IF($A33="H",(SUMIF(#REF!,CV$17,#REF!)*$CG33),"")))))),
IF(SUMIF(ProductCodes,"S",$CI:$CI)=$CI$782,(IF($A33="S",(SUMIF(#REF!,CV$17,#REF!)*$CG33)*((SUMIF(ProductCodes,"S",$CI:$CI)-SUMIF(ProductCodes,"H",$CH:$CH)-SUMIF(ProductCodes,"R",$CH:$CH)-SUMIF(ProductCodes,"B",$CH:$CH)-(SUMIF(ProductCodes,"C",$CH:$CH)/4))/SUMIF(ProductCodes,"S",$CH:$CH)),
IF($A33="C",(SUMIF(#REF!,CV$17,#REF!)*$CG33)/4,
IF($A33="B",(SUMIF(#REF!,CV$17,#REF!)*$CG33),
IF($A33="R",(SUMIF(#REF!,CV$17,#REF!)*$CG33),
IF($A33="H",(SUMIF(#REF!,CV$17,#REF!)*$CG33),"")))))),
IF($A33="C",(SUMIF(#REF!,CV$17,#REF!)*$CG33)*(SUMIF(ProductCodes,"C",$CI:$CI)/(SUMIF(ProductCodes,"C",$CH:$CH))),
IF($A33="S",(SUMIF(#REF!,CV$17,#REF!)*$CG33)*(SUMIF(ProductCodes,"S",$CI:$CI)/(SUMIF(ProductCodes,"S",$CH:$CH))),
IF($A33="B",(SUMIF(#REF!,CV$17,#REF!)*$CG33)*(SUMIF(ProductCodes,"B",$CI:$CI)/(SUMIF(ProductCodes,"B",$CH:$CH))),
IF($A33="R",(SUMIF(#REF!,CV$17,#REF!)*$CG33)*(SUMIF(ProductCodes,"R",$CI:$CI)/(SUMIF(ProductCodes,"R",$CH:$CH))),
IF($A33="H",(SUMIF(#REF!,CV$17,#REF!)*$CG33)*(SUMIF(ProductCodes,"H",$CI:$CI)/(SUMIF(ProductCodes,"H",$CH:$CH))),""))))))),"Error")</f>
        <v>Error</v>
      </c>
      <c r="CW33" s="84" t="str">
        <f>IFERROR(
IF(SUMIF(ProductCodes,"C",$CI:$CI)=$CI$782,(IF($A33="C",(SUMIF(#REF!,CW$17,#REF!)*$CG33)*((SUMIF(ProductCodes,"C",$CI:$CI)-SUMIF(ProductCodes,"H",$CH:$CH)-SUMIF(ProductCodes,"R",$CH:$CH)-SUMIF(ProductCodes,"B",$CH:$CH)-(SUMIF(ProductCodes,"S",$CH:$CH)/2))/SUMIF(ProductCodes,"C",$CH:$CH)),IF($A33="S",(SUMIF(#REF!,CW$17,#REF!)*$CG33)/2,
IF($A33="B",(SUMIF(#REF!,CW$17,#REF!)*$CG33),
IF($A33="R",(SUMIF(#REF!,CW$17,#REF!)*$CG33),
IF($A33="H",(SUMIF(#REF!,CW$17,#REF!)*$CG33),"")))))),
IF(SUMIF(ProductCodes,"S",$CI:$CI)=$CI$782,(IF($A33="S",(SUMIF(#REF!,CW$17,#REF!)*$CG33)*((SUMIF(ProductCodes,"S",$CI:$CI)-SUMIF(ProductCodes,"H",$CH:$CH)-SUMIF(ProductCodes,"R",$CH:$CH)-SUMIF(ProductCodes,"B",$CH:$CH)-(SUMIF(ProductCodes,"C",$CH:$CH)/4))/SUMIF(ProductCodes,"S",$CH:$CH)),
IF($A33="C",(SUMIF(#REF!,CW$17,#REF!)*$CG33)/4,
IF($A33="B",(SUMIF(#REF!,CW$17,#REF!)*$CG33),
IF($A33="R",(SUMIF(#REF!,CW$17,#REF!)*$CG33),
IF($A33="H",(SUMIF(#REF!,CW$17,#REF!)*$CG33),"")))))),
IF($A33="C",(SUMIF(#REF!,CW$17,#REF!)*$CG33)*(SUMIF(ProductCodes,"C",$CI:$CI)/(SUMIF(ProductCodes,"C",$CH:$CH))),
IF($A33="S",(SUMIF(#REF!,CW$17,#REF!)*$CG33)*(SUMIF(ProductCodes,"S",$CI:$CI)/(SUMIF(ProductCodes,"S",$CH:$CH))),
IF($A33="B",(SUMIF(#REF!,CW$17,#REF!)*$CG33)*(SUMIF(ProductCodes,"B",$CI:$CI)/(SUMIF(ProductCodes,"B",$CH:$CH))),
IF($A33="R",(SUMIF(#REF!,CW$17,#REF!)*$CG33)*(SUMIF(ProductCodes,"R",$CI:$CI)/(SUMIF(ProductCodes,"R",$CH:$CH))),
IF($A33="H",(SUMIF(#REF!,CW$17,#REF!)*$CG33)*(SUMIF(ProductCodes,"H",$CI:$CI)/(SUMIF(ProductCodes,"H",$CH:$CH))),""))))))),"Error")</f>
        <v>Error</v>
      </c>
      <c r="CX33" s="84" t="str">
        <f>IFERROR(
IF(SUMIF(ProductCodes,"C",$CI:$CI)=$CI$782,(IF($A33="C",(SUMIF(#REF!,CX$17,#REF!)*$CG33)*((SUMIF(ProductCodes,"C",$CI:$CI)-SUMIF(ProductCodes,"H",$CH:$CH)-SUMIF(ProductCodes,"R",$CH:$CH)-SUMIF(ProductCodes,"B",$CH:$CH)-(SUMIF(ProductCodes,"S",$CH:$CH)/2))/SUMIF(ProductCodes,"C",$CH:$CH)),IF($A33="S",(SUMIF(#REF!,CX$17,#REF!)*$CG33)/2,
IF($A33="B",(SUMIF(#REF!,CX$17,#REF!)*$CG33),
IF($A33="R",(SUMIF(#REF!,CX$17,#REF!)*$CG33),
IF($A33="H",(SUMIF(#REF!,CX$17,#REF!)*$CG33),"")))))),
IF(SUMIF(ProductCodes,"S",$CI:$CI)=$CI$782,(IF($A33="S",(SUMIF(#REF!,CX$17,#REF!)*$CG33)*((SUMIF(ProductCodes,"S",$CI:$CI)-SUMIF(ProductCodes,"H",$CH:$CH)-SUMIF(ProductCodes,"R",$CH:$CH)-SUMIF(ProductCodes,"B",$CH:$CH)-(SUMIF(ProductCodes,"C",$CH:$CH)/4))/SUMIF(ProductCodes,"S",$CH:$CH)),
IF($A33="C",(SUMIF(#REF!,CX$17,#REF!)*$CG33)/4,
IF($A33="B",(SUMIF(#REF!,CX$17,#REF!)*$CG33),
IF($A33="R",(SUMIF(#REF!,CX$17,#REF!)*$CG33),
IF($A33="H",(SUMIF(#REF!,CX$17,#REF!)*$CG33),"")))))),
IF($A33="C",(SUMIF(#REF!,CX$17,#REF!)*$CG33)*(SUMIF(ProductCodes,"C",$CI:$CI)/(SUMIF(ProductCodes,"C",$CH:$CH))),
IF($A33="S",(SUMIF(#REF!,CX$17,#REF!)*$CG33)*(SUMIF(ProductCodes,"S",$CI:$CI)/(SUMIF(ProductCodes,"S",$CH:$CH))),
IF($A33="B",(SUMIF(#REF!,CX$17,#REF!)*$CG33)*(SUMIF(ProductCodes,"B",$CI:$CI)/(SUMIF(ProductCodes,"B",$CH:$CH))),
IF($A33="R",(SUMIF(#REF!,CX$17,#REF!)*$CG33)*(SUMIF(ProductCodes,"R",$CI:$CI)/(SUMIF(ProductCodes,"R",$CH:$CH))),
IF($A33="H",(SUMIF(#REF!,CX$17,#REF!)*$CG33)*(SUMIF(ProductCodes,"H",$CI:$CI)/(SUMIF(ProductCodes,"H",$CH:$CH))),""))))))),"Error")</f>
        <v>Error</v>
      </c>
      <c r="CY33" s="84" t="str">
        <f>IFERROR(
IF(SUMIF(ProductCodes,"C",$CI:$CI)=$CI$782,(IF($A33="C",(SUMIF(#REF!,CY$17,#REF!)*$CG33)*((SUMIF(ProductCodes,"C",$CI:$CI)-SUMIF(ProductCodes,"H",$CH:$CH)-SUMIF(ProductCodes,"R",$CH:$CH)-SUMIF(ProductCodes,"B",$CH:$CH)-(SUMIF(ProductCodes,"S",$CH:$CH)/2))/SUMIF(ProductCodes,"C",$CH:$CH)),IF($A33="S",(SUMIF(#REF!,CY$17,#REF!)*$CG33)/2,
IF($A33="B",(SUMIF(#REF!,CY$17,#REF!)*$CG33),
IF($A33="R",(SUMIF(#REF!,CY$17,#REF!)*$CG33),
IF($A33="H",(SUMIF(#REF!,CY$17,#REF!)*$CG33),"")))))),
IF(SUMIF(ProductCodes,"S",$CI:$CI)=$CI$782,(IF($A33="S",(SUMIF(#REF!,CY$17,#REF!)*$CG33)*((SUMIF(ProductCodes,"S",$CI:$CI)-SUMIF(ProductCodes,"H",$CH:$CH)-SUMIF(ProductCodes,"R",$CH:$CH)-SUMIF(ProductCodes,"B",$CH:$CH)-(SUMIF(ProductCodes,"C",$CH:$CH)/4))/SUMIF(ProductCodes,"S",$CH:$CH)),
IF($A33="C",(SUMIF(#REF!,CY$17,#REF!)*$CG33)/4,
IF($A33="B",(SUMIF(#REF!,CY$17,#REF!)*$CG33),
IF($A33="R",(SUMIF(#REF!,CY$17,#REF!)*$CG33),
IF($A33="H",(SUMIF(#REF!,CY$17,#REF!)*$CG33),"")))))),
IF($A33="C",(SUMIF(#REF!,CY$17,#REF!)*$CG33)*(SUMIF(ProductCodes,"C",$CI:$CI)/(SUMIF(ProductCodes,"C",$CH:$CH))),
IF($A33="S",(SUMIF(#REF!,CY$17,#REF!)*$CG33)*(SUMIF(ProductCodes,"S",$CI:$CI)/(SUMIF(ProductCodes,"S",$CH:$CH))),
IF($A33="B",(SUMIF(#REF!,CY$17,#REF!)*$CG33)*(SUMIF(ProductCodes,"B",$CI:$CI)/(SUMIF(ProductCodes,"B",$CH:$CH))),
IF($A33="R",(SUMIF(#REF!,CY$17,#REF!)*$CG33)*(SUMIF(ProductCodes,"R",$CI:$CI)/(SUMIF(ProductCodes,"R",$CH:$CH))),
IF($A33="H",(SUMIF(#REF!,CY$17,#REF!)*$CG33)*(SUMIF(ProductCodes,"H",$CI:$CI)/(SUMIF(ProductCodes,"H",$CH:$CH))),""))))))),"Error")</f>
        <v>Error</v>
      </c>
      <c r="CZ33" s="84" t="str">
        <f>IFERROR(
IF(SUMIF(ProductCodes,"C",$CI:$CI)=$CI$782,(IF($A33="C",(SUMIF(#REF!,CZ$17,#REF!)*$CG33)*((SUMIF(ProductCodes,"C",$CI:$CI)-SUMIF(ProductCodes,"H",$CH:$CH)-SUMIF(ProductCodes,"R",$CH:$CH)-SUMIF(ProductCodes,"B",$CH:$CH)-(SUMIF(ProductCodes,"S",$CH:$CH)/2))/SUMIF(ProductCodes,"C",$CH:$CH)),IF($A33="S",(SUMIF(#REF!,CZ$17,#REF!)*$CG33)/2,
IF($A33="B",(SUMIF(#REF!,CZ$17,#REF!)*$CG33),
IF($A33="R",(SUMIF(#REF!,CZ$17,#REF!)*$CG33),
IF($A33="H",(SUMIF(#REF!,CZ$17,#REF!)*$CG33),"")))))),
IF(SUMIF(ProductCodes,"S",$CI:$CI)=$CI$782,(IF($A33="S",(SUMIF(#REF!,CZ$17,#REF!)*$CG33)*((SUMIF(ProductCodes,"S",$CI:$CI)-SUMIF(ProductCodes,"H",$CH:$CH)-SUMIF(ProductCodes,"R",$CH:$CH)-SUMIF(ProductCodes,"B",$CH:$CH)-(SUMIF(ProductCodes,"C",$CH:$CH)/4))/SUMIF(ProductCodes,"S",$CH:$CH)),
IF($A33="C",(SUMIF(#REF!,CZ$17,#REF!)*$CG33)/4,
IF($A33="B",(SUMIF(#REF!,CZ$17,#REF!)*$CG33),
IF($A33="R",(SUMIF(#REF!,CZ$17,#REF!)*$CG33),
IF($A33="H",(SUMIF(#REF!,CZ$17,#REF!)*$CG33),"")))))),
IF($A33="C",(SUMIF(#REF!,CZ$17,#REF!)*$CG33)*(SUMIF(ProductCodes,"C",$CI:$CI)/(SUMIF(ProductCodes,"C",$CH:$CH))),
IF($A33="S",(SUMIF(#REF!,CZ$17,#REF!)*$CG33)*(SUMIF(ProductCodes,"S",$CI:$CI)/(SUMIF(ProductCodes,"S",$CH:$CH))),
IF($A33="B",(SUMIF(#REF!,CZ$17,#REF!)*$CG33)*(SUMIF(ProductCodes,"B",$CI:$CI)/(SUMIF(ProductCodes,"B",$CH:$CH))),
IF($A33="R",(SUMIF(#REF!,CZ$17,#REF!)*$CG33)*(SUMIF(ProductCodes,"R",$CI:$CI)/(SUMIF(ProductCodes,"R",$CH:$CH))),
IF($A33="H",(SUMIF(#REF!,CZ$17,#REF!)*$CG33)*(SUMIF(ProductCodes,"H",$CI:$CI)/(SUMIF(ProductCodes,"H",$CH:$CH))),""))))))),"Error")</f>
        <v>Error</v>
      </c>
      <c r="DA33" s="84" t="str">
        <f>IFERROR(
IF(SUMIF(ProductCodes,"C",$CI:$CI)=$CI$782,(IF($A33="C",(SUMIF(#REF!,DA$17,#REF!)*$CG33)*((SUMIF(ProductCodes,"C",$CI:$CI)-SUMIF(ProductCodes,"H",$CH:$CH)-SUMIF(ProductCodes,"R",$CH:$CH)-SUMIF(ProductCodes,"B",$CH:$CH)-(SUMIF(ProductCodes,"S",$CH:$CH)/2))/SUMIF(ProductCodes,"C",$CH:$CH)),IF($A33="S",(SUMIF(#REF!,DA$17,#REF!)*$CG33)/2,
IF($A33="B",(SUMIF(#REF!,DA$17,#REF!)*$CG33),
IF($A33="R",(SUMIF(#REF!,DA$17,#REF!)*$CG33),
IF($A33="H",(SUMIF(#REF!,DA$17,#REF!)*$CG33),"")))))),
IF(SUMIF(ProductCodes,"S",$CI:$CI)=$CI$782,(IF($A33="S",(SUMIF(#REF!,DA$17,#REF!)*$CG33)*((SUMIF(ProductCodes,"S",$CI:$CI)-SUMIF(ProductCodes,"H",$CH:$CH)-SUMIF(ProductCodes,"R",$CH:$CH)-SUMIF(ProductCodes,"B",$CH:$CH)-(SUMIF(ProductCodes,"C",$CH:$CH)/4))/SUMIF(ProductCodes,"S",$CH:$CH)),
IF($A33="C",(SUMIF(#REF!,DA$17,#REF!)*$CG33)/4,
IF($A33="B",(SUMIF(#REF!,DA$17,#REF!)*$CG33),
IF($A33="R",(SUMIF(#REF!,DA$17,#REF!)*$CG33),
IF($A33="H",(SUMIF(#REF!,DA$17,#REF!)*$CG33),"")))))),
IF($A33="C",(SUMIF(#REF!,DA$17,#REF!)*$CG33)*(SUMIF(ProductCodes,"C",$CI:$CI)/(SUMIF(ProductCodes,"C",$CH:$CH))),
IF($A33="S",(SUMIF(#REF!,DA$17,#REF!)*$CG33)*(SUMIF(ProductCodes,"S",$CI:$CI)/(SUMIF(ProductCodes,"S",$CH:$CH))),
IF($A33="B",(SUMIF(#REF!,DA$17,#REF!)*$CG33)*(SUMIF(ProductCodes,"B",$CI:$CI)/(SUMIF(ProductCodes,"B",$CH:$CH))),
IF($A33="R",(SUMIF(#REF!,DA$17,#REF!)*$CG33)*(SUMIF(ProductCodes,"R",$CI:$CI)/(SUMIF(ProductCodes,"R",$CH:$CH))),
IF($A33="H",(SUMIF(#REF!,DA$17,#REF!)*$CG33)*(SUMIF(ProductCodes,"H",$CI:$CI)/(SUMIF(ProductCodes,"H",$CH:$CH))),""))))))),"Error")</f>
        <v>Error</v>
      </c>
      <c r="DB33" s="84" t="str">
        <f>IFERROR(
IF(SUMIF(ProductCodes,"C",$CI:$CI)=$CI$782,(IF($A33="C",(SUMIF(#REF!,DB$17,#REF!)*$CG33)*((SUMIF(ProductCodes,"C",$CI:$CI)-SUMIF(ProductCodes,"H",$CH:$CH)-SUMIF(ProductCodes,"R",$CH:$CH)-SUMIF(ProductCodes,"B",$CH:$CH)-(SUMIF(ProductCodes,"S",$CH:$CH)/2))/SUMIF(ProductCodes,"C",$CH:$CH)),IF($A33="S",(SUMIF(#REF!,DB$17,#REF!)*$CG33)/2,
IF($A33="B",(SUMIF(#REF!,DB$17,#REF!)*$CG33),
IF($A33="R",(SUMIF(#REF!,DB$17,#REF!)*$CG33),
IF($A33="H",(SUMIF(#REF!,DB$17,#REF!)*$CG33),"")))))),
IF(SUMIF(ProductCodes,"S",$CI:$CI)=$CI$782,(IF($A33="S",(SUMIF(#REF!,DB$17,#REF!)*$CG33)*((SUMIF(ProductCodes,"S",$CI:$CI)-SUMIF(ProductCodes,"H",$CH:$CH)-SUMIF(ProductCodes,"R",$CH:$CH)-SUMIF(ProductCodes,"B",$CH:$CH)-(SUMIF(ProductCodes,"C",$CH:$CH)/4))/SUMIF(ProductCodes,"S",$CH:$CH)),
IF($A33="C",(SUMIF(#REF!,DB$17,#REF!)*$CG33)/4,
IF($A33="B",(SUMIF(#REF!,DB$17,#REF!)*$CG33),
IF($A33="R",(SUMIF(#REF!,DB$17,#REF!)*$CG33),
IF($A33="H",(SUMIF(#REF!,DB$17,#REF!)*$CG33),"")))))),
IF($A33="C",(SUMIF(#REF!,DB$17,#REF!)*$CG33)*(SUMIF(ProductCodes,"C",$CI:$CI)/(SUMIF(ProductCodes,"C",$CH:$CH))),
IF($A33="S",(SUMIF(#REF!,DB$17,#REF!)*$CG33)*(SUMIF(ProductCodes,"S",$CI:$CI)/(SUMIF(ProductCodes,"S",$CH:$CH))),
IF($A33="B",(SUMIF(#REF!,DB$17,#REF!)*$CG33)*(SUMIF(ProductCodes,"B",$CI:$CI)/(SUMIF(ProductCodes,"B",$CH:$CH))),
IF($A33="R",(SUMIF(#REF!,DB$17,#REF!)*$CG33)*(SUMIF(ProductCodes,"R",$CI:$CI)/(SUMIF(ProductCodes,"R",$CH:$CH))),
IF($A33="H",(SUMIF(#REF!,DB$17,#REF!)*$CG33)*(SUMIF(ProductCodes,"H",$CI:$CI)/(SUMIF(ProductCodes,"H",$CH:$CH))),""))))))),"Error")</f>
        <v>Error</v>
      </c>
      <c r="DC33" s="84" t="str">
        <f>IFERROR(
IF(SUMIF(ProductCodes,"C",$CI:$CI)=$CI$782,(IF($A33="C",(SUMIF(#REF!,DC$17,#REF!)*$CG33)*((SUMIF(ProductCodes,"C",$CI:$CI)-SUMIF(ProductCodes,"H",$CH:$CH)-SUMIF(ProductCodes,"R",$CH:$CH)-SUMIF(ProductCodes,"B",$CH:$CH)-(SUMIF(ProductCodes,"S",$CH:$CH)/2))/SUMIF(ProductCodes,"C",$CH:$CH)),IF($A33="S",(SUMIF(#REF!,DC$17,#REF!)*$CG33)/2,
IF($A33="B",(SUMIF(#REF!,DC$17,#REF!)*$CG33),
IF($A33="R",(SUMIF(#REF!,DC$17,#REF!)*$CG33),
IF($A33="H",(SUMIF(#REF!,DC$17,#REF!)*$CG33),"")))))),
IF(SUMIF(ProductCodes,"S",$CI:$CI)=$CI$782,(IF($A33="S",(SUMIF(#REF!,DC$17,#REF!)*$CG33)*((SUMIF(ProductCodes,"S",$CI:$CI)-SUMIF(ProductCodes,"H",$CH:$CH)-SUMIF(ProductCodes,"R",$CH:$CH)-SUMIF(ProductCodes,"B",$CH:$CH)-(SUMIF(ProductCodes,"C",$CH:$CH)/4))/SUMIF(ProductCodes,"S",$CH:$CH)),
IF($A33="C",(SUMIF(#REF!,DC$17,#REF!)*$CG33)/4,
IF($A33="B",(SUMIF(#REF!,DC$17,#REF!)*$CG33),
IF($A33="R",(SUMIF(#REF!,DC$17,#REF!)*$CG33),
IF($A33="H",(SUMIF(#REF!,DC$17,#REF!)*$CG33),"")))))),
IF($A33="C",(SUMIF(#REF!,DC$17,#REF!)*$CG33)*(SUMIF(ProductCodes,"C",$CI:$CI)/(SUMIF(ProductCodes,"C",$CH:$CH))),
IF($A33="S",(SUMIF(#REF!,DC$17,#REF!)*$CG33)*(SUMIF(ProductCodes,"S",$CI:$CI)/(SUMIF(ProductCodes,"S",$CH:$CH))),
IF($A33="B",(SUMIF(#REF!,DC$17,#REF!)*$CG33)*(SUMIF(ProductCodes,"B",$CI:$CI)/(SUMIF(ProductCodes,"B",$CH:$CH))),
IF($A33="R",(SUMIF(#REF!,DC$17,#REF!)*$CG33)*(SUMIF(ProductCodes,"R",$CI:$CI)/(SUMIF(ProductCodes,"R",$CH:$CH))),
IF($A33="H",(SUMIF(#REF!,DC$17,#REF!)*$CG33)*(SUMIF(ProductCodes,"H",$CI:$CI)/(SUMIF(ProductCodes,"H",$CH:$CH))),""))))))),"Error")</f>
        <v>Error</v>
      </c>
      <c r="DD33" s="84" t="str">
        <f>IFERROR(
IF(SUMIF(ProductCodes,"C",$CI:$CI)=$CI$782,(IF($A33="C",(SUMIF(#REF!,DD$17,#REF!)*$CG33)*((SUMIF(ProductCodes,"C",$CI:$CI)-SUMIF(ProductCodes,"H",$CH:$CH)-SUMIF(ProductCodes,"R",$CH:$CH)-SUMIF(ProductCodes,"B",$CH:$CH)-(SUMIF(ProductCodes,"S",$CH:$CH)/2))/SUMIF(ProductCodes,"C",$CH:$CH)),IF($A33="S",(SUMIF(#REF!,DD$17,#REF!)*$CG33)/2,
IF($A33="B",(SUMIF(#REF!,DD$17,#REF!)*$CG33),
IF($A33="R",(SUMIF(#REF!,DD$17,#REF!)*$CG33),
IF($A33="H",(SUMIF(#REF!,DD$17,#REF!)*$CG33),"")))))),
IF(SUMIF(ProductCodes,"S",$CI:$CI)=$CI$782,(IF($A33="S",(SUMIF(#REF!,DD$17,#REF!)*$CG33)*((SUMIF(ProductCodes,"S",$CI:$CI)-SUMIF(ProductCodes,"H",$CH:$CH)-SUMIF(ProductCodes,"R",$CH:$CH)-SUMIF(ProductCodes,"B",$CH:$CH)-(SUMIF(ProductCodes,"C",$CH:$CH)/4))/SUMIF(ProductCodes,"S",$CH:$CH)),
IF($A33="C",(SUMIF(#REF!,DD$17,#REF!)*$CG33)/4,
IF($A33="B",(SUMIF(#REF!,DD$17,#REF!)*$CG33),
IF($A33="R",(SUMIF(#REF!,DD$17,#REF!)*$CG33),
IF($A33="H",(SUMIF(#REF!,DD$17,#REF!)*$CG33),"")))))),
IF($A33="C",(SUMIF(#REF!,DD$17,#REF!)*$CG33)*(SUMIF(ProductCodes,"C",$CI:$CI)/(SUMIF(ProductCodes,"C",$CH:$CH))),
IF($A33="S",(SUMIF(#REF!,DD$17,#REF!)*$CG33)*(SUMIF(ProductCodes,"S",$CI:$CI)/(SUMIF(ProductCodes,"S",$CH:$CH))),
IF($A33="B",(SUMIF(#REF!,DD$17,#REF!)*$CG33)*(SUMIF(ProductCodes,"B",$CI:$CI)/(SUMIF(ProductCodes,"B",$CH:$CH))),
IF($A33="R",(SUMIF(#REF!,DD$17,#REF!)*$CG33)*(SUMIF(ProductCodes,"R",$CI:$CI)/(SUMIF(ProductCodes,"R",$CH:$CH))),
IF($A33="H",(SUMIF(#REF!,DD$17,#REF!)*$CG33)*(SUMIF(ProductCodes,"H",$CI:$CI)/(SUMIF(ProductCodes,"H",$CH:$CH))),""))))))),"Error")</f>
        <v>Error</v>
      </c>
      <c r="DE33" s="84" t="str">
        <f>IFERROR(
IF(SUMIF(ProductCodes,"C",$CI:$CI)=$CI$782,(IF($A33="C",(SUMIF(#REF!,DE$17,#REF!)*$CG33)*((SUMIF(ProductCodes,"C",$CI:$CI)-SUMIF(ProductCodes,"H",$CH:$CH)-SUMIF(ProductCodes,"R",$CH:$CH)-SUMIF(ProductCodes,"B",$CH:$CH)-(SUMIF(ProductCodes,"S",$CH:$CH)/2))/SUMIF(ProductCodes,"C",$CH:$CH)),IF($A33="S",(SUMIF(#REF!,DE$17,#REF!)*$CG33)/2,
IF($A33="B",(SUMIF(#REF!,DE$17,#REF!)*$CG33),
IF($A33="R",(SUMIF(#REF!,DE$17,#REF!)*$CG33),
IF($A33="H",(SUMIF(#REF!,DE$17,#REF!)*$CG33),"")))))),
IF(SUMIF(ProductCodes,"S",$CI:$CI)=$CI$782,(IF($A33="S",(SUMIF(#REF!,DE$17,#REF!)*$CG33)*((SUMIF(ProductCodes,"S",$CI:$CI)-SUMIF(ProductCodes,"H",$CH:$CH)-SUMIF(ProductCodes,"R",$CH:$CH)-SUMIF(ProductCodes,"B",$CH:$CH)-(SUMIF(ProductCodes,"C",$CH:$CH)/4))/SUMIF(ProductCodes,"S",$CH:$CH)),
IF($A33="C",(SUMIF(#REF!,DE$17,#REF!)*$CG33)/4,
IF($A33="B",(SUMIF(#REF!,DE$17,#REF!)*$CG33),
IF($A33="R",(SUMIF(#REF!,DE$17,#REF!)*$CG33),
IF($A33="H",(SUMIF(#REF!,DE$17,#REF!)*$CG33),"")))))),
IF($A33="C",(SUMIF(#REF!,DE$17,#REF!)*$CG33)*(SUMIF(ProductCodes,"C",$CI:$CI)/(SUMIF(ProductCodes,"C",$CH:$CH))),
IF($A33="S",(SUMIF(#REF!,DE$17,#REF!)*$CG33)*(SUMIF(ProductCodes,"S",$CI:$CI)/(SUMIF(ProductCodes,"S",$CH:$CH))),
IF($A33="B",(SUMIF(#REF!,DE$17,#REF!)*$CG33)*(SUMIF(ProductCodes,"B",$CI:$CI)/(SUMIF(ProductCodes,"B",$CH:$CH))),
IF($A33="R",(SUMIF(#REF!,DE$17,#REF!)*$CG33)*(SUMIF(ProductCodes,"R",$CI:$CI)/(SUMIF(ProductCodes,"R",$CH:$CH))),
IF($A33="H",(SUMIF(#REF!,DE$17,#REF!)*$CG33)*(SUMIF(ProductCodes,"H",$CI:$CI)/(SUMIF(ProductCodes,"H",$CH:$CH))),""))))))),"Error")</f>
        <v>Error</v>
      </c>
      <c r="DF33" s="84" t="str">
        <f>IFERROR(
IF(SUMIF(ProductCodes,"C",$CI:$CI)=$CI$782,(IF($A33="C",(SUMIF(#REF!,DF$17,#REF!)*$CG33)*((SUMIF(ProductCodes,"C",$CI:$CI)-SUMIF(ProductCodes,"H",$CH:$CH)-SUMIF(ProductCodes,"R",$CH:$CH)-SUMIF(ProductCodes,"B",$CH:$CH)-(SUMIF(ProductCodes,"S",$CH:$CH)/2))/SUMIF(ProductCodes,"C",$CH:$CH)),IF($A33="S",(SUMIF(#REF!,DF$17,#REF!)*$CG33)/2,
IF($A33="B",(SUMIF(#REF!,DF$17,#REF!)*$CG33),
IF($A33="R",(SUMIF(#REF!,DF$17,#REF!)*$CG33),
IF($A33="H",(SUMIF(#REF!,DF$17,#REF!)*$CG33),"")))))),
IF(SUMIF(ProductCodes,"S",$CI:$CI)=$CI$782,(IF($A33="S",(SUMIF(#REF!,DF$17,#REF!)*$CG33)*((SUMIF(ProductCodes,"S",$CI:$CI)-SUMIF(ProductCodes,"H",$CH:$CH)-SUMIF(ProductCodes,"R",$CH:$CH)-SUMIF(ProductCodes,"B",$CH:$CH)-(SUMIF(ProductCodes,"C",$CH:$CH)/4))/SUMIF(ProductCodes,"S",$CH:$CH)),
IF($A33="C",(SUMIF(#REF!,DF$17,#REF!)*$CG33)/4,
IF($A33="B",(SUMIF(#REF!,DF$17,#REF!)*$CG33),
IF($A33="R",(SUMIF(#REF!,DF$17,#REF!)*$CG33),
IF($A33="H",(SUMIF(#REF!,DF$17,#REF!)*$CG33),"")))))),
IF($A33="C",(SUMIF(#REF!,DF$17,#REF!)*$CG33)*(SUMIF(ProductCodes,"C",$CI:$CI)/(SUMIF(ProductCodes,"C",$CH:$CH))),
IF($A33="S",(SUMIF(#REF!,DF$17,#REF!)*$CG33)*(SUMIF(ProductCodes,"S",$CI:$CI)/(SUMIF(ProductCodes,"S",$CH:$CH))),
IF($A33="B",(SUMIF(#REF!,DF$17,#REF!)*$CG33)*(SUMIF(ProductCodes,"B",$CI:$CI)/(SUMIF(ProductCodes,"B",$CH:$CH))),
IF($A33="R",(SUMIF(#REF!,DF$17,#REF!)*$CG33)*(SUMIF(ProductCodes,"R",$CI:$CI)/(SUMIF(ProductCodes,"R",$CH:$CH))),
IF($A33="H",(SUMIF(#REF!,DF$17,#REF!)*$CG33)*(SUMIF(ProductCodes,"H",$CI:$CI)/(SUMIF(ProductCodes,"H",$CH:$CH))),""))))))),"Error")</f>
        <v>Error</v>
      </c>
      <c r="DG33" s="84" t="str">
        <f>IFERROR(
IF(SUMIF(ProductCodes,"C",$CI:$CI)=$CI$782,(IF($A33="C",(SUMIF(#REF!,DG$17,#REF!)*$CG33)*((SUMIF(ProductCodes,"C",$CI:$CI)-SUMIF(ProductCodes,"H",$CH:$CH)-SUMIF(ProductCodes,"R",$CH:$CH)-SUMIF(ProductCodes,"B",$CH:$CH)-(SUMIF(ProductCodes,"S",$CH:$CH)/2))/SUMIF(ProductCodes,"C",$CH:$CH)),IF($A33="S",(SUMIF(#REF!,DG$17,#REF!)*$CG33)/2,
IF($A33="B",(SUMIF(#REF!,DG$17,#REF!)*$CG33),
IF($A33="R",(SUMIF(#REF!,DG$17,#REF!)*$CG33),
IF($A33="H",(SUMIF(#REF!,DG$17,#REF!)*$CG33),"")))))),
IF(SUMIF(ProductCodes,"S",$CI:$CI)=$CI$782,(IF($A33="S",(SUMIF(#REF!,DG$17,#REF!)*$CG33)*((SUMIF(ProductCodes,"S",$CI:$CI)-SUMIF(ProductCodes,"H",$CH:$CH)-SUMIF(ProductCodes,"R",$CH:$CH)-SUMIF(ProductCodes,"B",$CH:$CH)-(SUMIF(ProductCodes,"C",$CH:$CH)/4))/SUMIF(ProductCodes,"S",$CH:$CH)),
IF($A33="C",(SUMIF(#REF!,DG$17,#REF!)*$CG33)/4,
IF($A33="B",(SUMIF(#REF!,DG$17,#REF!)*$CG33),
IF($A33="R",(SUMIF(#REF!,DG$17,#REF!)*$CG33),
IF($A33="H",(SUMIF(#REF!,DG$17,#REF!)*$CG33),"")))))),
IF($A33="C",(SUMIF(#REF!,DG$17,#REF!)*$CG33)*(SUMIF(ProductCodes,"C",$CI:$CI)/(SUMIF(ProductCodes,"C",$CH:$CH))),
IF($A33="S",(SUMIF(#REF!,DG$17,#REF!)*$CG33)*(SUMIF(ProductCodes,"S",$CI:$CI)/(SUMIF(ProductCodes,"S",$CH:$CH))),
IF($A33="B",(SUMIF(#REF!,DG$17,#REF!)*$CG33)*(SUMIF(ProductCodes,"B",$CI:$CI)/(SUMIF(ProductCodes,"B",$CH:$CH))),
IF($A33="R",(SUMIF(#REF!,DG$17,#REF!)*$CG33)*(SUMIF(ProductCodes,"R",$CI:$CI)/(SUMIF(ProductCodes,"R",$CH:$CH))),
IF($A33="H",(SUMIF(#REF!,DG$17,#REF!)*$CG33)*(SUMIF(ProductCodes,"H",$CI:$CI)/(SUMIF(ProductCodes,"H",$CH:$CH))),""))))))),"Error")</f>
        <v>Error</v>
      </c>
      <c r="DH33" s="84" t="str">
        <f>IFERROR(
IF(SUMIF(ProductCodes,"C",$CI:$CI)=$CI$782,(IF($A33="C",(SUMIF(#REF!,DH$17,#REF!)*$CG33)*((SUMIF(ProductCodes,"C",$CI:$CI)-SUMIF(ProductCodes,"H",$CH:$CH)-SUMIF(ProductCodes,"R",$CH:$CH)-SUMIF(ProductCodes,"B",$CH:$CH)-(SUMIF(ProductCodes,"S",$CH:$CH)/2))/SUMIF(ProductCodes,"C",$CH:$CH)),IF($A33="S",(SUMIF(#REF!,DH$17,#REF!)*$CG33)/2,
IF($A33="B",(SUMIF(#REF!,DH$17,#REF!)*$CG33),
IF($A33="R",(SUMIF(#REF!,DH$17,#REF!)*$CG33),
IF($A33="H",(SUMIF(#REF!,DH$17,#REF!)*$CG33),"")))))),
IF(SUMIF(ProductCodes,"S",$CI:$CI)=$CI$782,(IF($A33="S",(SUMIF(#REF!,DH$17,#REF!)*$CG33)*((SUMIF(ProductCodes,"S",$CI:$CI)-SUMIF(ProductCodes,"H",$CH:$CH)-SUMIF(ProductCodes,"R",$CH:$CH)-SUMIF(ProductCodes,"B",$CH:$CH)-(SUMIF(ProductCodes,"C",$CH:$CH)/4))/SUMIF(ProductCodes,"S",$CH:$CH)),
IF($A33="C",(SUMIF(#REF!,DH$17,#REF!)*$CG33)/4,
IF($A33="B",(SUMIF(#REF!,DH$17,#REF!)*$CG33),
IF($A33="R",(SUMIF(#REF!,DH$17,#REF!)*$CG33),
IF($A33="H",(SUMIF(#REF!,DH$17,#REF!)*$CG33),"")))))),
IF($A33="C",(SUMIF(#REF!,DH$17,#REF!)*$CG33)*(SUMIF(ProductCodes,"C",$CI:$CI)/(SUMIF(ProductCodes,"C",$CH:$CH))),
IF($A33="S",(SUMIF(#REF!,DH$17,#REF!)*$CG33)*(SUMIF(ProductCodes,"S",$CI:$CI)/(SUMIF(ProductCodes,"S",$CH:$CH))),
IF($A33="B",(SUMIF(#REF!,DH$17,#REF!)*$CG33)*(SUMIF(ProductCodes,"B",$CI:$CI)/(SUMIF(ProductCodes,"B",$CH:$CH))),
IF($A33="R",(SUMIF(#REF!,DH$17,#REF!)*$CG33)*(SUMIF(ProductCodes,"R",$CI:$CI)/(SUMIF(ProductCodes,"R",$CH:$CH))),
IF($A33="H",(SUMIF(#REF!,DH$17,#REF!)*$CG33)*(SUMIF(ProductCodes,"H",$CI:$CI)/(SUMIF(ProductCodes,"H",$CH:$CH))),""))))))),"Error")</f>
        <v>Error</v>
      </c>
      <c r="DI33" s="84" t="str">
        <f>IFERROR(
IF(SUMIF(ProductCodes,"C",$CI:$CI)=$CI$782,(IF($A33="C",(SUMIF(#REF!,DI$17,#REF!)*$CG33)*((SUMIF(ProductCodes,"C",$CI:$CI)-SUMIF(ProductCodes,"H",$CH:$CH)-SUMIF(ProductCodes,"R",$CH:$CH)-SUMIF(ProductCodes,"B",$CH:$CH)-(SUMIF(ProductCodes,"S",$CH:$CH)/2))/SUMIF(ProductCodes,"C",$CH:$CH)),IF($A33="S",(SUMIF(#REF!,DI$17,#REF!)*$CG33)/2,
IF($A33="B",(SUMIF(#REF!,DI$17,#REF!)*$CG33),
IF($A33="R",(SUMIF(#REF!,DI$17,#REF!)*$CG33),
IF($A33="H",(SUMIF(#REF!,DI$17,#REF!)*$CG33),"")))))),
IF(SUMIF(ProductCodes,"S",$CI:$CI)=$CI$782,(IF($A33="S",(SUMIF(#REF!,DI$17,#REF!)*$CG33)*((SUMIF(ProductCodes,"S",$CI:$CI)-SUMIF(ProductCodes,"H",$CH:$CH)-SUMIF(ProductCodes,"R",$CH:$CH)-SUMIF(ProductCodes,"B",$CH:$CH)-(SUMIF(ProductCodes,"C",$CH:$CH)/4))/SUMIF(ProductCodes,"S",$CH:$CH)),
IF($A33="C",(SUMIF(#REF!,DI$17,#REF!)*$CG33)/4,
IF($A33="B",(SUMIF(#REF!,DI$17,#REF!)*$CG33),
IF($A33="R",(SUMIF(#REF!,DI$17,#REF!)*$CG33),
IF($A33="H",(SUMIF(#REF!,DI$17,#REF!)*$CG33),"")))))),
IF($A33="C",(SUMIF(#REF!,DI$17,#REF!)*$CG33)*(SUMIF(ProductCodes,"C",$CI:$CI)/(SUMIF(ProductCodes,"C",$CH:$CH))),
IF($A33="S",(SUMIF(#REF!,DI$17,#REF!)*$CG33)*(SUMIF(ProductCodes,"S",$CI:$CI)/(SUMIF(ProductCodes,"S",$CH:$CH))),
IF($A33="B",(SUMIF(#REF!,DI$17,#REF!)*$CG33)*(SUMIF(ProductCodes,"B",$CI:$CI)/(SUMIF(ProductCodes,"B",$CH:$CH))),
IF($A33="R",(SUMIF(#REF!,DI$17,#REF!)*$CG33)*(SUMIF(ProductCodes,"R",$CI:$CI)/(SUMIF(ProductCodes,"R",$CH:$CH))),
IF($A33="H",(SUMIF(#REF!,DI$17,#REF!)*$CG33)*(SUMIF(ProductCodes,"H",$CI:$CI)/(SUMIF(ProductCodes,"H",$CH:$CH))),""))))))),"Error")</f>
        <v>Error</v>
      </c>
      <c r="DJ33" s="84" t="str">
        <f>IFERROR(
IF(SUMIF(ProductCodes,"C",$CI:$CI)=$CI$782,(IF($A33="C",(SUMIF(#REF!,DJ$17,#REF!)*$CG33)*((SUMIF(ProductCodes,"C",$CI:$CI)-SUMIF(ProductCodes,"H",$CH:$CH)-SUMIF(ProductCodes,"R",$CH:$CH)-SUMIF(ProductCodes,"B",$CH:$CH)-(SUMIF(ProductCodes,"S",$CH:$CH)/2))/SUMIF(ProductCodes,"C",$CH:$CH)),IF($A33="S",(SUMIF(#REF!,DJ$17,#REF!)*$CG33)/2,
IF($A33="B",(SUMIF(#REF!,DJ$17,#REF!)*$CG33),
IF($A33="R",(SUMIF(#REF!,DJ$17,#REF!)*$CG33),
IF($A33="H",(SUMIF(#REF!,DJ$17,#REF!)*$CG33),"")))))),
IF(SUMIF(ProductCodes,"S",$CI:$CI)=$CI$782,(IF($A33="S",(SUMIF(#REF!,DJ$17,#REF!)*$CG33)*((SUMIF(ProductCodes,"S",$CI:$CI)-SUMIF(ProductCodes,"H",$CH:$CH)-SUMIF(ProductCodes,"R",$CH:$CH)-SUMIF(ProductCodes,"B",$CH:$CH)-(SUMIF(ProductCodes,"C",$CH:$CH)/4))/SUMIF(ProductCodes,"S",$CH:$CH)),
IF($A33="C",(SUMIF(#REF!,DJ$17,#REF!)*$CG33)/4,
IF($A33="B",(SUMIF(#REF!,DJ$17,#REF!)*$CG33),
IF($A33="R",(SUMIF(#REF!,DJ$17,#REF!)*$CG33),
IF($A33="H",(SUMIF(#REF!,DJ$17,#REF!)*$CG33),"")))))),
IF($A33="C",(SUMIF(#REF!,DJ$17,#REF!)*$CG33)*(SUMIF(ProductCodes,"C",$CI:$CI)/(SUMIF(ProductCodes,"C",$CH:$CH))),
IF($A33="S",(SUMIF(#REF!,DJ$17,#REF!)*$CG33)*(SUMIF(ProductCodes,"S",$CI:$CI)/(SUMIF(ProductCodes,"S",$CH:$CH))),
IF($A33="B",(SUMIF(#REF!,DJ$17,#REF!)*$CG33)*(SUMIF(ProductCodes,"B",$CI:$CI)/(SUMIF(ProductCodes,"B",$CH:$CH))),
IF($A33="R",(SUMIF(#REF!,DJ$17,#REF!)*$CG33)*(SUMIF(ProductCodes,"R",$CI:$CI)/(SUMIF(ProductCodes,"R",$CH:$CH))),
IF($A33="H",(SUMIF(#REF!,DJ$17,#REF!)*$CG33)*(SUMIF(ProductCodes,"H",$CI:$CI)/(SUMIF(ProductCodes,"H",$CH:$CH))),""))))))),"Error")</f>
        <v>Error</v>
      </c>
      <c r="DK33" s="84" t="str">
        <f>IFERROR(
IF(SUMIF(ProductCodes,"C",$CI:$CI)=$CI$782,(IF($A33="C",(SUMIF(#REF!,DK$17,#REF!)*$CG33)*((SUMIF(ProductCodes,"C",$CI:$CI)-SUMIF(ProductCodes,"H",$CH:$CH)-SUMIF(ProductCodes,"R",$CH:$CH)-SUMIF(ProductCodes,"B",$CH:$CH)-(SUMIF(ProductCodes,"S",$CH:$CH)/2))/SUMIF(ProductCodes,"C",$CH:$CH)),IF($A33="S",(SUMIF(#REF!,DK$17,#REF!)*$CG33)/2,
IF($A33="B",(SUMIF(#REF!,DK$17,#REF!)*$CG33),
IF($A33="R",(SUMIF(#REF!,DK$17,#REF!)*$CG33),
IF($A33="H",(SUMIF(#REF!,DK$17,#REF!)*$CG33),"")))))),
IF(SUMIF(ProductCodes,"S",$CI:$CI)=$CI$782,(IF($A33="S",(SUMIF(#REF!,DK$17,#REF!)*$CG33)*((SUMIF(ProductCodes,"S",$CI:$CI)-SUMIF(ProductCodes,"H",$CH:$CH)-SUMIF(ProductCodes,"R",$CH:$CH)-SUMIF(ProductCodes,"B",$CH:$CH)-(SUMIF(ProductCodes,"C",$CH:$CH)/4))/SUMIF(ProductCodes,"S",$CH:$CH)),
IF($A33="C",(SUMIF(#REF!,DK$17,#REF!)*$CG33)/4,
IF($A33="B",(SUMIF(#REF!,DK$17,#REF!)*$CG33),
IF($A33="R",(SUMIF(#REF!,DK$17,#REF!)*$CG33),
IF($A33="H",(SUMIF(#REF!,DK$17,#REF!)*$CG33),"")))))),
IF($A33="C",(SUMIF(#REF!,DK$17,#REF!)*$CG33)*(SUMIF(ProductCodes,"C",$CI:$CI)/(SUMIF(ProductCodes,"C",$CH:$CH))),
IF($A33="S",(SUMIF(#REF!,DK$17,#REF!)*$CG33)*(SUMIF(ProductCodes,"S",$CI:$CI)/(SUMIF(ProductCodes,"S",$CH:$CH))),
IF($A33="B",(SUMIF(#REF!,DK$17,#REF!)*$CG33)*(SUMIF(ProductCodes,"B",$CI:$CI)/(SUMIF(ProductCodes,"B",$CH:$CH))),
IF($A33="R",(SUMIF(#REF!,DK$17,#REF!)*$CG33)*(SUMIF(ProductCodes,"R",$CI:$CI)/(SUMIF(ProductCodes,"R",$CH:$CH))),
IF($A33="H",(SUMIF(#REF!,DK$17,#REF!)*$CG33)*(SUMIF(ProductCodes,"H",$CI:$CI)/(SUMIF(ProductCodes,"H",$CH:$CH))),""))))))),"Error")</f>
        <v>Error</v>
      </c>
      <c r="DL33" s="84" t="str">
        <f>IFERROR(
IF(SUMIF(ProductCodes,"C",$CI:$CI)=$CI$782,(IF($A33="C",(SUMIF(#REF!,DL$17,#REF!)*$CG33)*((SUMIF(ProductCodes,"C",$CI:$CI)-SUMIF(ProductCodes,"H",$CH:$CH)-SUMIF(ProductCodes,"R",$CH:$CH)-SUMIF(ProductCodes,"B",$CH:$CH)-(SUMIF(ProductCodes,"S",$CH:$CH)/2))/SUMIF(ProductCodes,"C",$CH:$CH)),IF($A33="S",(SUMIF(#REF!,DL$17,#REF!)*$CG33)/2,
IF($A33="B",(SUMIF(#REF!,DL$17,#REF!)*$CG33),
IF($A33="R",(SUMIF(#REF!,DL$17,#REF!)*$CG33),
IF($A33="H",(SUMIF(#REF!,DL$17,#REF!)*$CG33),"")))))),
IF(SUMIF(ProductCodes,"S",$CI:$CI)=$CI$782,(IF($A33="S",(SUMIF(#REF!,DL$17,#REF!)*$CG33)*((SUMIF(ProductCodes,"S",$CI:$CI)-SUMIF(ProductCodes,"H",$CH:$CH)-SUMIF(ProductCodes,"R",$CH:$CH)-SUMIF(ProductCodes,"B",$CH:$CH)-(SUMIF(ProductCodes,"C",$CH:$CH)/4))/SUMIF(ProductCodes,"S",$CH:$CH)),
IF($A33="C",(SUMIF(#REF!,DL$17,#REF!)*$CG33)/4,
IF($A33="B",(SUMIF(#REF!,DL$17,#REF!)*$CG33),
IF($A33="R",(SUMIF(#REF!,DL$17,#REF!)*$CG33),
IF($A33="H",(SUMIF(#REF!,DL$17,#REF!)*$CG33),"")))))),
IF($A33="C",(SUMIF(#REF!,DL$17,#REF!)*$CG33)*(SUMIF(ProductCodes,"C",$CI:$CI)/(SUMIF(ProductCodes,"C",$CH:$CH))),
IF($A33="S",(SUMIF(#REF!,DL$17,#REF!)*$CG33)*(SUMIF(ProductCodes,"S",$CI:$CI)/(SUMIF(ProductCodes,"S",$CH:$CH))),
IF($A33="B",(SUMIF(#REF!,DL$17,#REF!)*$CG33)*(SUMIF(ProductCodes,"B",$CI:$CI)/(SUMIF(ProductCodes,"B",$CH:$CH))),
IF($A33="R",(SUMIF(#REF!,DL$17,#REF!)*$CG33)*(SUMIF(ProductCodes,"R",$CI:$CI)/(SUMIF(ProductCodes,"R",$CH:$CH))),
IF($A33="H",(SUMIF(#REF!,DL$17,#REF!)*$CG33)*(SUMIF(ProductCodes,"H",$CI:$CI)/(SUMIF(ProductCodes,"H",$CH:$CH))),""))))))),"Error")</f>
        <v>Error</v>
      </c>
      <c r="DM33" s="84" t="str">
        <f>IFERROR(
IF(SUMIF(ProductCodes,"C",$CI:$CI)=$CI$782,(IF($A33="C",(SUMIF(#REF!,DM$17,#REF!)*$CG33)*((SUMIF(ProductCodes,"C",$CI:$CI)-SUMIF(ProductCodes,"H",$CH:$CH)-SUMIF(ProductCodes,"R",$CH:$CH)-SUMIF(ProductCodes,"B",$CH:$CH)-(SUMIF(ProductCodes,"S",$CH:$CH)/2))/SUMIF(ProductCodes,"C",$CH:$CH)),IF($A33="S",(SUMIF(#REF!,DM$17,#REF!)*$CG33)/2,
IF($A33="B",(SUMIF(#REF!,DM$17,#REF!)*$CG33),
IF($A33="R",(SUMIF(#REF!,DM$17,#REF!)*$CG33),
IF($A33="H",(SUMIF(#REF!,DM$17,#REF!)*$CG33),"")))))),
IF(SUMIF(ProductCodes,"S",$CI:$CI)=$CI$782,(IF($A33="S",(SUMIF(#REF!,DM$17,#REF!)*$CG33)*((SUMIF(ProductCodes,"S",$CI:$CI)-SUMIF(ProductCodes,"H",$CH:$CH)-SUMIF(ProductCodes,"R",$CH:$CH)-SUMIF(ProductCodes,"B",$CH:$CH)-(SUMIF(ProductCodes,"C",$CH:$CH)/4))/SUMIF(ProductCodes,"S",$CH:$CH)),
IF($A33="C",(SUMIF(#REF!,DM$17,#REF!)*$CG33)/4,
IF($A33="B",(SUMIF(#REF!,DM$17,#REF!)*$CG33),
IF($A33="R",(SUMIF(#REF!,DM$17,#REF!)*$CG33),
IF($A33="H",(SUMIF(#REF!,DM$17,#REF!)*$CG33),"")))))),
IF($A33="C",(SUMIF(#REF!,DM$17,#REF!)*$CG33)*(SUMIF(ProductCodes,"C",$CI:$CI)/(SUMIF(ProductCodes,"C",$CH:$CH))),
IF($A33="S",(SUMIF(#REF!,DM$17,#REF!)*$CG33)*(SUMIF(ProductCodes,"S",$CI:$CI)/(SUMIF(ProductCodes,"S",$CH:$CH))),
IF($A33="B",(SUMIF(#REF!,DM$17,#REF!)*$CG33)*(SUMIF(ProductCodes,"B",$CI:$CI)/(SUMIF(ProductCodes,"B",$CH:$CH))),
IF($A33="R",(SUMIF(#REF!,DM$17,#REF!)*$CG33)*(SUMIF(ProductCodes,"R",$CI:$CI)/(SUMIF(ProductCodes,"R",$CH:$CH))),
IF($A33="H",(SUMIF(#REF!,DM$17,#REF!)*$CG33)*(SUMIF(ProductCodes,"H",$CI:$CI)/(SUMIF(ProductCodes,"H",$CH:$CH))),""))))))),"Error")</f>
        <v>Error</v>
      </c>
      <c r="DN33" s="84" t="str">
        <f>IFERROR(
IF(SUMIF(ProductCodes,"C",$CI:$CI)=$CI$782,(IF($A33="C",(SUMIF(#REF!,DN$17,#REF!)*$CG33)*((SUMIF(ProductCodes,"C",$CI:$CI)-SUMIF(ProductCodes,"H",$CH:$CH)-SUMIF(ProductCodes,"R",$CH:$CH)-SUMIF(ProductCodes,"B",$CH:$CH)-(SUMIF(ProductCodes,"S",$CH:$CH)/2))/SUMIF(ProductCodes,"C",$CH:$CH)),IF($A33="S",(SUMIF(#REF!,DN$17,#REF!)*$CG33)/2,
IF($A33="B",(SUMIF(#REF!,DN$17,#REF!)*$CG33),
IF($A33="R",(SUMIF(#REF!,DN$17,#REF!)*$CG33),
IF($A33="H",(SUMIF(#REF!,DN$17,#REF!)*$CG33),"")))))),
IF(SUMIF(ProductCodes,"S",$CI:$CI)=$CI$782,(IF($A33="S",(SUMIF(#REF!,DN$17,#REF!)*$CG33)*((SUMIF(ProductCodes,"S",$CI:$CI)-SUMIF(ProductCodes,"H",$CH:$CH)-SUMIF(ProductCodes,"R",$CH:$CH)-SUMIF(ProductCodes,"B",$CH:$CH)-(SUMIF(ProductCodes,"C",$CH:$CH)/4))/SUMIF(ProductCodes,"S",$CH:$CH)),
IF($A33="C",(SUMIF(#REF!,DN$17,#REF!)*$CG33)/4,
IF($A33="B",(SUMIF(#REF!,DN$17,#REF!)*$CG33),
IF($A33="R",(SUMIF(#REF!,DN$17,#REF!)*$CG33),
IF($A33="H",(SUMIF(#REF!,DN$17,#REF!)*$CG33),"")))))),
IF($A33="C",(SUMIF(#REF!,DN$17,#REF!)*$CG33)*(SUMIF(ProductCodes,"C",$CI:$CI)/(SUMIF(ProductCodes,"C",$CH:$CH))),
IF($A33="S",(SUMIF(#REF!,DN$17,#REF!)*$CG33)*(SUMIF(ProductCodes,"S",$CI:$CI)/(SUMIF(ProductCodes,"S",$CH:$CH))),
IF($A33="B",(SUMIF(#REF!,DN$17,#REF!)*$CG33)*(SUMIF(ProductCodes,"B",$CI:$CI)/(SUMIF(ProductCodes,"B",$CH:$CH))),
IF($A33="R",(SUMIF(#REF!,DN$17,#REF!)*$CG33)*(SUMIF(ProductCodes,"R",$CI:$CI)/(SUMIF(ProductCodes,"R",$CH:$CH))),
IF($A33="H",(SUMIF(#REF!,DN$17,#REF!)*$CG33)*(SUMIF(ProductCodes,"H",$CI:$CI)/(SUMIF(ProductCodes,"H",$CH:$CH))),""))))))),"Error")</f>
        <v>Error</v>
      </c>
      <c r="DO33" s="84" t="str">
        <f>IFERROR(
IF(SUMIF(ProductCodes,"C",$CI:$CI)=$CI$782,(IF($A33="C",(SUMIF(#REF!,DO$17,#REF!)*$CG33)*((SUMIF(ProductCodes,"C",$CI:$CI)-SUMIF(ProductCodes,"H",$CH:$CH)-SUMIF(ProductCodes,"R",$CH:$CH)-SUMIF(ProductCodes,"B",$CH:$CH)-(SUMIF(ProductCodes,"S",$CH:$CH)/2))/SUMIF(ProductCodes,"C",$CH:$CH)),IF($A33="S",(SUMIF(#REF!,DO$17,#REF!)*$CG33)/2,
IF($A33="B",(SUMIF(#REF!,DO$17,#REF!)*$CG33),
IF($A33="R",(SUMIF(#REF!,DO$17,#REF!)*$CG33),
IF($A33="H",(SUMIF(#REF!,DO$17,#REF!)*$CG33),"")))))),
IF(SUMIF(ProductCodes,"S",$CI:$CI)=$CI$782,(IF($A33="S",(SUMIF(#REF!,DO$17,#REF!)*$CG33)*((SUMIF(ProductCodes,"S",$CI:$CI)-SUMIF(ProductCodes,"H",$CH:$CH)-SUMIF(ProductCodes,"R",$CH:$CH)-SUMIF(ProductCodes,"B",$CH:$CH)-(SUMIF(ProductCodes,"C",$CH:$CH)/4))/SUMIF(ProductCodes,"S",$CH:$CH)),
IF($A33="C",(SUMIF(#REF!,DO$17,#REF!)*$CG33)/4,
IF($A33="B",(SUMIF(#REF!,DO$17,#REF!)*$CG33),
IF($A33="R",(SUMIF(#REF!,DO$17,#REF!)*$CG33),
IF($A33="H",(SUMIF(#REF!,DO$17,#REF!)*$CG33),"")))))),
IF($A33="C",(SUMIF(#REF!,DO$17,#REF!)*$CG33)*(SUMIF(ProductCodes,"C",$CI:$CI)/(SUMIF(ProductCodes,"C",$CH:$CH))),
IF($A33="S",(SUMIF(#REF!,DO$17,#REF!)*$CG33)*(SUMIF(ProductCodes,"S",$CI:$CI)/(SUMIF(ProductCodes,"S",$CH:$CH))),
IF($A33="B",(SUMIF(#REF!,DO$17,#REF!)*$CG33)*(SUMIF(ProductCodes,"B",$CI:$CI)/(SUMIF(ProductCodes,"B",$CH:$CH))),
IF($A33="R",(SUMIF(#REF!,DO$17,#REF!)*$CG33)*(SUMIF(ProductCodes,"R",$CI:$CI)/(SUMIF(ProductCodes,"R",$CH:$CH))),
IF($A33="H",(SUMIF(#REF!,DO$17,#REF!)*$CG33)*(SUMIF(ProductCodes,"H",$CI:$CI)/(SUMIF(ProductCodes,"H",$CH:$CH))),""))))))),"Error")</f>
        <v>Error</v>
      </c>
      <c r="DP33" s="85" t="str">
        <f>IFERROR(
IF(SUMIF(ProductCodes,"C",$CI:$CI)=$CI$782,(IF($A33="C",(SUMIF(#REF!,DP$17,#REF!)*$CG33)*((SUMIF(ProductCodes,"C",$CI:$CI)-SUMIF(ProductCodes,"H",$CH:$CH)-SUMIF(ProductCodes,"R",$CH:$CH)-SUMIF(ProductCodes,"B",$CH:$CH)-(SUMIF(ProductCodes,"S",$CH:$CH)/2))/SUMIF(ProductCodes,"C",$CH:$CH)),IF($A33="S",(SUMIF(#REF!,DP$17,#REF!)*$CG33)/2,
IF($A33="B",(SUMIF(#REF!,DP$17,#REF!)*$CG33),
IF($A33="R",(SUMIF(#REF!,DP$17,#REF!)*$CG33),
IF($A33="H",(SUMIF(#REF!,DP$17,#REF!)*$CG33),"")))))),
IF(SUMIF(ProductCodes,"S",$CI:$CI)=$CI$782,(IF($A33="S",(SUMIF(#REF!,DP$17,#REF!)*$CG33)*((SUMIF(ProductCodes,"S",$CI:$CI)-SUMIF(ProductCodes,"H",$CH:$CH)-SUMIF(ProductCodes,"R",$CH:$CH)-SUMIF(ProductCodes,"B",$CH:$CH)-(SUMIF(ProductCodes,"C",$CH:$CH)/4))/SUMIF(ProductCodes,"S",$CH:$CH)),
IF($A33="C",(SUMIF(#REF!,DP$17,#REF!)*$CG33)/4,
IF($A33="B",(SUMIF(#REF!,DP$17,#REF!)*$CG33),
IF($A33="R",(SUMIF(#REF!,DP$17,#REF!)*$CG33),
IF($A33="H",(SUMIF(#REF!,DP$17,#REF!)*$CG33),"")))))),
IF($A33="C",(SUMIF(#REF!,DP$17,#REF!)*$CG33)*(SUMIF(ProductCodes,"C",$CI:$CI)/(SUMIF(ProductCodes,"C",$CH:$CH))),
IF($A33="S",(SUMIF(#REF!,DP$17,#REF!)*$CG33)*(SUMIF(ProductCodes,"S",$CI:$CI)/(SUMIF(ProductCodes,"S",$CH:$CH))),
IF($A33="B",(SUMIF(#REF!,DP$17,#REF!)*$CG33)*(SUMIF(ProductCodes,"B",$CI:$CI)/(SUMIF(ProductCodes,"B",$CH:$CH))),
IF($A33="R",(SUMIF(#REF!,DP$17,#REF!)*$CG33)*(SUMIF(ProductCodes,"R",$CI:$CI)/(SUMIF(ProductCodes,"R",$CH:$CH))),
IF($A33="H",(SUMIF(#REF!,DP$17,#REF!)*$CG33)*(SUMIF(ProductCodes,"H",$CI:$CI)/(SUMIF(ProductCodes,"H",$CH:$CH))),""))))))),"Error")</f>
        <v>Error</v>
      </c>
      <c r="DQ33" s="9"/>
      <c r="DR33" s="9"/>
      <c r="DS33"/>
      <c r="DT33"/>
      <c r="DU33"/>
      <c r="DV33"/>
      <c r="DW33"/>
      <c r="DX33"/>
      <c r="DY33"/>
      <c r="DZ33"/>
      <c r="EA33"/>
      <c r="EB33"/>
      <c r="EC33"/>
      <c r="ED33"/>
    </row>
    <row r="34" spans="1:135" s="86" customFormat="1" ht="66.75" customHeight="1" thickBot="1" x14ac:dyDescent="0.4">
      <c r="A34" s="90" t="s">
        <v>43</v>
      </c>
      <c r="B34" s="231" t="s">
        <v>77</v>
      </c>
      <c r="C34" s="209" t="s">
        <v>44</v>
      </c>
      <c r="D34" s="210" t="s">
        <v>45</v>
      </c>
      <c r="E34" s="96"/>
      <c r="F34" s="96"/>
      <c r="G34" s="99"/>
      <c r="H34" s="97"/>
      <c r="I34" s="95"/>
      <c r="J34" s="96"/>
      <c r="K34" s="96"/>
      <c r="L34" s="97"/>
      <c r="M34" s="98"/>
      <c r="N34" s="96"/>
      <c r="O34" s="96"/>
      <c r="P34" s="99"/>
      <c r="Q34" s="98"/>
      <c r="R34" s="96"/>
      <c r="S34" s="96"/>
      <c r="T34" s="99"/>
      <c r="U34" s="97"/>
      <c r="V34" s="105"/>
      <c r="W34" s="103"/>
      <c r="X34" s="103"/>
      <c r="Y34" s="104"/>
      <c r="Z34" s="105"/>
      <c r="AA34" s="103"/>
      <c r="AB34" s="103"/>
      <c r="AC34" s="103"/>
      <c r="AD34" s="235">
        <v>10</v>
      </c>
      <c r="AE34" s="236"/>
      <c r="AF34" s="236"/>
      <c r="AG34" s="236"/>
      <c r="AH34" s="237"/>
      <c r="AI34" s="290">
        <v>10</v>
      </c>
      <c r="AJ34" s="236"/>
      <c r="AK34" s="236"/>
      <c r="AL34" s="237"/>
      <c r="AM34" s="290">
        <v>10</v>
      </c>
      <c r="AN34" s="236"/>
      <c r="AO34" s="236"/>
      <c r="AP34" s="236"/>
      <c r="AQ34" s="237"/>
      <c r="AR34" s="290">
        <v>10</v>
      </c>
      <c r="AS34" s="236"/>
      <c r="AT34" s="236"/>
      <c r="AU34" s="237"/>
      <c r="AV34" s="290">
        <v>10</v>
      </c>
      <c r="AW34" s="236"/>
      <c r="AX34" s="236"/>
      <c r="AY34" s="237"/>
      <c r="AZ34" s="290">
        <v>10</v>
      </c>
      <c r="BA34" s="236"/>
      <c r="BB34" s="236"/>
      <c r="BC34" s="236"/>
      <c r="BD34" s="237"/>
      <c r="BE34" s="290">
        <v>10</v>
      </c>
      <c r="BF34" s="236"/>
      <c r="BG34" s="236"/>
      <c r="BH34" s="237"/>
      <c r="BI34" s="290">
        <v>10</v>
      </c>
      <c r="BJ34" s="236"/>
      <c r="BK34" s="236"/>
      <c r="BL34" s="237"/>
      <c r="BM34" s="290">
        <v>10</v>
      </c>
      <c r="BN34" s="236"/>
      <c r="BO34" s="236"/>
      <c r="BP34" s="236"/>
      <c r="BQ34" s="237"/>
      <c r="BR34" s="290">
        <v>10</v>
      </c>
      <c r="BS34" s="236"/>
      <c r="BT34" s="236"/>
      <c r="BU34" s="237"/>
      <c r="BV34" s="290">
        <v>10</v>
      </c>
      <c r="BW34" s="236"/>
      <c r="BX34" s="236"/>
      <c r="BY34" s="237"/>
      <c r="BZ34" s="290">
        <v>10</v>
      </c>
      <c r="CA34" s="236"/>
      <c r="CB34" s="236"/>
      <c r="CC34" s="237"/>
      <c r="CD34" s="187">
        <v>1</v>
      </c>
      <c r="CE34" s="188">
        <f t="shared" si="33"/>
        <v>120</v>
      </c>
      <c r="CF34" s="188">
        <f t="shared" si="31"/>
        <v>120</v>
      </c>
      <c r="CG34" s="189">
        <v>75</v>
      </c>
      <c r="CH34" s="213">
        <f t="shared" si="32"/>
        <v>9000</v>
      </c>
      <c r="CI34" s="240"/>
      <c r="CJ34" s="91"/>
      <c r="CK34" s="91"/>
      <c r="CL34" s="91"/>
      <c r="CM34" s="92"/>
      <c r="CN34" s="92">
        <f t="shared" si="36"/>
        <v>0</v>
      </c>
      <c r="CO34" s="93"/>
      <c r="CP34" s="75"/>
      <c r="CQ34" s="75"/>
      <c r="CR34" s="83"/>
      <c r="CS34" s="84" t="str">
        <f>IFERROR(
IF(SUMIF(ProductCodes,"C",$CI:$CI)=$CI$782,(IF($A34="C",(SUMIF(#REF!,CS$17,#REF!)*$CG34)*((SUMIF(ProductCodes,"C",$CI:$CI)-SUMIF(ProductCodes,"H",$CH:$CH)-SUMIF(ProductCodes,"R",$CH:$CH)-SUMIF(ProductCodes,"B",$CH:$CH)-(SUMIF(ProductCodes,"S",$CH:$CH)/2))/SUMIF(ProductCodes,"C",$CH:$CH)),IF($A34="S",(SUMIF(#REF!,CS$17,#REF!)*$CG34)/2,
IF($A34="B",(SUMIF(#REF!,CS$17,#REF!)*$CG34),
IF($A34="R",(SUMIF(#REF!,CS$17,#REF!)*$CG34),
IF($A34="H",(SUMIF(#REF!,CS$17,#REF!)*$CG34),"")))))),
IF(SUMIF(ProductCodes,"S",$CI:$CI)=$CI$782,(IF($A34="S",(SUMIF(#REF!,CS$17,#REF!)*$CG34)*((SUMIF(ProductCodes,"S",$CI:$CI)-SUMIF(ProductCodes,"H",$CH:$CH)-SUMIF(ProductCodes,"R",$CH:$CH)-SUMIF(ProductCodes,"B",$CH:$CH)-(SUMIF(ProductCodes,"C",$CH:$CH)/4))/SUMIF(ProductCodes,"S",$CH:$CH)),
IF($A34="C",(SUMIF(#REF!,CS$17,#REF!)*$CG34)/4,
IF($A34="B",(SUMIF(#REF!,CS$17,#REF!)*$CG34),
IF($A34="R",(SUMIF(#REF!,CS$17,#REF!)*$CG34),
IF($A34="H",(SUMIF(#REF!,CS$17,#REF!)*$CG34),"")))))),
IF($A34="C",(SUMIF(#REF!,CS$17,#REF!)*$CG34)*(SUMIF(ProductCodes,"C",$CI:$CI)/(SUMIF(ProductCodes,"C",$CH:$CH))),
IF($A34="S",(SUMIF(#REF!,CS$17,#REF!)*$CG34)*(SUMIF(ProductCodes,"S",$CI:$CI)/(SUMIF(ProductCodes,"S",$CH:$CH))),
IF($A34="B",(SUMIF(#REF!,CS$17,#REF!)*$CG34)*(SUMIF(ProductCodes,"B",$CI:$CI)/(SUMIF(ProductCodes,"B",$CH:$CH))),
IF($A34="R",(SUMIF(#REF!,CS$17,#REF!)*$CG34)*(SUMIF(ProductCodes,"R",$CI:$CI)/(SUMIF(ProductCodes,"R",$CH:$CH))),
IF($A34="H",(SUMIF(#REF!,CS$17,#REF!)*$CG34)*(SUMIF(ProductCodes,"H",$CI:$CI)/(SUMIF(ProductCodes,"H",$CH:$CH))),""))))))),"Error")</f>
        <v>Error</v>
      </c>
      <c r="CT34" s="84" t="str">
        <f>IFERROR(
IF(SUMIF(ProductCodes,"C",$CI:$CI)=$CI$782,(IF($A34="C",(SUMIF(#REF!,CT$17,#REF!)*$CG34)*((SUMIF(ProductCodes,"C",$CI:$CI)-SUMIF(ProductCodes,"H",$CH:$CH)-SUMIF(ProductCodes,"R",$CH:$CH)-SUMIF(ProductCodes,"B",$CH:$CH)-(SUMIF(ProductCodes,"S",$CH:$CH)/2))/SUMIF(ProductCodes,"C",$CH:$CH)),IF($A34="S",(SUMIF(#REF!,CT$17,#REF!)*$CG34)/2,
IF($A34="B",(SUMIF(#REF!,CT$17,#REF!)*$CG34),
IF($A34="R",(SUMIF(#REF!,CT$17,#REF!)*$CG34),
IF($A34="H",(SUMIF(#REF!,CT$17,#REF!)*$CG34),"")))))),
IF(SUMIF(ProductCodes,"S",$CI:$CI)=$CI$782,(IF($A34="S",(SUMIF(#REF!,CT$17,#REF!)*$CG34)*((SUMIF(ProductCodes,"S",$CI:$CI)-SUMIF(ProductCodes,"H",$CH:$CH)-SUMIF(ProductCodes,"R",$CH:$CH)-SUMIF(ProductCodes,"B",$CH:$CH)-(SUMIF(ProductCodes,"C",$CH:$CH)/4))/SUMIF(ProductCodes,"S",$CH:$CH)),
IF($A34="C",(SUMIF(#REF!,CT$17,#REF!)*$CG34)/4,
IF($A34="B",(SUMIF(#REF!,CT$17,#REF!)*$CG34),
IF($A34="R",(SUMIF(#REF!,CT$17,#REF!)*$CG34),
IF($A34="H",(SUMIF(#REF!,CT$17,#REF!)*$CG34),"")))))),
IF($A34="C",(SUMIF(#REF!,CT$17,#REF!)*$CG34)*(SUMIF(ProductCodes,"C",$CI:$CI)/(SUMIF(ProductCodes,"C",$CH:$CH))),
IF($A34="S",(SUMIF(#REF!,CT$17,#REF!)*$CG34)*(SUMIF(ProductCodes,"S",$CI:$CI)/(SUMIF(ProductCodes,"S",$CH:$CH))),
IF($A34="B",(SUMIF(#REF!,CT$17,#REF!)*$CG34)*(SUMIF(ProductCodes,"B",$CI:$CI)/(SUMIF(ProductCodes,"B",$CH:$CH))),
IF($A34="R",(SUMIF(#REF!,CT$17,#REF!)*$CG34)*(SUMIF(ProductCodes,"R",$CI:$CI)/(SUMIF(ProductCodes,"R",$CH:$CH))),
IF($A34="H",(SUMIF(#REF!,CT$17,#REF!)*$CG34)*(SUMIF(ProductCodes,"H",$CI:$CI)/(SUMIF(ProductCodes,"H",$CH:$CH))),""))))))),"Error")</f>
        <v>Error</v>
      </c>
      <c r="CU34" s="84" t="str">
        <f>IFERROR(
IF(SUMIF(ProductCodes,"C",$CI:$CI)=$CI$782,(IF($A34="C",(SUMIF(#REF!,CU$17,#REF!)*$CG34)*((SUMIF(ProductCodes,"C",$CI:$CI)-SUMIF(ProductCodes,"H",$CH:$CH)-SUMIF(ProductCodes,"R",$CH:$CH)-SUMIF(ProductCodes,"B",$CH:$CH)-(SUMIF(ProductCodes,"S",$CH:$CH)/2))/SUMIF(ProductCodes,"C",$CH:$CH)),IF($A34="S",(SUMIF(#REF!,CU$17,#REF!)*$CG34)/2,
IF($A34="B",(SUMIF(#REF!,CU$17,#REF!)*$CG34),
IF($A34="R",(SUMIF(#REF!,CU$17,#REF!)*$CG34),
IF($A34="H",(SUMIF(#REF!,CU$17,#REF!)*$CG34),"")))))),
IF(SUMIF(ProductCodes,"S",$CI:$CI)=$CI$782,(IF($A34="S",(SUMIF(#REF!,CU$17,#REF!)*$CG34)*((SUMIF(ProductCodes,"S",$CI:$CI)-SUMIF(ProductCodes,"H",$CH:$CH)-SUMIF(ProductCodes,"R",$CH:$CH)-SUMIF(ProductCodes,"B",$CH:$CH)-(SUMIF(ProductCodes,"C",$CH:$CH)/4))/SUMIF(ProductCodes,"S",$CH:$CH)),
IF($A34="C",(SUMIF(#REF!,CU$17,#REF!)*$CG34)/4,
IF($A34="B",(SUMIF(#REF!,CU$17,#REF!)*$CG34),
IF($A34="R",(SUMIF(#REF!,CU$17,#REF!)*$CG34),
IF($A34="H",(SUMIF(#REF!,CU$17,#REF!)*$CG34),"")))))),
IF($A34="C",(SUMIF(#REF!,CU$17,#REF!)*$CG34)*(SUMIF(ProductCodes,"C",$CI:$CI)/(SUMIF(ProductCodes,"C",$CH:$CH))),
IF($A34="S",(SUMIF(#REF!,CU$17,#REF!)*$CG34)*(SUMIF(ProductCodes,"S",$CI:$CI)/(SUMIF(ProductCodes,"S",$CH:$CH))),
IF($A34="B",(SUMIF(#REF!,CU$17,#REF!)*$CG34)*(SUMIF(ProductCodes,"B",$CI:$CI)/(SUMIF(ProductCodes,"B",$CH:$CH))),
IF($A34="R",(SUMIF(#REF!,CU$17,#REF!)*$CG34)*(SUMIF(ProductCodes,"R",$CI:$CI)/(SUMIF(ProductCodes,"R",$CH:$CH))),
IF($A34="H",(SUMIF(#REF!,CU$17,#REF!)*$CG34)*(SUMIF(ProductCodes,"H",$CI:$CI)/(SUMIF(ProductCodes,"H",$CH:$CH))),""))))))),"Error")</f>
        <v>Error</v>
      </c>
      <c r="CV34" s="84" t="str">
        <f>IFERROR(
IF(SUMIF(ProductCodes,"C",$CI:$CI)=$CI$782,(IF($A34="C",(SUMIF(#REF!,CV$17,#REF!)*$CG34)*((SUMIF(ProductCodes,"C",$CI:$CI)-SUMIF(ProductCodes,"H",$CH:$CH)-SUMIF(ProductCodes,"R",$CH:$CH)-SUMIF(ProductCodes,"B",$CH:$CH)-(SUMIF(ProductCodes,"S",$CH:$CH)/2))/SUMIF(ProductCodes,"C",$CH:$CH)),IF($A34="S",(SUMIF(#REF!,CV$17,#REF!)*$CG34)/2,
IF($A34="B",(SUMIF(#REF!,CV$17,#REF!)*$CG34),
IF($A34="R",(SUMIF(#REF!,CV$17,#REF!)*$CG34),
IF($A34="H",(SUMIF(#REF!,CV$17,#REF!)*$CG34),"")))))),
IF(SUMIF(ProductCodes,"S",$CI:$CI)=$CI$782,(IF($A34="S",(SUMIF(#REF!,CV$17,#REF!)*$CG34)*((SUMIF(ProductCodes,"S",$CI:$CI)-SUMIF(ProductCodes,"H",$CH:$CH)-SUMIF(ProductCodes,"R",$CH:$CH)-SUMIF(ProductCodes,"B",$CH:$CH)-(SUMIF(ProductCodes,"C",$CH:$CH)/4))/SUMIF(ProductCodes,"S",$CH:$CH)),
IF($A34="C",(SUMIF(#REF!,CV$17,#REF!)*$CG34)/4,
IF($A34="B",(SUMIF(#REF!,CV$17,#REF!)*$CG34),
IF($A34="R",(SUMIF(#REF!,CV$17,#REF!)*$CG34),
IF($A34="H",(SUMIF(#REF!,CV$17,#REF!)*$CG34),"")))))),
IF($A34="C",(SUMIF(#REF!,CV$17,#REF!)*$CG34)*(SUMIF(ProductCodes,"C",$CI:$CI)/(SUMIF(ProductCodes,"C",$CH:$CH))),
IF($A34="S",(SUMIF(#REF!,CV$17,#REF!)*$CG34)*(SUMIF(ProductCodes,"S",$CI:$CI)/(SUMIF(ProductCodes,"S",$CH:$CH))),
IF($A34="B",(SUMIF(#REF!,CV$17,#REF!)*$CG34)*(SUMIF(ProductCodes,"B",$CI:$CI)/(SUMIF(ProductCodes,"B",$CH:$CH))),
IF($A34="R",(SUMIF(#REF!,CV$17,#REF!)*$CG34)*(SUMIF(ProductCodes,"R",$CI:$CI)/(SUMIF(ProductCodes,"R",$CH:$CH))),
IF($A34="H",(SUMIF(#REF!,CV$17,#REF!)*$CG34)*(SUMIF(ProductCodes,"H",$CI:$CI)/(SUMIF(ProductCodes,"H",$CH:$CH))),""))))))),"Error")</f>
        <v>Error</v>
      </c>
      <c r="CW34" s="84" t="str">
        <f>IFERROR(
IF(SUMIF(ProductCodes,"C",$CI:$CI)=$CI$782,(IF($A34="C",(SUMIF(#REF!,CW$17,#REF!)*$CG34)*((SUMIF(ProductCodes,"C",$CI:$CI)-SUMIF(ProductCodes,"H",$CH:$CH)-SUMIF(ProductCodes,"R",$CH:$CH)-SUMIF(ProductCodes,"B",$CH:$CH)-(SUMIF(ProductCodes,"S",$CH:$CH)/2))/SUMIF(ProductCodes,"C",$CH:$CH)),IF($A34="S",(SUMIF(#REF!,CW$17,#REF!)*$CG34)/2,
IF($A34="B",(SUMIF(#REF!,CW$17,#REF!)*$CG34),
IF($A34="R",(SUMIF(#REF!,CW$17,#REF!)*$CG34),
IF($A34="H",(SUMIF(#REF!,CW$17,#REF!)*$CG34),"")))))),
IF(SUMIF(ProductCodes,"S",$CI:$CI)=$CI$782,(IF($A34="S",(SUMIF(#REF!,CW$17,#REF!)*$CG34)*((SUMIF(ProductCodes,"S",$CI:$CI)-SUMIF(ProductCodes,"H",$CH:$CH)-SUMIF(ProductCodes,"R",$CH:$CH)-SUMIF(ProductCodes,"B",$CH:$CH)-(SUMIF(ProductCodes,"C",$CH:$CH)/4))/SUMIF(ProductCodes,"S",$CH:$CH)),
IF($A34="C",(SUMIF(#REF!,CW$17,#REF!)*$CG34)/4,
IF($A34="B",(SUMIF(#REF!,CW$17,#REF!)*$CG34),
IF($A34="R",(SUMIF(#REF!,CW$17,#REF!)*$CG34),
IF($A34="H",(SUMIF(#REF!,CW$17,#REF!)*$CG34),"")))))),
IF($A34="C",(SUMIF(#REF!,CW$17,#REF!)*$CG34)*(SUMIF(ProductCodes,"C",$CI:$CI)/(SUMIF(ProductCodes,"C",$CH:$CH))),
IF($A34="S",(SUMIF(#REF!,CW$17,#REF!)*$CG34)*(SUMIF(ProductCodes,"S",$CI:$CI)/(SUMIF(ProductCodes,"S",$CH:$CH))),
IF($A34="B",(SUMIF(#REF!,CW$17,#REF!)*$CG34)*(SUMIF(ProductCodes,"B",$CI:$CI)/(SUMIF(ProductCodes,"B",$CH:$CH))),
IF($A34="R",(SUMIF(#REF!,CW$17,#REF!)*$CG34)*(SUMIF(ProductCodes,"R",$CI:$CI)/(SUMIF(ProductCodes,"R",$CH:$CH))),
IF($A34="H",(SUMIF(#REF!,CW$17,#REF!)*$CG34)*(SUMIF(ProductCodes,"H",$CI:$CI)/(SUMIF(ProductCodes,"H",$CH:$CH))),""))))))),"Error")</f>
        <v>Error</v>
      </c>
      <c r="CX34" s="84" t="str">
        <f>IFERROR(
IF(SUMIF(ProductCodes,"C",$CI:$CI)=$CI$782,(IF($A34="C",(SUMIF(#REF!,CX$17,#REF!)*$CG34)*((SUMIF(ProductCodes,"C",$CI:$CI)-SUMIF(ProductCodes,"H",$CH:$CH)-SUMIF(ProductCodes,"R",$CH:$CH)-SUMIF(ProductCodes,"B",$CH:$CH)-(SUMIF(ProductCodes,"S",$CH:$CH)/2))/SUMIF(ProductCodes,"C",$CH:$CH)),IF($A34="S",(SUMIF(#REF!,CX$17,#REF!)*$CG34)/2,
IF($A34="B",(SUMIF(#REF!,CX$17,#REF!)*$CG34),
IF($A34="R",(SUMIF(#REF!,CX$17,#REF!)*$CG34),
IF($A34="H",(SUMIF(#REF!,CX$17,#REF!)*$CG34),"")))))),
IF(SUMIF(ProductCodes,"S",$CI:$CI)=$CI$782,(IF($A34="S",(SUMIF(#REF!,CX$17,#REF!)*$CG34)*((SUMIF(ProductCodes,"S",$CI:$CI)-SUMIF(ProductCodes,"H",$CH:$CH)-SUMIF(ProductCodes,"R",$CH:$CH)-SUMIF(ProductCodes,"B",$CH:$CH)-(SUMIF(ProductCodes,"C",$CH:$CH)/4))/SUMIF(ProductCodes,"S",$CH:$CH)),
IF($A34="C",(SUMIF(#REF!,CX$17,#REF!)*$CG34)/4,
IF($A34="B",(SUMIF(#REF!,CX$17,#REF!)*$CG34),
IF($A34="R",(SUMIF(#REF!,CX$17,#REF!)*$CG34),
IF($A34="H",(SUMIF(#REF!,CX$17,#REF!)*$CG34),"")))))),
IF($A34="C",(SUMIF(#REF!,CX$17,#REF!)*$CG34)*(SUMIF(ProductCodes,"C",$CI:$CI)/(SUMIF(ProductCodes,"C",$CH:$CH))),
IF($A34="S",(SUMIF(#REF!,CX$17,#REF!)*$CG34)*(SUMIF(ProductCodes,"S",$CI:$CI)/(SUMIF(ProductCodes,"S",$CH:$CH))),
IF($A34="B",(SUMIF(#REF!,CX$17,#REF!)*$CG34)*(SUMIF(ProductCodes,"B",$CI:$CI)/(SUMIF(ProductCodes,"B",$CH:$CH))),
IF($A34="R",(SUMIF(#REF!,CX$17,#REF!)*$CG34)*(SUMIF(ProductCodes,"R",$CI:$CI)/(SUMIF(ProductCodes,"R",$CH:$CH))),
IF($A34="H",(SUMIF(#REF!,CX$17,#REF!)*$CG34)*(SUMIF(ProductCodes,"H",$CI:$CI)/(SUMIF(ProductCodes,"H",$CH:$CH))),""))))))),"Error")</f>
        <v>Error</v>
      </c>
      <c r="CY34" s="84" t="str">
        <f>IFERROR(
IF(SUMIF(ProductCodes,"C",$CI:$CI)=$CI$782,(IF($A34="C",(SUMIF(#REF!,CY$17,#REF!)*$CG34)*((SUMIF(ProductCodes,"C",$CI:$CI)-SUMIF(ProductCodes,"H",$CH:$CH)-SUMIF(ProductCodes,"R",$CH:$CH)-SUMIF(ProductCodes,"B",$CH:$CH)-(SUMIF(ProductCodes,"S",$CH:$CH)/2))/SUMIF(ProductCodes,"C",$CH:$CH)),IF($A34="S",(SUMIF(#REF!,CY$17,#REF!)*$CG34)/2,
IF($A34="B",(SUMIF(#REF!,CY$17,#REF!)*$CG34),
IF($A34="R",(SUMIF(#REF!,CY$17,#REF!)*$CG34),
IF($A34="H",(SUMIF(#REF!,CY$17,#REF!)*$CG34),"")))))),
IF(SUMIF(ProductCodes,"S",$CI:$CI)=$CI$782,(IF($A34="S",(SUMIF(#REF!,CY$17,#REF!)*$CG34)*((SUMIF(ProductCodes,"S",$CI:$CI)-SUMIF(ProductCodes,"H",$CH:$CH)-SUMIF(ProductCodes,"R",$CH:$CH)-SUMIF(ProductCodes,"B",$CH:$CH)-(SUMIF(ProductCodes,"C",$CH:$CH)/4))/SUMIF(ProductCodes,"S",$CH:$CH)),
IF($A34="C",(SUMIF(#REF!,CY$17,#REF!)*$CG34)/4,
IF($A34="B",(SUMIF(#REF!,CY$17,#REF!)*$CG34),
IF($A34="R",(SUMIF(#REF!,CY$17,#REF!)*$CG34),
IF($A34="H",(SUMIF(#REF!,CY$17,#REF!)*$CG34),"")))))),
IF($A34="C",(SUMIF(#REF!,CY$17,#REF!)*$CG34)*(SUMIF(ProductCodes,"C",$CI:$CI)/(SUMIF(ProductCodes,"C",$CH:$CH))),
IF($A34="S",(SUMIF(#REF!,CY$17,#REF!)*$CG34)*(SUMIF(ProductCodes,"S",$CI:$CI)/(SUMIF(ProductCodes,"S",$CH:$CH))),
IF($A34="B",(SUMIF(#REF!,CY$17,#REF!)*$CG34)*(SUMIF(ProductCodes,"B",$CI:$CI)/(SUMIF(ProductCodes,"B",$CH:$CH))),
IF($A34="R",(SUMIF(#REF!,CY$17,#REF!)*$CG34)*(SUMIF(ProductCodes,"R",$CI:$CI)/(SUMIF(ProductCodes,"R",$CH:$CH))),
IF($A34="H",(SUMIF(#REF!,CY$17,#REF!)*$CG34)*(SUMIF(ProductCodes,"H",$CI:$CI)/(SUMIF(ProductCodes,"H",$CH:$CH))),""))))))),"Error")</f>
        <v>Error</v>
      </c>
      <c r="CZ34" s="84" t="str">
        <f>IFERROR(
IF(SUMIF(ProductCodes,"C",$CI:$CI)=$CI$782,(IF($A34="C",(SUMIF(#REF!,CZ$17,#REF!)*$CG34)*((SUMIF(ProductCodes,"C",$CI:$CI)-SUMIF(ProductCodes,"H",$CH:$CH)-SUMIF(ProductCodes,"R",$CH:$CH)-SUMIF(ProductCodes,"B",$CH:$CH)-(SUMIF(ProductCodes,"S",$CH:$CH)/2))/SUMIF(ProductCodes,"C",$CH:$CH)),IF($A34="S",(SUMIF(#REF!,CZ$17,#REF!)*$CG34)/2,
IF($A34="B",(SUMIF(#REF!,CZ$17,#REF!)*$CG34),
IF($A34="R",(SUMIF(#REF!,CZ$17,#REF!)*$CG34),
IF($A34="H",(SUMIF(#REF!,CZ$17,#REF!)*$CG34),"")))))),
IF(SUMIF(ProductCodes,"S",$CI:$CI)=$CI$782,(IF($A34="S",(SUMIF(#REF!,CZ$17,#REF!)*$CG34)*((SUMIF(ProductCodes,"S",$CI:$CI)-SUMIF(ProductCodes,"H",$CH:$CH)-SUMIF(ProductCodes,"R",$CH:$CH)-SUMIF(ProductCodes,"B",$CH:$CH)-(SUMIF(ProductCodes,"C",$CH:$CH)/4))/SUMIF(ProductCodes,"S",$CH:$CH)),
IF($A34="C",(SUMIF(#REF!,CZ$17,#REF!)*$CG34)/4,
IF($A34="B",(SUMIF(#REF!,CZ$17,#REF!)*$CG34),
IF($A34="R",(SUMIF(#REF!,CZ$17,#REF!)*$CG34),
IF($A34="H",(SUMIF(#REF!,CZ$17,#REF!)*$CG34),"")))))),
IF($A34="C",(SUMIF(#REF!,CZ$17,#REF!)*$CG34)*(SUMIF(ProductCodes,"C",$CI:$CI)/(SUMIF(ProductCodes,"C",$CH:$CH))),
IF($A34="S",(SUMIF(#REF!,CZ$17,#REF!)*$CG34)*(SUMIF(ProductCodes,"S",$CI:$CI)/(SUMIF(ProductCodes,"S",$CH:$CH))),
IF($A34="B",(SUMIF(#REF!,CZ$17,#REF!)*$CG34)*(SUMIF(ProductCodes,"B",$CI:$CI)/(SUMIF(ProductCodes,"B",$CH:$CH))),
IF($A34="R",(SUMIF(#REF!,CZ$17,#REF!)*$CG34)*(SUMIF(ProductCodes,"R",$CI:$CI)/(SUMIF(ProductCodes,"R",$CH:$CH))),
IF($A34="H",(SUMIF(#REF!,CZ$17,#REF!)*$CG34)*(SUMIF(ProductCodes,"H",$CI:$CI)/(SUMIF(ProductCodes,"H",$CH:$CH))),""))))))),"Error")</f>
        <v>Error</v>
      </c>
      <c r="DA34" s="84" t="str">
        <f>IFERROR(
IF(SUMIF(ProductCodes,"C",$CI:$CI)=$CI$782,(IF($A34="C",(SUMIF(#REF!,DA$17,#REF!)*$CG34)*((SUMIF(ProductCodes,"C",$CI:$CI)-SUMIF(ProductCodes,"H",$CH:$CH)-SUMIF(ProductCodes,"R",$CH:$CH)-SUMIF(ProductCodes,"B",$CH:$CH)-(SUMIF(ProductCodes,"S",$CH:$CH)/2))/SUMIF(ProductCodes,"C",$CH:$CH)),IF($A34="S",(SUMIF(#REF!,DA$17,#REF!)*$CG34)/2,
IF($A34="B",(SUMIF(#REF!,DA$17,#REF!)*$CG34),
IF($A34="R",(SUMIF(#REF!,DA$17,#REF!)*$CG34),
IF($A34="H",(SUMIF(#REF!,DA$17,#REF!)*$CG34),"")))))),
IF(SUMIF(ProductCodes,"S",$CI:$CI)=$CI$782,(IF($A34="S",(SUMIF(#REF!,DA$17,#REF!)*$CG34)*((SUMIF(ProductCodes,"S",$CI:$CI)-SUMIF(ProductCodes,"H",$CH:$CH)-SUMIF(ProductCodes,"R",$CH:$CH)-SUMIF(ProductCodes,"B",$CH:$CH)-(SUMIF(ProductCodes,"C",$CH:$CH)/4))/SUMIF(ProductCodes,"S",$CH:$CH)),
IF($A34="C",(SUMIF(#REF!,DA$17,#REF!)*$CG34)/4,
IF($A34="B",(SUMIF(#REF!,DA$17,#REF!)*$CG34),
IF($A34="R",(SUMIF(#REF!,DA$17,#REF!)*$CG34),
IF($A34="H",(SUMIF(#REF!,DA$17,#REF!)*$CG34),"")))))),
IF($A34="C",(SUMIF(#REF!,DA$17,#REF!)*$CG34)*(SUMIF(ProductCodes,"C",$CI:$CI)/(SUMIF(ProductCodes,"C",$CH:$CH))),
IF($A34="S",(SUMIF(#REF!,DA$17,#REF!)*$CG34)*(SUMIF(ProductCodes,"S",$CI:$CI)/(SUMIF(ProductCodes,"S",$CH:$CH))),
IF($A34="B",(SUMIF(#REF!,DA$17,#REF!)*$CG34)*(SUMIF(ProductCodes,"B",$CI:$CI)/(SUMIF(ProductCodes,"B",$CH:$CH))),
IF($A34="R",(SUMIF(#REF!,DA$17,#REF!)*$CG34)*(SUMIF(ProductCodes,"R",$CI:$CI)/(SUMIF(ProductCodes,"R",$CH:$CH))),
IF($A34="H",(SUMIF(#REF!,DA$17,#REF!)*$CG34)*(SUMIF(ProductCodes,"H",$CI:$CI)/(SUMIF(ProductCodes,"H",$CH:$CH))),""))))))),"Error")</f>
        <v>Error</v>
      </c>
      <c r="DB34" s="84" t="str">
        <f>IFERROR(
IF(SUMIF(ProductCodes,"C",$CI:$CI)=$CI$782,(IF($A34="C",(SUMIF(#REF!,DB$17,#REF!)*$CG34)*((SUMIF(ProductCodes,"C",$CI:$CI)-SUMIF(ProductCodes,"H",$CH:$CH)-SUMIF(ProductCodes,"R",$CH:$CH)-SUMIF(ProductCodes,"B",$CH:$CH)-(SUMIF(ProductCodes,"S",$CH:$CH)/2))/SUMIF(ProductCodes,"C",$CH:$CH)),IF($A34="S",(SUMIF(#REF!,DB$17,#REF!)*$CG34)/2,
IF($A34="B",(SUMIF(#REF!,DB$17,#REF!)*$CG34),
IF($A34="R",(SUMIF(#REF!,DB$17,#REF!)*$CG34),
IF($A34="H",(SUMIF(#REF!,DB$17,#REF!)*$CG34),"")))))),
IF(SUMIF(ProductCodes,"S",$CI:$CI)=$CI$782,(IF($A34="S",(SUMIF(#REF!,DB$17,#REF!)*$CG34)*((SUMIF(ProductCodes,"S",$CI:$CI)-SUMIF(ProductCodes,"H",$CH:$CH)-SUMIF(ProductCodes,"R",$CH:$CH)-SUMIF(ProductCodes,"B",$CH:$CH)-(SUMIF(ProductCodes,"C",$CH:$CH)/4))/SUMIF(ProductCodes,"S",$CH:$CH)),
IF($A34="C",(SUMIF(#REF!,DB$17,#REF!)*$CG34)/4,
IF($A34="B",(SUMIF(#REF!,DB$17,#REF!)*$CG34),
IF($A34="R",(SUMIF(#REF!,DB$17,#REF!)*$CG34),
IF($A34="H",(SUMIF(#REF!,DB$17,#REF!)*$CG34),"")))))),
IF($A34="C",(SUMIF(#REF!,DB$17,#REF!)*$CG34)*(SUMIF(ProductCodes,"C",$CI:$CI)/(SUMIF(ProductCodes,"C",$CH:$CH))),
IF($A34="S",(SUMIF(#REF!,DB$17,#REF!)*$CG34)*(SUMIF(ProductCodes,"S",$CI:$CI)/(SUMIF(ProductCodes,"S",$CH:$CH))),
IF($A34="B",(SUMIF(#REF!,DB$17,#REF!)*$CG34)*(SUMIF(ProductCodes,"B",$CI:$CI)/(SUMIF(ProductCodes,"B",$CH:$CH))),
IF($A34="R",(SUMIF(#REF!,DB$17,#REF!)*$CG34)*(SUMIF(ProductCodes,"R",$CI:$CI)/(SUMIF(ProductCodes,"R",$CH:$CH))),
IF($A34="H",(SUMIF(#REF!,DB$17,#REF!)*$CG34)*(SUMIF(ProductCodes,"H",$CI:$CI)/(SUMIF(ProductCodes,"H",$CH:$CH))),""))))))),"Error")</f>
        <v>Error</v>
      </c>
      <c r="DC34" s="84" t="str">
        <f>IFERROR(
IF(SUMIF(ProductCodes,"C",$CI:$CI)=$CI$782,(IF($A34="C",(SUMIF(#REF!,DC$17,#REF!)*$CG34)*((SUMIF(ProductCodes,"C",$CI:$CI)-SUMIF(ProductCodes,"H",$CH:$CH)-SUMIF(ProductCodes,"R",$CH:$CH)-SUMIF(ProductCodes,"B",$CH:$CH)-(SUMIF(ProductCodes,"S",$CH:$CH)/2))/SUMIF(ProductCodes,"C",$CH:$CH)),IF($A34="S",(SUMIF(#REF!,DC$17,#REF!)*$CG34)/2,
IF($A34="B",(SUMIF(#REF!,DC$17,#REF!)*$CG34),
IF($A34="R",(SUMIF(#REF!,DC$17,#REF!)*$CG34),
IF($A34="H",(SUMIF(#REF!,DC$17,#REF!)*$CG34),"")))))),
IF(SUMIF(ProductCodes,"S",$CI:$CI)=$CI$782,(IF($A34="S",(SUMIF(#REF!,DC$17,#REF!)*$CG34)*((SUMIF(ProductCodes,"S",$CI:$CI)-SUMIF(ProductCodes,"H",$CH:$CH)-SUMIF(ProductCodes,"R",$CH:$CH)-SUMIF(ProductCodes,"B",$CH:$CH)-(SUMIF(ProductCodes,"C",$CH:$CH)/4))/SUMIF(ProductCodes,"S",$CH:$CH)),
IF($A34="C",(SUMIF(#REF!,DC$17,#REF!)*$CG34)/4,
IF($A34="B",(SUMIF(#REF!,DC$17,#REF!)*$CG34),
IF($A34="R",(SUMIF(#REF!,DC$17,#REF!)*$CG34),
IF($A34="H",(SUMIF(#REF!,DC$17,#REF!)*$CG34),"")))))),
IF($A34="C",(SUMIF(#REF!,DC$17,#REF!)*$CG34)*(SUMIF(ProductCodes,"C",$CI:$CI)/(SUMIF(ProductCodes,"C",$CH:$CH))),
IF($A34="S",(SUMIF(#REF!,DC$17,#REF!)*$CG34)*(SUMIF(ProductCodes,"S",$CI:$CI)/(SUMIF(ProductCodes,"S",$CH:$CH))),
IF($A34="B",(SUMIF(#REF!,DC$17,#REF!)*$CG34)*(SUMIF(ProductCodes,"B",$CI:$CI)/(SUMIF(ProductCodes,"B",$CH:$CH))),
IF($A34="R",(SUMIF(#REF!,DC$17,#REF!)*$CG34)*(SUMIF(ProductCodes,"R",$CI:$CI)/(SUMIF(ProductCodes,"R",$CH:$CH))),
IF($A34="H",(SUMIF(#REF!,DC$17,#REF!)*$CG34)*(SUMIF(ProductCodes,"H",$CI:$CI)/(SUMIF(ProductCodes,"H",$CH:$CH))),""))))))),"Error")</f>
        <v>Error</v>
      </c>
      <c r="DD34" s="84" t="str">
        <f>IFERROR(
IF(SUMIF(ProductCodes,"C",$CI:$CI)=$CI$782,(IF($A34="C",(SUMIF(#REF!,DD$17,#REF!)*$CG34)*((SUMIF(ProductCodes,"C",$CI:$CI)-SUMIF(ProductCodes,"H",$CH:$CH)-SUMIF(ProductCodes,"R",$CH:$CH)-SUMIF(ProductCodes,"B",$CH:$CH)-(SUMIF(ProductCodes,"S",$CH:$CH)/2))/SUMIF(ProductCodes,"C",$CH:$CH)),IF($A34="S",(SUMIF(#REF!,DD$17,#REF!)*$CG34)/2,
IF($A34="B",(SUMIF(#REF!,DD$17,#REF!)*$CG34),
IF($A34="R",(SUMIF(#REF!,DD$17,#REF!)*$CG34),
IF($A34="H",(SUMIF(#REF!,DD$17,#REF!)*$CG34),"")))))),
IF(SUMIF(ProductCodes,"S",$CI:$CI)=$CI$782,(IF($A34="S",(SUMIF(#REF!,DD$17,#REF!)*$CG34)*((SUMIF(ProductCodes,"S",$CI:$CI)-SUMIF(ProductCodes,"H",$CH:$CH)-SUMIF(ProductCodes,"R",$CH:$CH)-SUMIF(ProductCodes,"B",$CH:$CH)-(SUMIF(ProductCodes,"C",$CH:$CH)/4))/SUMIF(ProductCodes,"S",$CH:$CH)),
IF($A34="C",(SUMIF(#REF!,DD$17,#REF!)*$CG34)/4,
IF($A34="B",(SUMIF(#REF!,DD$17,#REF!)*$CG34),
IF($A34="R",(SUMIF(#REF!,DD$17,#REF!)*$CG34),
IF($A34="H",(SUMIF(#REF!,DD$17,#REF!)*$CG34),"")))))),
IF($A34="C",(SUMIF(#REF!,DD$17,#REF!)*$CG34)*(SUMIF(ProductCodes,"C",$CI:$CI)/(SUMIF(ProductCodes,"C",$CH:$CH))),
IF($A34="S",(SUMIF(#REF!,DD$17,#REF!)*$CG34)*(SUMIF(ProductCodes,"S",$CI:$CI)/(SUMIF(ProductCodes,"S",$CH:$CH))),
IF($A34="B",(SUMIF(#REF!,DD$17,#REF!)*$CG34)*(SUMIF(ProductCodes,"B",$CI:$CI)/(SUMIF(ProductCodes,"B",$CH:$CH))),
IF($A34="R",(SUMIF(#REF!,DD$17,#REF!)*$CG34)*(SUMIF(ProductCodes,"R",$CI:$CI)/(SUMIF(ProductCodes,"R",$CH:$CH))),
IF($A34="H",(SUMIF(#REF!,DD$17,#REF!)*$CG34)*(SUMIF(ProductCodes,"H",$CI:$CI)/(SUMIF(ProductCodes,"H",$CH:$CH))),""))))))),"Error")</f>
        <v>Error</v>
      </c>
      <c r="DE34" s="84" t="str">
        <f>IFERROR(
IF(SUMIF(ProductCodes,"C",$CI:$CI)=$CI$782,(IF($A34="C",(SUMIF(#REF!,DE$17,#REF!)*$CG34)*((SUMIF(ProductCodes,"C",$CI:$CI)-SUMIF(ProductCodes,"H",$CH:$CH)-SUMIF(ProductCodes,"R",$CH:$CH)-SUMIF(ProductCodes,"B",$CH:$CH)-(SUMIF(ProductCodes,"S",$CH:$CH)/2))/SUMIF(ProductCodes,"C",$CH:$CH)),IF($A34="S",(SUMIF(#REF!,DE$17,#REF!)*$CG34)/2,
IF($A34="B",(SUMIF(#REF!,DE$17,#REF!)*$CG34),
IF($A34="R",(SUMIF(#REF!,DE$17,#REF!)*$CG34),
IF($A34="H",(SUMIF(#REF!,DE$17,#REF!)*$CG34),"")))))),
IF(SUMIF(ProductCodes,"S",$CI:$CI)=$CI$782,(IF($A34="S",(SUMIF(#REF!,DE$17,#REF!)*$CG34)*((SUMIF(ProductCodes,"S",$CI:$CI)-SUMIF(ProductCodes,"H",$CH:$CH)-SUMIF(ProductCodes,"R",$CH:$CH)-SUMIF(ProductCodes,"B",$CH:$CH)-(SUMIF(ProductCodes,"C",$CH:$CH)/4))/SUMIF(ProductCodes,"S",$CH:$CH)),
IF($A34="C",(SUMIF(#REF!,DE$17,#REF!)*$CG34)/4,
IF($A34="B",(SUMIF(#REF!,DE$17,#REF!)*$CG34),
IF($A34="R",(SUMIF(#REF!,DE$17,#REF!)*$CG34),
IF($A34="H",(SUMIF(#REF!,DE$17,#REF!)*$CG34),"")))))),
IF($A34="C",(SUMIF(#REF!,DE$17,#REF!)*$CG34)*(SUMIF(ProductCodes,"C",$CI:$CI)/(SUMIF(ProductCodes,"C",$CH:$CH))),
IF($A34="S",(SUMIF(#REF!,DE$17,#REF!)*$CG34)*(SUMIF(ProductCodes,"S",$CI:$CI)/(SUMIF(ProductCodes,"S",$CH:$CH))),
IF($A34="B",(SUMIF(#REF!,DE$17,#REF!)*$CG34)*(SUMIF(ProductCodes,"B",$CI:$CI)/(SUMIF(ProductCodes,"B",$CH:$CH))),
IF($A34="R",(SUMIF(#REF!,DE$17,#REF!)*$CG34)*(SUMIF(ProductCodes,"R",$CI:$CI)/(SUMIF(ProductCodes,"R",$CH:$CH))),
IF($A34="H",(SUMIF(#REF!,DE$17,#REF!)*$CG34)*(SUMIF(ProductCodes,"H",$CI:$CI)/(SUMIF(ProductCodes,"H",$CH:$CH))),""))))))),"Error")</f>
        <v>Error</v>
      </c>
      <c r="DF34" s="84" t="str">
        <f>IFERROR(
IF(SUMIF(ProductCodes,"C",$CI:$CI)=$CI$782,(IF($A34="C",(SUMIF(#REF!,DF$17,#REF!)*$CG34)*((SUMIF(ProductCodes,"C",$CI:$CI)-SUMIF(ProductCodes,"H",$CH:$CH)-SUMIF(ProductCodes,"R",$CH:$CH)-SUMIF(ProductCodes,"B",$CH:$CH)-(SUMIF(ProductCodes,"S",$CH:$CH)/2))/SUMIF(ProductCodes,"C",$CH:$CH)),IF($A34="S",(SUMIF(#REF!,DF$17,#REF!)*$CG34)/2,
IF($A34="B",(SUMIF(#REF!,DF$17,#REF!)*$CG34),
IF($A34="R",(SUMIF(#REF!,DF$17,#REF!)*$CG34),
IF($A34="H",(SUMIF(#REF!,DF$17,#REF!)*$CG34),"")))))),
IF(SUMIF(ProductCodes,"S",$CI:$CI)=$CI$782,(IF($A34="S",(SUMIF(#REF!,DF$17,#REF!)*$CG34)*((SUMIF(ProductCodes,"S",$CI:$CI)-SUMIF(ProductCodes,"H",$CH:$CH)-SUMIF(ProductCodes,"R",$CH:$CH)-SUMIF(ProductCodes,"B",$CH:$CH)-(SUMIF(ProductCodes,"C",$CH:$CH)/4))/SUMIF(ProductCodes,"S",$CH:$CH)),
IF($A34="C",(SUMIF(#REF!,DF$17,#REF!)*$CG34)/4,
IF($A34="B",(SUMIF(#REF!,DF$17,#REF!)*$CG34),
IF($A34="R",(SUMIF(#REF!,DF$17,#REF!)*$CG34),
IF($A34="H",(SUMIF(#REF!,DF$17,#REF!)*$CG34),"")))))),
IF($A34="C",(SUMIF(#REF!,DF$17,#REF!)*$CG34)*(SUMIF(ProductCodes,"C",$CI:$CI)/(SUMIF(ProductCodes,"C",$CH:$CH))),
IF($A34="S",(SUMIF(#REF!,DF$17,#REF!)*$CG34)*(SUMIF(ProductCodes,"S",$CI:$CI)/(SUMIF(ProductCodes,"S",$CH:$CH))),
IF($A34="B",(SUMIF(#REF!,DF$17,#REF!)*$CG34)*(SUMIF(ProductCodes,"B",$CI:$CI)/(SUMIF(ProductCodes,"B",$CH:$CH))),
IF($A34="R",(SUMIF(#REF!,DF$17,#REF!)*$CG34)*(SUMIF(ProductCodes,"R",$CI:$CI)/(SUMIF(ProductCodes,"R",$CH:$CH))),
IF($A34="H",(SUMIF(#REF!,DF$17,#REF!)*$CG34)*(SUMIF(ProductCodes,"H",$CI:$CI)/(SUMIF(ProductCodes,"H",$CH:$CH))),""))))))),"Error")</f>
        <v>Error</v>
      </c>
      <c r="DG34" s="84" t="str">
        <f>IFERROR(
IF(SUMIF(ProductCodes,"C",$CI:$CI)=$CI$782,(IF($A34="C",(SUMIF(#REF!,DG$17,#REF!)*$CG34)*((SUMIF(ProductCodes,"C",$CI:$CI)-SUMIF(ProductCodes,"H",$CH:$CH)-SUMIF(ProductCodes,"R",$CH:$CH)-SUMIF(ProductCodes,"B",$CH:$CH)-(SUMIF(ProductCodes,"S",$CH:$CH)/2))/SUMIF(ProductCodes,"C",$CH:$CH)),IF($A34="S",(SUMIF(#REF!,DG$17,#REF!)*$CG34)/2,
IF($A34="B",(SUMIF(#REF!,DG$17,#REF!)*$CG34),
IF($A34="R",(SUMIF(#REF!,DG$17,#REF!)*$CG34),
IF($A34="H",(SUMIF(#REF!,DG$17,#REF!)*$CG34),"")))))),
IF(SUMIF(ProductCodes,"S",$CI:$CI)=$CI$782,(IF($A34="S",(SUMIF(#REF!,DG$17,#REF!)*$CG34)*((SUMIF(ProductCodes,"S",$CI:$CI)-SUMIF(ProductCodes,"H",$CH:$CH)-SUMIF(ProductCodes,"R",$CH:$CH)-SUMIF(ProductCodes,"B",$CH:$CH)-(SUMIF(ProductCodes,"C",$CH:$CH)/4))/SUMIF(ProductCodes,"S",$CH:$CH)),
IF($A34="C",(SUMIF(#REF!,DG$17,#REF!)*$CG34)/4,
IF($A34="B",(SUMIF(#REF!,DG$17,#REF!)*$CG34),
IF($A34="R",(SUMIF(#REF!,DG$17,#REF!)*$CG34),
IF($A34="H",(SUMIF(#REF!,DG$17,#REF!)*$CG34),"")))))),
IF($A34="C",(SUMIF(#REF!,DG$17,#REF!)*$CG34)*(SUMIF(ProductCodes,"C",$CI:$CI)/(SUMIF(ProductCodes,"C",$CH:$CH))),
IF($A34="S",(SUMIF(#REF!,DG$17,#REF!)*$CG34)*(SUMIF(ProductCodes,"S",$CI:$CI)/(SUMIF(ProductCodes,"S",$CH:$CH))),
IF($A34="B",(SUMIF(#REF!,DG$17,#REF!)*$CG34)*(SUMIF(ProductCodes,"B",$CI:$CI)/(SUMIF(ProductCodes,"B",$CH:$CH))),
IF($A34="R",(SUMIF(#REF!,DG$17,#REF!)*$CG34)*(SUMIF(ProductCodes,"R",$CI:$CI)/(SUMIF(ProductCodes,"R",$CH:$CH))),
IF($A34="H",(SUMIF(#REF!,DG$17,#REF!)*$CG34)*(SUMIF(ProductCodes,"H",$CI:$CI)/(SUMIF(ProductCodes,"H",$CH:$CH))),""))))))),"Error")</f>
        <v>Error</v>
      </c>
      <c r="DH34" s="84" t="str">
        <f>IFERROR(
IF(SUMIF(ProductCodes,"C",$CI:$CI)=$CI$782,(IF($A34="C",(SUMIF(#REF!,DH$17,#REF!)*$CG34)*((SUMIF(ProductCodes,"C",$CI:$CI)-SUMIF(ProductCodes,"H",$CH:$CH)-SUMIF(ProductCodes,"R",$CH:$CH)-SUMIF(ProductCodes,"B",$CH:$CH)-(SUMIF(ProductCodes,"S",$CH:$CH)/2))/SUMIF(ProductCodes,"C",$CH:$CH)),IF($A34="S",(SUMIF(#REF!,DH$17,#REF!)*$CG34)/2,
IF($A34="B",(SUMIF(#REF!,DH$17,#REF!)*$CG34),
IF($A34="R",(SUMIF(#REF!,DH$17,#REF!)*$CG34),
IF($A34="H",(SUMIF(#REF!,DH$17,#REF!)*$CG34),"")))))),
IF(SUMIF(ProductCodes,"S",$CI:$CI)=$CI$782,(IF($A34="S",(SUMIF(#REF!,DH$17,#REF!)*$CG34)*((SUMIF(ProductCodes,"S",$CI:$CI)-SUMIF(ProductCodes,"H",$CH:$CH)-SUMIF(ProductCodes,"R",$CH:$CH)-SUMIF(ProductCodes,"B",$CH:$CH)-(SUMIF(ProductCodes,"C",$CH:$CH)/4))/SUMIF(ProductCodes,"S",$CH:$CH)),
IF($A34="C",(SUMIF(#REF!,DH$17,#REF!)*$CG34)/4,
IF($A34="B",(SUMIF(#REF!,DH$17,#REF!)*$CG34),
IF($A34="R",(SUMIF(#REF!,DH$17,#REF!)*$CG34),
IF($A34="H",(SUMIF(#REF!,DH$17,#REF!)*$CG34),"")))))),
IF($A34="C",(SUMIF(#REF!,DH$17,#REF!)*$CG34)*(SUMIF(ProductCodes,"C",$CI:$CI)/(SUMIF(ProductCodes,"C",$CH:$CH))),
IF($A34="S",(SUMIF(#REF!,DH$17,#REF!)*$CG34)*(SUMIF(ProductCodes,"S",$CI:$CI)/(SUMIF(ProductCodes,"S",$CH:$CH))),
IF($A34="B",(SUMIF(#REF!,DH$17,#REF!)*$CG34)*(SUMIF(ProductCodes,"B",$CI:$CI)/(SUMIF(ProductCodes,"B",$CH:$CH))),
IF($A34="R",(SUMIF(#REF!,DH$17,#REF!)*$CG34)*(SUMIF(ProductCodes,"R",$CI:$CI)/(SUMIF(ProductCodes,"R",$CH:$CH))),
IF($A34="H",(SUMIF(#REF!,DH$17,#REF!)*$CG34)*(SUMIF(ProductCodes,"H",$CI:$CI)/(SUMIF(ProductCodes,"H",$CH:$CH))),""))))))),"Error")</f>
        <v>Error</v>
      </c>
      <c r="DI34" s="84" t="str">
        <f>IFERROR(
IF(SUMIF(ProductCodes,"C",$CI:$CI)=$CI$782,(IF($A34="C",(SUMIF(#REF!,DI$17,#REF!)*$CG34)*((SUMIF(ProductCodes,"C",$CI:$CI)-SUMIF(ProductCodes,"H",$CH:$CH)-SUMIF(ProductCodes,"R",$CH:$CH)-SUMIF(ProductCodes,"B",$CH:$CH)-(SUMIF(ProductCodes,"S",$CH:$CH)/2))/SUMIF(ProductCodes,"C",$CH:$CH)),IF($A34="S",(SUMIF(#REF!,DI$17,#REF!)*$CG34)/2,
IF($A34="B",(SUMIF(#REF!,DI$17,#REF!)*$CG34),
IF($A34="R",(SUMIF(#REF!,DI$17,#REF!)*$CG34),
IF($A34="H",(SUMIF(#REF!,DI$17,#REF!)*$CG34),"")))))),
IF(SUMIF(ProductCodes,"S",$CI:$CI)=$CI$782,(IF($A34="S",(SUMIF(#REF!,DI$17,#REF!)*$CG34)*((SUMIF(ProductCodes,"S",$CI:$CI)-SUMIF(ProductCodes,"H",$CH:$CH)-SUMIF(ProductCodes,"R",$CH:$CH)-SUMIF(ProductCodes,"B",$CH:$CH)-(SUMIF(ProductCodes,"C",$CH:$CH)/4))/SUMIF(ProductCodes,"S",$CH:$CH)),
IF($A34="C",(SUMIF(#REF!,DI$17,#REF!)*$CG34)/4,
IF($A34="B",(SUMIF(#REF!,DI$17,#REF!)*$CG34),
IF($A34="R",(SUMIF(#REF!,DI$17,#REF!)*$CG34),
IF($A34="H",(SUMIF(#REF!,DI$17,#REF!)*$CG34),"")))))),
IF($A34="C",(SUMIF(#REF!,DI$17,#REF!)*$CG34)*(SUMIF(ProductCodes,"C",$CI:$CI)/(SUMIF(ProductCodes,"C",$CH:$CH))),
IF($A34="S",(SUMIF(#REF!,DI$17,#REF!)*$CG34)*(SUMIF(ProductCodes,"S",$CI:$CI)/(SUMIF(ProductCodes,"S",$CH:$CH))),
IF($A34="B",(SUMIF(#REF!,DI$17,#REF!)*$CG34)*(SUMIF(ProductCodes,"B",$CI:$CI)/(SUMIF(ProductCodes,"B",$CH:$CH))),
IF($A34="R",(SUMIF(#REF!,DI$17,#REF!)*$CG34)*(SUMIF(ProductCodes,"R",$CI:$CI)/(SUMIF(ProductCodes,"R",$CH:$CH))),
IF($A34="H",(SUMIF(#REF!,DI$17,#REF!)*$CG34)*(SUMIF(ProductCodes,"H",$CI:$CI)/(SUMIF(ProductCodes,"H",$CH:$CH))),""))))))),"Error")</f>
        <v>Error</v>
      </c>
      <c r="DJ34" s="84" t="str">
        <f>IFERROR(
IF(SUMIF(ProductCodes,"C",$CI:$CI)=$CI$782,(IF($A34="C",(SUMIF(#REF!,DJ$17,#REF!)*$CG34)*((SUMIF(ProductCodes,"C",$CI:$CI)-SUMIF(ProductCodes,"H",$CH:$CH)-SUMIF(ProductCodes,"R",$CH:$CH)-SUMIF(ProductCodes,"B",$CH:$CH)-(SUMIF(ProductCodes,"S",$CH:$CH)/2))/SUMIF(ProductCodes,"C",$CH:$CH)),IF($A34="S",(SUMIF(#REF!,DJ$17,#REF!)*$CG34)/2,
IF($A34="B",(SUMIF(#REF!,DJ$17,#REF!)*$CG34),
IF($A34="R",(SUMIF(#REF!,DJ$17,#REF!)*$CG34),
IF($A34="H",(SUMIF(#REF!,DJ$17,#REF!)*$CG34),"")))))),
IF(SUMIF(ProductCodes,"S",$CI:$CI)=$CI$782,(IF($A34="S",(SUMIF(#REF!,DJ$17,#REF!)*$CG34)*((SUMIF(ProductCodes,"S",$CI:$CI)-SUMIF(ProductCodes,"H",$CH:$CH)-SUMIF(ProductCodes,"R",$CH:$CH)-SUMIF(ProductCodes,"B",$CH:$CH)-(SUMIF(ProductCodes,"C",$CH:$CH)/4))/SUMIF(ProductCodes,"S",$CH:$CH)),
IF($A34="C",(SUMIF(#REF!,DJ$17,#REF!)*$CG34)/4,
IF($A34="B",(SUMIF(#REF!,DJ$17,#REF!)*$CG34),
IF($A34="R",(SUMIF(#REF!,DJ$17,#REF!)*$CG34),
IF($A34="H",(SUMIF(#REF!,DJ$17,#REF!)*$CG34),"")))))),
IF($A34="C",(SUMIF(#REF!,DJ$17,#REF!)*$CG34)*(SUMIF(ProductCodes,"C",$CI:$CI)/(SUMIF(ProductCodes,"C",$CH:$CH))),
IF($A34="S",(SUMIF(#REF!,DJ$17,#REF!)*$CG34)*(SUMIF(ProductCodes,"S",$CI:$CI)/(SUMIF(ProductCodes,"S",$CH:$CH))),
IF($A34="B",(SUMIF(#REF!,DJ$17,#REF!)*$CG34)*(SUMIF(ProductCodes,"B",$CI:$CI)/(SUMIF(ProductCodes,"B",$CH:$CH))),
IF($A34="R",(SUMIF(#REF!,DJ$17,#REF!)*$CG34)*(SUMIF(ProductCodes,"R",$CI:$CI)/(SUMIF(ProductCodes,"R",$CH:$CH))),
IF($A34="H",(SUMIF(#REF!,DJ$17,#REF!)*$CG34)*(SUMIF(ProductCodes,"H",$CI:$CI)/(SUMIF(ProductCodes,"H",$CH:$CH))),""))))))),"Error")</f>
        <v>Error</v>
      </c>
      <c r="DK34" s="84" t="str">
        <f>IFERROR(
IF(SUMIF(ProductCodes,"C",$CI:$CI)=$CI$782,(IF($A34="C",(SUMIF(#REF!,DK$17,#REF!)*$CG34)*((SUMIF(ProductCodes,"C",$CI:$CI)-SUMIF(ProductCodes,"H",$CH:$CH)-SUMIF(ProductCodes,"R",$CH:$CH)-SUMIF(ProductCodes,"B",$CH:$CH)-(SUMIF(ProductCodes,"S",$CH:$CH)/2))/SUMIF(ProductCodes,"C",$CH:$CH)),IF($A34="S",(SUMIF(#REF!,DK$17,#REF!)*$CG34)/2,
IF($A34="B",(SUMIF(#REF!,DK$17,#REF!)*$CG34),
IF($A34="R",(SUMIF(#REF!,DK$17,#REF!)*$CG34),
IF($A34="H",(SUMIF(#REF!,DK$17,#REF!)*$CG34),"")))))),
IF(SUMIF(ProductCodes,"S",$CI:$CI)=$CI$782,(IF($A34="S",(SUMIF(#REF!,DK$17,#REF!)*$CG34)*((SUMIF(ProductCodes,"S",$CI:$CI)-SUMIF(ProductCodes,"H",$CH:$CH)-SUMIF(ProductCodes,"R",$CH:$CH)-SUMIF(ProductCodes,"B",$CH:$CH)-(SUMIF(ProductCodes,"C",$CH:$CH)/4))/SUMIF(ProductCodes,"S",$CH:$CH)),
IF($A34="C",(SUMIF(#REF!,DK$17,#REF!)*$CG34)/4,
IF($A34="B",(SUMIF(#REF!,DK$17,#REF!)*$CG34),
IF($A34="R",(SUMIF(#REF!,DK$17,#REF!)*$CG34),
IF($A34="H",(SUMIF(#REF!,DK$17,#REF!)*$CG34),"")))))),
IF($A34="C",(SUMIF(#REF!,DK$17,#REF!)*$CG34)*(SUMIF(ProductCodes,"C",$CI:$CI)/(SUMIF(ProductCodes,"C",$CH:$CH))),
IF($A34="S",(SUMIF(#REF!,DK$17,#REF!)*$CG34)*(SUMIF(ProductCodes,"S",$CI:$CI)/(SUMIF(ProductCodes,"S",$CH:$CH))),
IF($A34="B",(SUMIF(#REF!,DK$17,#REF!)*$CG34)*(SUMIF(ProductCodes,"B",$CI:$CI)/(SUMIF(ProductCodes,"B",$CH:$CH))),
IF($A34="R",(SUMIF(#REF!,DK$17,#REF!)*$CG34)*(SUMIF(ProductCodes,"R",$CI:$CI)/(SUMIF(ProductCodes,"R",$CH:$CH))),
IF($A34="H",(SUMIF(#REF!,DK$17,#REF!)*$CG34)*(SUMIF(ProductCodes,"H",$CI:$CI)/(SUMIF(ProductCodes,"H",$CH:$CH))),""))))))),"Error")</f>
        <v>Error</v>
      </c>
      <c r="DL34" s="84" t="str">
        <f>IFERROR(
IF(SUMIF(ProductCodes,"C",$CI:$CI)=$CI$782,(IF($A34="C",(SUMIF(#REF!,DL$17,#REF!)*$CG34)*((SUMIF(ProductCodes,"C",$CI:$CI)-SUMIF(ProductCodes,"H",$CH:$CH)-SUMIF(ProductCodes,"R",$CH:$CH)-SUMIF(ProductCodes,"B",$CH:$CH)-(SUMIF(ProductCodes,"S",$CH:$CH)/2))/SUMIF(ProductCodes,"C",$CH:$CH)),IF($A34="S",(SUMIF(#REF!,DL$17,#REF!)*$CG34)/2,
IF($A34="B",(SUMIF(#REF!,DL$17,#REF!)*$CG34),
IF($A34="R",(SUMIF(#REF!,DL$17,#REF!)*$CG34),
IF($A34="H",(SUMIF(#REF!,DL$17,#REF!)*$CG34),"")))))),
IF(SUMIF(ProductCodes,"S",$CI:$CI)=$CI$782,(IF($A34="S",(SUMIF(#REF!,DL$17,#REF!)*$CG34)*((SUMIF(ProductCodes,"S",$CI:$CI)-SUMIF(ProductCodes,"H",$CH:$CH)-SUMIF(ProductCodes,"R",$CH:$CH)-SUMIF(ProductCodes,"B",$CH:$CH)-(SUMIF(ProductCodes,"C",$CH:$CH)/4))/SUMIF(ProductCodes,"S",$CH:$CH)),
IF($A34="C",(SUMIF(#REF!,DL$17,#REF!)*$CG34)/4,
IF($A34="B",(SUMIF(#REF!,DL$17,#REF!)*$CG34),
IF($A34="R",(SUMIF(#REF!,DL$17,#REF!)*$CG34),
IF($A34="H",(SUMIF(#REF!,DL$17,#REF!)*$CG34),"")))))),
IF($A34="C",(SUMIF(#REF!,DL$17,#REF!)*$CG34)*(SUMIF(ProductCodes,"C",$CI:$CI)/(SUMIF(ProductCodes,"C",$CH:$CH))),
IF($A34="S",(SUMIF(#REF!,DL$17,#REF!)*$CG34)*(SUMIF(ProductCodes,"S",$CI:$CI)/(SUMIF(ProductCodes,"S",$CH:$CH))),
IF($A34="B",(SUMIF(#REF!,DL$17,#REF!)*$CG34)*(SUMIF(ProductCodes,"B",$CI:$CI)/(SUMIF(ProductCodes,"B",$CH:$CH))),
IF($A34="R",(SUMIF(#REF!,DL$17,#REF!)*$CG34)*(SUMIF(ProductCodes,"R",$CI:$CI)/(SUMIF(ProductCodes,"R",$CH:$CH))),
IF($A34="H",(SUMIF(#REF!,DL$17,#REF!)*$CG34)*(SUMIF(ProductCodes,"H",$CI:$CI)/(SUMIF(ProductCodes,"H",$CH:$CH))),""))))))),"Error")</f>
        <v>Error</v>
      </c>
      <c r="DM34" s="84" t="str">
        <f>IFERROR(
IF(SUMIF(ProductCodes,"C",$CI:$CI)=$CI$782,(IF($A34="C",(SUMIF(#REF!,DM$17,#REF!)*$CG34)*((SUMIF(ProductCodes,"C",$CI:$CI)-SUMIF(ProductCodes,"H",$CH:$CH)-SUMIF(ProductCodes,"R",$CH:$CH)-SUMIF(ProductCodes,"B",$CH:$CH)-(SUMIF(ProductCodes,"S",$CH:$CH)/2))/SUMIF(ProductCodes,"C",$CH:$CH)),IF($A34="S",(SUMIF(#REF!,DM$17,#REF!)*$CG34)/2,
IF($A34="B",(SUMIF(#REF!,DM$17,#REF!)*$CG34),
IF($A34="R",(SUMIF(#REF!,DM$17,#REF!)*$CG34),
IF($A34="H",(SUMIF(#REF!,DM$17,#REF!)*$CG34),"")))))),
IF(SUMIF(ProductCodes,"S",$CI:$CI)=$CI$782,(IF($A34="S",(SUMIF(#REF!,DM$17,#REF!)*$CG34)*((SUMIF(ProductCodes,"S",$CI:$CI)-SUMIF(ProductCodes,"H",$CH:$CH)-SUMIF(ProductCodes,"R",$CH:$CH)-SUMIF(ProductCodes,"B",$CH:$CH)-(SUMIF(ProductCodes,"C",$CH:$CH)/4))/SUMIF(ProductCodes,"S",$CH:$CH)),
IF($A34="C",(SUMIF(#REF!,DM$17,#REF!)*$CG34)/4,
IF($A34="B",(SUMIF(#REF!,DM$17,#REF!)*$CG34),
IF($A34="R",(SUMIF(#REF!,DM$17,#REF!)*$CG34),
IF($A34="H",(SUMIF(#REF!,DM$17,#REF!)*$CG34),"")))))),
IF($A34="C",(SUMIF(#REF!,DM$17,#REF!)*$CG34)*(SUMIF(ProductCodes,"C",$CI:$CI)/(SUMIF(ProductCodes,"C",$CH:$CH))),
IF($A34="S",(SUMIF(#REF!,DM$17,#REF!)*$CG34)*(SUMIF(ProductCodes,"S",$CI:$CI)/(SUMIF(ProductCodes,"S",$CH:$CH))),
IF($A34="B",(SUMIF(#REF!,DM$17,#REF!)*$CG34)*(SUMIF(ProductCodes,"B",$CI:$CI)/(SUMIF(ProductCodes,"B",$CH:$CH))),
IF($A34="R",(SUMIF(#REF!,DM$17,#REF!)*$CG34)*(SUMIF(ProductCodes,"R",$CI:$CI)/(SUMIF(ProductCodes,"R",$CH:$CH))),
IF($A34="H",(SUMIF(#REF!,DM$17,#REF!)*$CG34)*(SUMIF(ProductCodes,"H",$CI:$CI)/(SUMIF(ProductCodes,"H",$CH:$CH))),""))))))),"Error")</f>
        <v>Error</v>
      </c>
      <c r="DN34" s="84" t="str">
        <f>IFERROR(
IF(SUMIF(ProductCodes,"C",$CI:$CI)=$CI$782,(IF($A34="C",(SUMIF(#REF!,DN$17,#REF!)*$CG34)*((SUMIF(ProductCodes,"C",$CI:$CI)-SUMIF(ProductCodes,"H",$CH:$CH)-SUMIF(ProductCodes,"R",$CH:$CH)-SUMIF(ProductCodes,"B",$CH:$CH)-(SUMIF(ProductCodes,"S",$CH:$CH)/2))/SUMIF(ProductCodes,"C",$CH:$CH)),IF($A34="S",(SUMIF(#REF!,DN$17,#REF!)*$CG34)/2,
IF($A34="B",(SUMIF(#REF!,DN$17,#REF!)*$CG34),
IF($A34="R",(SUMIF(#REF!,DN$17,#REF!)*$CG34),
IF($A34="H",(SUMIF(#REF!,DN$17,#REF!)*$CG34),"")))))),
IF(SUMIF(ProductCodes,"S",$CI:$CI)=$CI$782,(IF($A34="S",(SUMIF(#REF!,DN$17,#REF!)*$CG34)*((SUMIF(ProductCodes,"S",$CI:$CI)-SUMIF(ProductCodes,"H",$CH:$CH)-SUMIF(ProductCodes,"R",$CH:$CH)-SUMIF(ProductCodes,"B",$CH:$CH)-(SUMIF(ProductCodes,"C",$CH:$CH)/4))/SUMIF(ProductCodes,"S",$CH:$CH)),
IF($A34="C",(SUMIF(#REF!,DN$17,#REF!)*$CG34)/4,
IF($A34="B",(SUMIF(#REF!,DN$17,#REF!)*$CG34),
IF($A34="R",(SUMIF(#REF!,DN$17,#REF!)*$CG34),
IF($A34="H",(SUMIF(#REF!,DN$17,#REF!)*$CG34),"")))))),
IF($A34="C",(SUMIF(#REF!,DN$17,#REF!)*$CG34)*(SUMIF(ProductCodes,"C",$CI:$CI)/(SUMIF(ProductCodes,"C",$CH:$CH))),
IF($A34="S",(SUMIF(#REF!,DN$17,#REF!)*$CG34)*(SUMIF(ProductCodes,"S",$CI:$CI)/(SUMIF(ProductCodes,"S",$CH:$CH))),
IF($A34="B",(SUMIF(#REF!,DN$17,#REF!)*$CG34)*(SUMIF(ProductCodes,"B",$CI:$CI)/(SUMIF(ProductCodes,"B",$CH:$CH))),
IF($A34="R",(SUMIF(#REF!,DN$17,#REF!)*$CG34)*(SUMIF(ProductCodes,"R",$CI:$CI)/(SUMIF(ProductCodes,"R",$CH:$CH))),
IF($A34="H",(SUMIF(#REF!,DN$17,#REF!)*$CG34)*(SUMIF(ProductCodes,"H",$CI:$CI)/(SUMIF(ProductCodes,"H",$CH:$CH))),""))))))),"Error")</f>
        <v>Error</v>
      </c>
      <c r="DO34" s="84" t="str">
        <f>IFERROR(
IF(SUMIF(ProductCodes,"C",$CI:$CI)=$CI$782,(IF($A34="C",(SUMIF(#REF!,DO$17,#REF!)*$CG34)*((SUMIF(ProductCodes,"C",$CI:$CI)-SUMIF(ProductCodes,"H",$CH:$CH)-SUMIF(ProductCodes,"R",$CH:$CH)-SUMIF(ProductCodes,"B",$CH:$CH)-(SUMIF(ProductCodes,"S",$CH:$CH)/2))/SUMIF(ProductCodes,"C",$CH:$CH)),IF($A34="S",(SUMIF(#REF!,DO$17,#REF!)*$CG34)/2,
IF($A34="B",(SUMIF(#REF!,DO$17,#REF!)*$CG34),
IF($A34="R",(SUMIF(#REF!,DO$17,#REF!)*$CG34),
IF($A34="H",(SUMIF(#REF!,DO$17,#REF!)*$CG34),"")))))),
IF(SUMIF(ProductCodes,"S",$CI:$CI)=$CI$782,(IF($A34="S",(SUMIF(#REF!,DO$17,#REF!)*$CG34)*((SUMIF(ProductCodes,"S",$CI:$CI)-SUMIF(ProductCodes,"H",$CH:$CH)-SUMIF(ProductCodes,"R",$CH:$CH)-SUMIF(ProductCodes,"B",$CH:$CH)-(SUMIF(ProductCodes,"C",$CH:$CH)/4))/SUMIF(ProductCodes,"S",$CH:$CH)),
IF($A34="C",(SUMIF(#REF!,DO$17,#REF!)*$CG34)/4,
IF($A34="B",(SUMIF(#REF!,DO$17,#REF!)*$CG34),
IF($A34="R",(SUMIF(#REF!,DO$17,#REF!)*$CG34),
IF($A34="H",(SUMIF(#REF!,DO$17,#REF!)*$CG34),"")))))),
IF($A34="C",(SUMIF(#REF!,DO$17,#REF!)*$CG34)*(SUMIF(ProductCodes,"C",$CI:$CI)/(SUMIF(ProductCodes,"C",$CH:$CH))),
IF($A34="S",(SUMIF(#REF!,DO$17,#REF!)*$CG34)*(SUMIF(ProductCodes,"S",$CI:$CI)/(SUMIF(ProductCodes,"S",$CH:$CH))),
IF($A34="B",(SUMIF(#REF!,DO$17,#REF!)*$CG34)*(SUMIF(ProductCodes,"B",$CI:$CI)/(SUMIF(ProductCodes,"B",$CH:$CH))),
IF($A34="R",(SUMIF(#REF!,DO$17,#REF!)*$CG34)*(SUMIF(ProductCodes,"R",$CI:$CI)/(SUMIF(ProductCodes,"R",$CH:$CH))),
IF($A34="H",(SUMIF(#REF!,DO$17,#REF!)*$CG34)*(SUMIF(ProductCodes,"H",$CI:$CI)/(SUMIF(ProductCodes,"H",$CH:$CH))),""))))))),"Error")</f>
        <v>Error</v>
      </c>
      <c r="DP34" s="85" t="str">
        <f>IFERROR(
IF(SUMIF(ProductCodes,"C",$CI:$CI)=$CI$782,(IF($A34="C",(SUMIF(#REF!,DP$17,#REF!)*$CG34)*((SUMIF(ProductCodes,"C",$CI:$CI)-SUMIF(ProductCodes,"H",$CH:$CH)-SUMIF(ProductCodes,"R",$CH:$CH)-SUMIF(ProductCodes,"B",$CH:$CH)-(SUMIF(ProductCodes,"S",$CH:$CH)/2))/SUMIF(ProductCodes,"C",$CH:$CH)),IF($A34="S",(SUMIF(#REF!,DP$17,#REF!)*$CG34)/2,
IF($A34="B",(SUMIF(#REF!,DP$17,#REF!)*$CG34),
IF($A34="R",(SUMIF(#REF!,DP$17,#REF!)*$CG34),
IF($A34="H",(SUMIF(#REF!,DP$17,#REF!)*$CG34),"")))))),
IF(SUMIF(ProductCodes,"S",$CI:$CI)=$CI$782,(IF($A34="S",(SUMIF(#REF!,DP$17,#REF!)*$CG34)*((SUMIF(ProductCodes,"S",$CI:$CI)-SUMIF(ProductCodes,"H",$CH:$CH)-SUMIF(ProductCodes,"R",$CH:$CH)-SUMIF(ProductCodes,"B",$CH:$CH)-(SUMIF(ProductCodes,"C",$CH:$CH)/4))/SUMIF(ProductCodes,"S",$CH:$CH)),
IF($A34="C",(SUMIF(#REF!,DP$17,#REF!)*$CG34)/4,
IF($A34="B",(SUMIF(#REF!,DP$17,#REF!)*$CG34),
IF($A34="R",(SUMIF(#REF!,DP$17,#REF!)*$CG34),
IF($A34="H",(SUMIF(#REF!,DP$17,#REF!)*$CG34),"")))))),
IF($A34="C",(SUMIF(#REF!,DP$17,#REF!)*$CG34)*(SUMIF(ProductCodes,"C",$CI:$CI)/(SUMIF(ProductCodes,"C",$CH:$CH))),
IF($A34="S",(SUMIF(#REF!,DP$17,#REF!)*$CG34)*(SUMIF(ProductCodes,"S",$CI:$CI)/(SUMIF(ProductCodes,"S",$CH:$CH))),
IF($A34="B",(SUMIF(#REF!,DP$17,#REF!)*$CG34)*(SUMIF(ProductCodes,"B",$CI:$CI)/(SUMIF(ProductCodes,"B",$CH:$CH))),
IF($A34="R",(SUMIF(#REF!,DP$17,#REF!)*$CG34)*(SUMIF(ProductCodes,"R",$CI:$CI)/(SUMIF(ProductCodes,"R",$CH:$CH))),
IF($A34="H",(SUMIF(#REF!,DP$17,#REF!)*$CG34)*(SUMIF(ProductCodes,"H",$CI:$CI)/(SUMIF(ProductCodes,"H",$CH:$CH))),""))))))),"Error")</f>
        <v>Error</v>
      </c>
      <c r="DQ34" s="9"/>
      <c r="DR34" s="9"/>
      <c r="DS34"/>
      <c r="DT34"/>
      <c r="DU34"/>
      <c r="DV34"/>
      <c r="DW34"/>
      <c r="DX34"/>
      <c r="DY34"/>
      <c r="DZ34"/>
      <c r="EA34"/>
      <c r="EB34"/>
      <c r="EC34"/>
      <c r="ED34"/>
    </row>
    <row r="35" spans="1:135" s="86" customFormat="1" ht="66.75" customHeight="1" thickBot="1" x14ac:dyDescent="0.4">
      <c r="A35" s="90" t="s">
        <v>43</v>
      </c>
      <c r="B35" s="113" t="s">
        <v>78</v>
      </c>
      <c r="C35" s="209" t="s">
        <v>44</v>
      </c>
      <c r="D35" s="210" t="s">
        <v>45</v>
      </c>
      <c r="E35" s="96"/>
      <c r="F35" s="96"/>
      <c r="G35" s="99"/>
      <c r="H35" s="97"/>
      <c r="I35" s="95"/>
      <c r="J35" s="96"/>
      <c r="K35" s="96"/>
      <c r="L35" s="97"/>
      <c r="M35" s="98"/>
      <c r="N35" s="96"/>
      <c r="O35" s="96"/>
      <c r="P35" s="99"/>
      <c r="Q35" s="98"/>
      <c r="R35" s="96"/>
      <c r="S35" s="96"/>
      <c r="T35" s="99"/>
      <c r="U35" s="97"/>
      <c r="V35" s="217"/>
      <c r="W35" s="218"/>
      <c r="X35" s="218"/>
      <c r="Y35" s="219"/>
      <c r="Z35" s="217"/>
      <c r="AA35" s="218"/>
      <c r="AB35" s="218"/>
      <c r="AC35" s="218"/>
      <c r="AD35" s="235">
        <v>10</v>
      </c>
      <c r="AE35" s="236"/>
      <c r="AF35" s="236"/>
      <c r="AG35" s="236"/>
      <c r="AH35" s="237"/>
      <c r="AI35" s="290">
        <v>10</v>
      </c>
      <c r="AJ35" s="236"/>
      <c r="AK35" s="236"/>
      <c r="AL35" s="237"/>
      <c r="AM35" s="290">
        <v>10</v>
      </c>
      <c r="AN35" s="236"/>
      <c r="AO35" s="236"/>
      <c r="AP35" s="236"/>
      <c r="AQ35" s="237"/>
      <c r="AR35" s="290">
        <v>10</v>
      </c>
      <c r="AS35" s="236"/>
      <c r="AT35" s="236"/>
      <c r="AU35" s="237"/>
      <c r="AV35" s="290">
        <v>10</v>
      </c>
      <c r="AW35" s="236"/>
      <c r="AX35" s="236"/>
      <c r="AY35" s="237"/>
      <c r="AZ35" s="290">
        <v>10</v>
      </c>
      <c r="BA35" s="236"/>
      <c r="BB35" s="236"/>
      <c r="BC35" s="236"/>
      <c r="BD35" s="237"/>
      <c r="BE35" s="290">
        <v>10</v>
      </c>
      <c r="BF35" s="236"/>
      <c r="BG35" s="236"/>
      <c r="BH35" s="237"/>
      <c r="BI35" s="290">
        <v>10</v>
      </c>
      <c r="BJ35" s="236"/>
      <c r="BK35" s="236"/>
      <c r="BL35" s="237"/>
      <c r="BM35" s="290">
        <v>10</v>
      </c>
      <c r="BN35" s="236"/>
      <c r="BO35" s="236"/>
      <c r="BP35" s="236"/>
      <c r="BQ35" s="237"/>
      <c r="BR35" s="290">
        <v>10</v>
      </c>
      <c r="BS35" s="236"/>
      <c r="BT35" s="236"/>
      <c r="BU35" s="237"/>
      <c r="BV35" s="290">
        <v>10</v>
      </c>
      <c r="BW35" s="236"/>
      <c r="BX35" s="236"/>
      <c r="BY35" s="237"/>
      <c r="BZ35" s="290">
        <v>10</v>
      </c>
      <c r="CA35" s="236"/>
      <c r="CB35" s="236"/>
      <c r="CC35" s="237"/>
      <c r="CD35" s="187">
        <v>1</v>
      </c>
      <c r="CE35" s="188">
        <f t="shared" si="33"/>
        <v>120</v>
      </c>
      <c r="CF35" s="188">
        <f t="shared" si="31"/>
        <v>120</v>
      </c>
      <c r="CG35" s="189">
        <v>140</v>
      </c>
      <c r="CH35" s="213">
        <f t="shared" si="32"/>
        <v>16800</v>
      </c>
      <c r="CI35" s="240"/>
      <c r="CJ35" s="91"/>
      <c r="CK35" s="91"/>
      <c r="CL35" s="91"/>
      <c r="CM35" s="92"/>
      <c r="CN35" s="92">
        <f t="shared" si="36"/>
        <v>0</v>
      </c>
      <c r="CO35" s="93"/>
      <c r="CP35" s="75"/>
      <c r="CQ35" s="75"/>
      <c r="CR35" s="83"/>
      <c r="CS35" s="84" t="str">
        <f>IFERROR(
IF(SUMIF(ProductCodes,"C",$CI:$CI)=$CI$782,(IF($A35="C",(SUMIF(#REF!,CS$17,#REF!)*$CG35)*((SUMIF(ProductCodes,"C",$CI:$CI)-SUMIF(ProductCodes,"H",$CH:$CH)-SUMIF(ProductCodes,"R",$CH:$CH)-SUMIF(ProductCodes,"B",$CH:$CH)-(SUMIF(ProductCodes,"S",$CH:$CH)/2))/SUMIF(ProductCodes,"C",$CH:$CH)),IF($A35="S",(SUMIF(#REF!,CS$17,#REF!)*$CG35)/2,
IF($A35="B",(SUMIF(#REF!,CS$17,#REF!)*$CG35),
IF($A35="R",(SUMIF(#REF!,CS$17,#REF!)*$CG35),
IF($A35="H",(SUMIF(#REF!,CS$17,#REF!)*$CG35),"")))))),
IF(SUMIF(ProductCodes,"S",$CI:$CI)=$CI$782,(IF($A35="S",(SUMIF(#REF!,CS$17,#REF!)*$CG35)*((SUMIF(ProductCodes,"S",$CI:$CI)-SUMIF(ProductCodes,"H",$CH:$CH)-SUMIF(ProductCodes,"R",$CH:$CH)-SUMIF(ProductCodes,"B",$CH:$CH)-(SUMIF(ProductCodes,"C",$CH:$CH)/4))/SUMIF(ProductCodes,"S",$CH:$CH)),
IF($A35="C",(SUMIF(#REF!,CS$17,#REF!)*$CG35)/4,
IF($A35="B",(SUMIF(#REF!,CS$17,#REF!)*$CG35),
IF($A35="R",(SUMIF(#REF!,CS$17,#REF!)*$CG35),
IF($A35="H",(SUMIF(#REF!,CS$17,#REF!)*$CG35),"")))))),
IF($A35="C",(SUMIF(#REF!,CS$17,#REF!)*$CG35)*(SUMIF(ProductCodes,"C",$CI:$CI)/(SUMIF(ProductCodes,"C",$CH:$CH))),
IF($A35="S",(SUMIF(#REF!,CS$17,#REF!)*$CG35)*(SUMIF(ProductCodes,"S",$CI:$CI)/(SUMIF(ProductCodes,"S",$CH:$CH))),
IF($A35="B",(SUMIF(#REF!,CS$17,#REF!)*$CG35)*(SUMIF(ProductCodes,"B",$CI:$CI)/(SUMIF(ProductCodes,"B",$CH:$CH))),
IF($A35="R",(SUMIF(#REF!,CS$17,#REF!)*$CG35)*(SUMIF(ProductCodes,"R",$CI:$CI)/(SUMIF(ProductCodes,"R",$CH:$CH))),
IF($A35="H",(SUMIF(#REF!,CS$17,#REF!)*$CG35)*(SUMIF(ProductCodes,"H",$CI:$CI)/(SUMIF(ProductCodes,"H",$CH:$CH))),""))))))),"Error")</f>
        <v>Error</v>
      </c>
      <c r="CT35" s="84" t="str">
        <f>IFERROR(
IF(SUMIF(ProductCodes,"C",$CI:$CI)=$CI$782,(IF($A35="C",(SUMIF(#REF!,CT$17,#REF!)*$CG35)*((SUMIF(ProductCodes,"C",$CI:$CI)-SUMIF(ProductCodes,"H",$CH:$CH)-SUMIF(ProductCodes,"R",$CH:$CH)-SUMIF(ProductCodes,"B",$CH:$CH)-(SUMIF(ProductCodes,"S",$CH:$CH)/2))/SUMIF(ProductCodes,"C",$CH:$CH)),IF($A35="S",(SUMIF(#REF!,CT$17,#REF!)*$CG35)/2,
IF($A35="B",(SUMIF(#REF!,CT$17,#REF!)*$CG35),
IF($A35="R",(SUMIF(#REF!,CT$17,#REF!)*$CG35),
IF($A35="H",(SUMIF(#REF!,CT$17,#REF!)*$CG35),"")))))),
IF(SUMIF(ProductCodes,"S",$CI:$CI)=$CI$782,(IF($A35="S",(SUMIF(#REF!,CT$17,#REF!)*$CG35)*((SUMIF(ProductCodes,"S",$CI:$CI)-SUMIF(ProductCodes,"H",$CH:$CH)-SUMIF(ProductCodes,"R",$CH:$CH)-SUMIF(ProductCodes,"B",$CH:$CH)-(SUMIF(ProductCodes,"C",$CH:$CH)/4))/SUMIF(ProductCodes,"S",$CH:$CH)),
IF($A35="C",(SUMIF(#REF!,CT$17,#REF!)*$CG35)/4,
IF($A35="B",(SUMIF(#REF!,CT$17,#REF!)*$CG35),
IF($A35="R",(SUMIF(#REF!,CT$17,#REF!)*$CG35),
IF($A35="H",(SUMIF(#REF!,CT$17,#REF!)*$CG35),"")))))),
IF($A35="C",(SUMIF(#REF!,CT$17,#REF!)*$CG35)*(SUMIF(ProductCodes,"C",$CI:$CI)/(SUMIF(ProductCodes,"C",$CH:$CH))),
IF($A35="S",(SUMIF(#REF!,CT$17,#REF!)*$CG35)*(SUMIF(ProductCodes,"S",$CI:$CI)/(SUMIF(ProductCodes,"S",$CH:$CH))),
IF($A35="B",(SUMIF(#REF!,CT$17,#REF!)*$CG35)*(SUMIF(ProductCodes,"B",$CI:$CI)/(SUMIF(ProductCodes,"B",$CH:$CH))),
IF($A35="R",(SUMIF(#REF!,CT$17,#REF!)*$CG35)*(SUMIF(ProductCodes,"R",$CI:$CI)/(SUMIF(ProductCodes,"R",$CH:$CH))),
IF($A35="H",(SUMIF(#REF!,CT$17,#REF!)*$CG35)*(SUMIF(ProductCodes,"H",$CI:$CI)/(SUMIF(ProductCodes,"H",$CH:$CH))),""))))))),"Error")</f>
        <v>Error</v>
      </c>
      <c r="CU35" s="84" t="str">
        <f>IFERROR(
IF(SUMIF(ProductCodes,"C",$CI:$CI)=$CI$782,(IF($A35="C",(SUMIF(#REF!,CU$17,#REF!)*$CG35)*((SUMIF(ProductCodes,"C",$CI:$CI)-SUMIF(ProductCodes,"H",$CH:$CH)-SUMIF(ProductCodes,"R",$CH:$CH)-SUMIF(ProductCodes,"B",$CH:$CH)-(SUMIF(ProductCodes,"S",$CH:$CH)/2))/SUMIF(ProductCodes,"C",$CH:$CH)),IF($A35="S",(SUMIF(#REF!,CU$17,#REF!)*$CG35)/2,
IF($A35="B",(SUMIF(#REF!,CU$17,#REF!)*$CG35),
IF($A35="R",(SUMIF(#REF!,CU$17,#REF!)*$CG35),
IF($A35="H",(SUMIF(#REF!,CU$17,#REF!)*$CG35),"")))))),
IF(SUMIF(ProductCodes,"S",$CI:$CI)=$CI$782,(IF($A35="S",(SUMIF(#REF!,CU$17,#REF!)*$CG35)*((SUMIF(ProductCodes,"S",$CI:$CI)-SUMIF(ProductCodes,"H",$CH:$CH)-SUMIF(ProductCodes,"R",$CH:$CH)-SUMIF(ProductCodes,"B",$CH:$CH)-(SUMIF(ProductCodes,"C",$CH:$CH)/4))/SUMIF(ProductCodes,"S",$CH:$CH)),
IF($A35="C",(SUMIF(#REF!,CU$17,#REF!)*$CG35)/4,
IF($A35="B",(SUMIF(#REF!,CU$17,#REF!)*$CG35),
IF($A35="R",(SUMIF(#REF!,CU$17,#REF!)*$CG35),
IF($A35="H",(SUMIF(#REF!,CU$17,#REF!)*$CG35),"")))))),
IF($A35="C",(SUMIF(#REF!,CU$17,#REF!)*$CG35)*(SUMIF(ProductCodes,"C",$CI:$CI)/(SUMIF(ProductCodes,"C",$CH:$CH))),
IF($A35="S",(SUMIF(#REF!,CU$17,#REF!)*$CG35)*(SUMIF(ProductCodes,"S",$CI:$CI)/(SUMIF(ProductCodes,"S",$CH:$CH))),
IF($A35="B",(SUMIF(#REF!,CU$17,#REF!)*$CG35)*(SUMIF(ProductCodes,"B",$CI:$CI)/(SUMIF(ProductCodes,"B",$CH:$CH))),
IF($A35="R",(SUMIF(#REF!,CU$17,#REF!)*$CG35)*(SUMIF(ProductCodes,"R",$CI:$CI)/(SUMIF(ProductCodes,"R",$CH:$CH))),
IF($A35="H",(SUMIF(#REF!,CU$17,#REF!)*$CG35)*(SUMIF(ProductCodes,"H",$CI:$CI)/(SUMIF(ProductCodes,"H",$CH:$CH))),""))))))),"Error")</f>
        <v>Error</v>
      </c>
      <c r="CV35" s="84" t="str">
        <f>IFERROR(
IF(SUMIF(ProductCodes,"C",$CI:$CI)=$CI$782,(IF($A35="C",(SUMIF(#REF!,CV$17,#REF!)*$CG35)*((SUMIF(ProductCodes,"C",$CI:$CI)-SUMIF(ProductCodes,"H",$CH:$CH)-SUMIF(ProductCodes,"R",$CH:$CH)-SUMIF(ProductCodes,"B",$CH:$CH)-(SUMIF(ProductCodes,"S",$CH:$CH)/2))/SUMIF(ProductCodes,"C",$CH:$CH)),IF($A35="S",(SUMIF(#REF!,CV$17,#REF!)*$CG35)/2,
IF($A35="B",(SUMIF(#REF!,CV$17,#REF!)*$CG35),
IF($A35="R",(SUMIF(#REF!,CV$17,#REF!)*$CG35),
IF($A35="H",(SUMIF(#REF!,CV$17,#REF!)*$CG35),"")))))),
IF(SUMIF(ProductCodes,"S",$CI:$CI)=$CI$782,(IF($A35="S",(SUMIF(#REF!,CV$17,#REF!)*$CG35)*((SUMIF(ProductCodes,"S",$CI:$CI)-SUMIF(ProductCodes,"H",$CH:$CH)-SUMIF(ProductCodes,"R",$CH:$CH)-SUMIF(ProductCodes,"B",$CH:$CH)-(SUMIF(ProductCodes,"C",$CH:$CH)/4))/SUMIF(ProductCodes,"S",$CH:$CH)),
IF($A35="C",(SUMIF(#REF!,CV$17,#REF!)*$CG35)/4,
IF($A35="B",(SUMIF(#REF!,CV$17,#REF!)*$CG35),
IF($A35="R",(SUMIF(#REF!,CV$17,#REF!)*$CG35),
IF($A35="H",(SUMIF(#REF!,CV$17,#REF!)*$CG35),"")))))),
IF($A35="C",(SUMIF(#REF!,CV$17,#REF!)*$CG35)*(SUMIF(ProductCodes,"C",$CI:$CI)/(SUMIF(ProductCodes,"C",$CH:$CH))),
IF($A35="S",(SUMIF(#REF!,CV$17,#REF!)*$CG35)*(SUMIF(ProductCodes,"S",$CI:$CI)/(SUMIF(ProductCodes,"S",$CH:$CH))),
IF($A35="B",(SUMIF(#REF!,CV$17,#REF!)*$CG35)*(SUMIF(ProductCodes,"B",$CI:$CI)/(SUMIF(ProductCodes,"B",$CH:$CH))),
IF($A35="R",(SUMIF(#REF!,CV$17,#REF!)*$CG35)*(SUMIF(ProductCodes,"R",$CI:$CI)/(SUMIF(ProductCodes,"R",$CH:$CH))),
IF($A35="H",(SUMIF(#REF!,CV$17,#REF!)*$CG35)*(SUMIF(ProductCodes,"H",$CI:$CI)/(SUMIF(ProductCodes,"H",$CH:$CH))),""))))))),"Error")</f>
        <v>Error</v>
      </c>
      <c r="CW35" s="84" t="str">
        <f>IFERROR(
IF(SUMIF(ProductCodes,"C",$CI:$CI)=$CI$782,(IF($A35="C",(SUMIF(#REF!,CW$17,#REF!)*$CG35)*((SUMIF(ProductCodes,"C",$CI:$CI)-SUMIF(ProductCodes,"H",$CH:$CH)-SUMIF(ProductCodes,"R",$CH:$CH)-SUMIF(ProductCodes,"B",$CH:$CH)-(SUMIF(ProductCodes,"S",$CH:$CH)/2))/SUMIF(ProductCodes,"C",$CH:$CH)),IF($A35="S",(SUMIF(#REF!,CW$17,#REF!)*$CG35)/2,
IF($A35="B",(SUMIF(#REF!,CW$17,#REF!)*$CG35),
IF($A35="R",(SUMIF(#REF!,CW$17,#REF!)*$CG35),
IF($A35="H",(SUMIF(#REF!,CW$17,#REF!)*$CG35),"")))))),
IF(SUMIF(ProductCodes,"S",$CI:$CI)=$CI$782,(IF($A35="S",(SUMIF(#REF!,CW$17,#REF!)*$CG35)*((SUMIF(ProductCodes,"S",$CI:$CI)-SUMIF(ProductCodes,"H",$CH:$CH)-SUMIF(ProductCodes,"R",$CH:$CH)-SUMIF(ProductCodes,"B",$CH:$CH)-(SUMIF(ProductCodes,"C",$CH:$CH)/4))/SUMIF(ProductCodes,"S",$CH:$CH)),
IF($A35="C",(SUMIF(#REF!,CW$17,#REF!)*$CG35)/4,
IF($A35="B",(SUMIF(#REF!,CW$17,#REF!)*$CG35),
IF($A35="R",(SUMIF(#REF!,CW$17,#REF!)*$CG35),
IF($A35="H",(SUMIF(#REF!,CW$17,#REF!)*$CG35),"")))))),
IF($A35="C",(SUMIF(#REF!,CW$17,#REF!)*$CG35)*(SUMIF(ProductCodes,"C",$CI:$CI)/(SUMIF(ProductCodes,"C",$CH:$CH))),
IF($A35="S",(SUMIF(#REF!,CW$17,#REF!)*$CG35)*(SUMIF(ProductCodes,"S",$CI:$CI)/(SUMIF(ProductCodes,"S",$CH:$CH))),
IF($A35="B",(SUMIF(#REF!,CW$17,#REF!)*$CG35)*(SUMIF(ProductCodes,"B",$CI:$CI)/(SUMIF(ProductCodes,"B",$CH:$CH))),
IF($A35="R",(SUMIF(#REF!,CW$17,#REF!)*$CG35)*(SUMIF(ProductCodes,"R",$CI:$CI)/(SUMIF(ProductCodes,"R",$CH:$CH))),
IF($A35="H",(SUMIF(#REF!,CW$17,#REF!)*$CG35)*(SUMIF(ProductCodes,"H",$CI:$CI)/(SUMIF(ProductCodes,"H",$CH:$CH))),""))))))),"Error")</f>
        <v>Error</v>
      </c>
      <c r="CX35" s="84" t="str">
        <f>IFERROR(
IF(SUMIF(ProductCodes,"C",$CI:$CI)=$CI$782,(IF($A35="C",(SUMIF(#REF!,CX$17,#REF!)*$CG35)*((SUMIF(ProductCodes,"C",$CI:$CI)-SUMIF(ProductCodes,"H",$CH:$CH)-SUMIF(ProductCodes,"R",$CH:$CH)-SUMIF(ProductCodes,"B",$CH:$CH)-(SUMIF(ProductCodes,"S",$CH:$CH)/2))/SUMIF(ProductCodes,"C",$CH:$CH)),IF($A35="S",(SUMIF(#REF!,CX$17,#REF!)*$CG35)/2,
IF($A35="B",(SUMIF(#REF!,CX$17,#REF!)*$CG35),
IF($A35="R",(SUMIF(#REF!,CX$17,#REF!)*$CG35),
IF($A35="H",(SUMIF(#REF!,CX$17,#REF!)*$CG35),"")))))),
IF(SUMIF(ProductCodes,"S",$CI:$CI)=$CI$782,(IF($A35="S",(SUMIF(#REF!,CX$17,#REF!)*$CG35)*((SUMIF(ProductCodes,"S",$CI:$CI)-SUMIF(ProductCodes,"H",$CH:$CH)-SUMIF(ProductCodes,"R",$CH:$CH)-SUMIF(ProductCodes,"B",$CH:$CH)-(SUMIF(ProductCodes,"C",$CH:$CH)/4))/SUMIF(ProductCodes,"S",$CH:$CH)),
IF($A35="C",(SUMIF(#REF!,CX$17,#REF!)*$CG35)/4,
IF($A35="B",(SUMIF(#REF!,CX$17,#REF!)*$CG35),
IF($A35="R",(SUMIF(#REF!,CX$17,#REF!)*$CG35),
IF($A35="H",(SUMIF(#REF!,CX$17,#REF!)*$CG35),"")))))),
IF($A35="C",(SUMIF(#REF!,CX$17,#REF!)*$CG35)*(SUMIF(ProductCodes,"C",$CI:$CI)/(SUMIF(ProductCodes,"C",$CH:$CH))),
IF($A35="S",(SUMIF(#REF!,CX$17,#REF!)*$CG35)*(SUMIF(ProductCodes,"S",$CI:$CI)/(SUMIF(ProductCodes,"S",$CH:$CH))),
IF($A35="B",(SUMIF(#REF!,CX$17,#REF!)*$CG35)*(SUMIF(ProductCodes,"B",$CI:$CI)/(SUMIF(ProductCodes,"B",$CH:$CH))),
IF($A35="R",(SUMIF(#REF!,CX$17,#REF!)*$CG35)*(SUMIF(ProductCodes,"R",$CI:$CI)/(SUMIF(ProductCodes,"R",$CH:$CH))),
IF($A35="H",(SUMIF(#REF!,CX$17,#REF!)*$CG35)*(SUMIF(ProductCodes,"H",$CI:$CI)/(SUMIF(ProductCodes,"H",$CH:$CH))),""))))))),"Error")</f>
        <v>Error</v>
      </c>
      <c r="CY35" s="84" t="str">
        <f>IFERROR(
IF(SUMIF(ProductCodes,"C",$CI:$CI)=$CI$782,(IF($A35="C",(SUMIF(#REF!,CY$17,#REF!)*$CG35)*((SUMIF(ProductCodes,"C",$CI:$CI)-SUMIF(ProductCodes,"H",$CH:$CH)-SUMIF(ProductCodes,"R",$CH:$CH)-SUMIF(ProductCodes,"B",$CH:$CH)-(SUMIF(ProductCodes,"S",$CH:$CH)/2))/SUMIF(ProductCodes,"C",$CH:$CH)),IF($A35="S",(SUMIF(#REF!,CY$17,#REF!)*$CG35)/2,
IF($A35="B",(SUMIF(#REF!,CY$17,#REF!)*$CG35),
IF($A35="R",(SUMIF(#REF!,CY$17,#REF!)*$CG35),
IF($A35="H",(SUMIF(#REF!,CY$17,#REF!)*$CG35),"")))))),
IF(SUMIF(ProductCodes,"S",$CI:$CI)=$CI$782,(IF($A35="S",(SUMIF(#REF!,CY$17,#REF!)*$CG35)*((SUMIF(ProductCodes,"S",$CI:$CI)-SUMIF(ProductCodes,"H",$CH:$CH)-SUMIF(ProductCodes,"R",$CH:$CH)-SUMIF(ProductCodes,"B",$CH:$CH)-(SUMIF(ProductCodes,"C",$CH:$CH)/4))/SUMIF(ProductCodes,"S",$CH:$CH)),
IF($A35="C",(SUMIF(#REF!,CY$17,#REF!)*$CG35)/4,
IF($A35="B",(SUMIF(#REF!,CY$17,#REF!)*$CG35),
IF($A35="R",(SUMIF(#REF!,CY$17,#REF!)*$CG35),
IF($A35="H",(SUMIF(#REF!,CY$17,#REF!)*$CG35),"")))))),
IF($A35="C",(SUMIF(#REF!,CY$17,#REF!)*$CG35)*(SUMIF(ProductCodes,"C",$CI:$CI)/(SUMIF(ProductCodes,"C",$CH:$CH))),
IF($A35="S",(SUMIF(#REF!,CY$17,#REF!)*$CG35)*(SUMIF(ProductCodes,"S",$CI:$CI)/(SUMIF(ProductCodes,"S",$CH:$CH))),
IF($A35="B",(SUMIF(#REF!,CY$17,#REF!)*$CG35)*(SUMIF(ProductCodes,"B",$CI:$CI)/(SUMIF(ProductCodes,"B",$CH:$CH))),
IF($A35="R",(SUMIF(#REF!,CY$17,#REF!)*$CG35)*(SUMIF(ProductCodes,"R",$CI:$CI)/(SUMIF(ProductCodes,"R",$CH:$CH))),
IF($A35="H",(SUMIF(#REF!,CY$17,#REF!)*$CG35)*(SUMIF(ProductCodes,"H",$CI:$CI)/(SUMIF(ProductCodes,"H",$CH:$CH))),""))))))),"Error")</f>
        <v>Error</v>
      </c>
      <c r="CZ35" s="84" t="str">
        <f>IFERROR(
IF(SUMIF(ProductCodes,"C",$CI:$CI)=$CI$782,(IF($A35="C",(SUMIF(#REF!,CZ$17,#REF!)*$CG35)*((SUMIF(ProductCodes,"C",$CI:$CI)-SUMIF(ProductCodes,"H",$CH:$CH)-SUMIF(ProductCodes,"R",$CH:$CH)-SUMIF(ProductCodes,"B",$CH:$CH)-(SUMIF(ProductCodes,"S",$CH:$CH)/2))/SUMIF(ProductCodes,"C",$CH:$CH)),IF($A35="S",(SUMIF(#REF!,CZ$17,#REF!)*$CG35)/2,
IF($A35="B",(SUMIF(#REF!,CZ$17,#REF!)*$CG35),
IF($A35="R",(SUMIF(#REF!,CZ$17,#REF!)*$CG35),
IF($A35="H",(SUMIF(#REF!,CZ$17,#REF!)*$CG35),"")))))),
IF(SUMIF(ProductCodes,"S",$CI:$CI)=$CI$782,(IF($A35="S",(SUMIF(#REF!,CZ$17,#REF!)*$CG35)*((SUMIF(ProductCodes,"S",$CI:$CI)-SUMIF(ProductCodes,"H",$CH:$CH)-SUMIF(ProductCodes,"R",$CH:$CH)-SUMIF(ProductCodes,"B",$CH:$CH)-(SUMIF(ProductCodes,"C",$CH:$CH)/4))/SUMIF(ProductCodes,"S",$CH:$CH)),
IF($A35="C",(SUMIF(#REF!,CZ$17,#REF!)*$CG35)/4,
IF($A35="B",(SUMIF(#REF!,CZ$17,#REF!)*$CG35),
IF($A35="R",(SUMIF(#REF!,CZ$17,#REF!)*$CG35),
IF($A35="H",(SUMIF(#REF!,CZ$17,#REF!)*$CG35),"")))))),
IF($A35="C",(SUMIF(#REF!,CZ$17,#REF!)*$CG35)*(SUMIF(ProductCodes,"C",$CI:$CI)/(SUMIF(ProductCodes,"C",$CH:$CH))),
IF($A35="S",(SUMIF(#REF!,CZ$17,#REF!)*$CG35)*(SUMIF(ProductCodes,"S",$CI:$CI)/(SUMIF(ProductCodes,"S",$CH:$CH))),
IF($A35="B",(SUMIF(#REF!,CZ$17,#REF!)*$CG35)*(SUMIF(ProductCodes,"B",$CI:$CI)/(SUMIF(ProductCodes,"B",$CH:$CH))),
IF($A35="R",(SUMIF(#REF!,CZ$17,#REF!)*$CG35)*(SUMIF(ProductCodes,"R",$CI:$CI)/(SUMIF(ProductCodes,"R",$CH:$CH))),
IF($A35="H",(SUMIF(#REF!,CZ$17,#REF!)*$CG35)*(SUMIF(ProductCodes,"H",$CI:$CI)/(SUMIF(ProductCodes,"H",$CH:$CH))),""))))))),"Error")</f>
        <v>Error</v>
      </c>
      <c r="DA35" s="84" t="str">
        <f>IFERROR(
IF(SUMIF(ProductCodes,"C",$CI:$CI)=$CI$782,(IF($A35="C",(SUMIF(#REF!,DA$17,#REF!)*$CG35)*((SUMIF(ProductCodes,"C",$CI:$CI)-SUMIF(ProductCodes,"H",$CH:$CH)-SUMIF(ProductCodes,"R",$CH:$CH)-SUMIF(ProductCodes,"B",$CH:$CH)-(SUMIF(ProductCodes,"S",$CH:$CH)/2))/SUMIF(ProductCodes,"C",$CH:$CH)),IF($A35="S",(SUMIF(#REF!,DA$17,#REF!)*$CG35)/2,
IF($A35="B",(SUMIF(#REF!,DA$17,#REF!)*$CG35),
IF($A35="R",(SUMIF(#REF!,DA$17,#REF!)*$CG35),
IF($A35="H",(SUMIF(#REF!,DA$17,#REF!)*$CG35),"")))))),
IF(SUMIF(ProductCodes,"S",$CI:$CI)=$CI$782,(IF($A35="S",(SUMIF(#REF!,DA$17,#REF!)*$CG35)*((SUMIF(ProductCodes,"S",$CI:$CI)-SUMIF(ProductCodes,"H",$CH:$CH)-SUMIF(ProductCodes,"R",$CH:$CH)-SUMIF(ProductCodes,"B",$CH:$CH)-(SUMIF(ProductCodes,"C",$CH:$CH)/4))/SUMIF(ProductCodes,"S",$CH:$CH)),
IF($A35="C",(SUMIF(#REF!,DA$17,#REF!)*$CG35)/4,
IF($A35="B",(SUMIF(#REF!,DA$17,#REF!)*$CG35),
IF($A35="R",(SUMIF(#REF!,DA$17,#REF!)*$CG35),
IF($A35="H",(SUMIF(#REF!,DA$17,#REF!)*$CG35),"")))))),
IF($A35="C",(SUMIF(#REF!,DA$17,#REF!)*$CG35)*(SUMIF(ProductCodes,"C",$CI:$CI)/(SUMIF(ProductCodes,"C",$CH:$CH))),
IF($A35="S",(SUMIF(#REF!,DA$17,#REF!)*$CG35)*(SUMIF(ProductCodes,"S",$CI:$CI)/(SUMIF(ProductCodes,"S",$CH:$CH))),
IF($A35="B",(SUMIF(#REF!,DA$17,#REF!)*$CG35)*(SUMIF(ProductCodes,"B",$CI:$CI)/(SUMIF(ProductCodes,"B",$CH:$CH))),
IF($A35="R",(SUMIF(#REF!,DA$17,#REF!)*$CG35)*(SUMIF(ProductCodes,"R",$CI:$CI)/(SUMIF(ProductCodes,"R",$CH:$CH))),
IF($A35="H",(SUMIF(#REF!,DA$17,#REF!)*$CG35)*(SUMIF(ProductCodes,"H",$CI:$CI)/(SUMIF(ProductCodes,"H",$CH:$CH))),""))))))),"Error")</f>
        <v>Error</v>
      </c>
      <c r="DB35" s="84" t="str">
        <f>IFERROR(
IF(SUMIF(ProductCodes,"C",$CI:$CI)=$CI$782,(IF($A35="C",(SUMIF(#REF!,DB$17,#REF!)*$CG35)*((SUMIF(ProductCodes,"C",$CI:$CI)-SUMIF(ProductCodes,"H",$CH:$CH)-SUMIF(ProductCodes,"R",$CH:$CH)-SUMIF(ProductCodes,"B",$CH:$CH)-(SUMIF(ProductCodes,"S",$CH:$CH)/2))/SUMIF(ProductCodes,"C",$CH:$CH)),IF($A35="S",(SUMIF(#REF!,DB$17,#REF!)*$CG35)/2,
IF($A35="B",(SUMIF(#REF!,DB$17,#REF!)*$CG35),
IF($A35="R",(SUMIF(#REF!,DB$17,#REF!)*$CG35),
IF($A35="H",(SUMIF(#REF!,DB$17,#REF!)*$CG35),"")))))),
IF(SUMIF(ProductCodes,"S",$CI:$CI)=$CI$782,(IF($A35="S",(SUMIF(#REF!,DB$17,#REF!)*$CG35)*((SUMIF(ProductCodes,"S",$CI:$CI)-SUMIF(ProductCodes,"H",$CH:$CH)-SUMIF(ProductCodes,"R",$CH:$CH)-SUMIF(ProductCodes,"B",$CH:$CH)-(SUMIF(ProductCodes,"C",$CH:$CH)/4))/SUMIF(ProductCodes,"S",$CH:$CH)),
IF($A35="C",(SUMIF(#REF!,DB$17,#REF!)*$CG35)/4,
IF($A35="B",(SUMIF(#REF!,DB$17,#REF!)*$CG35),
IF($A35="R",(SUMIF(#REF!,DB$17,#REF!)*$CG35),
IF($A35="H",(SUMIF(#REF!,DB$17,#REF!)*$CG35),"")))))),
IF($A35="C",(SUMIF(#REF!,DB$17,#REF!)*$CG35)*(SUMIF(ProductCodes,"C",$CI:$CI)/(SUMIF(ProductCodes,"C",$CH:$CH))),
IF($A35="S",(SUMIF(#REF!,DB$17,#REF!)*$CG35)*(SUMIF(ProductCodes,"S",$CI:$CI)/(SUMIF(ProductCodes,"S",$CH:$CH))),
IF($A35="B",(SUMIF(#REF!,DB$17,#REF!)*$CG35)*(SUMIF(ProductCodes,"B",$CI:$CI)/(SUMIF(ProductCodes,"B",$CH:$CH))),
IF($A35="R",(SUMIF(#REF!,DB$17,#REF!)*$CG35)*(SUMIF(ProductCodes,"R",$CI:$CI)/(SUMIF(ProductCodes,"R",$CH:$CH))),
IF($A35="H",(SUMIF(#REF!,DB$17,#REF!)*$CG35)*(SUMIF(ProductCodes,"H",$CI:$CI)/(SUMIF(ProductCodes,"H",$CH:$CH))),""))))))),"Error")</f>
        <v>Error</v>
      </c>
      <c r="DC35" s="84" t="str">
        <f>IFERROR(
IF(SUMIF(ProductCodes,"C",$CI:$CI)=$CI$782,(IF($A35="C",(SUMIF(#REF!,DC$17,#REF!)*$CG35)*((SUMIF(ProductCodes,"C",$CI:$CI)-SUMIF(ProductCodes,"H",$CH:$CH)-SUMIF(ProductCodes,"R",$CH:$CH)-SUMIF(ProductCodes,"B",$CH:$CH)-(SUMIF(ProductCodes,"S",$CH:$CH)/2))/SUMIF(ProductCodes,"C",$CH:$CH)),IF($A35="S",(SUMIF(#REF!,DC$17,#REF!)*$CG35)/2,
IF($A35="B",(SUMIF(#REF!,DC$17,#REF!)*$CG35),
IF($A35="R",(SUMIF(#REF!,DC$17,#REF!)*$CG35),
IF($A35="H",(SUMIF(#REF!,DC$17,#REF!)*$CG35),"")))))),
IF(SUMIF(ProductCodes,"S",$CI:$CI)=$CI$782,(IF($A35="S",(SUMIF(#REF!,DC$17,#REF!)*$CG35)*((SUMIF(ProductCodes,"S",$CI:$CI)-SUMIF(ProductCodes,"H",$CH:$CH)-SUMIF(ProductCodes,"R",$CH:$CH)-SUMIF(ProductCodes,"B",$CH:$CH)-(SUMIF(ProductCodes,"C",$CH:$CH)/4))/SUMIF(ProductCodes,"S",$CH:$CH)),
IF($A35="C",(SUMIF(#REF!,DC$17,#REF!)*$CG35)/4,
IF($A35="B",(SUMIF(#REF!,DC$17,#REF!)*$CG35),
IF($A35="R",(SUMIF(#REF!,DC$17,#REF!)*$CG35),
IF($A35="H",(SUMIF(#REF!,DC$17,#REF!)*$CG35),"")))))),
IF($A35="C",(SUMIF(#REF!,DC$17,#REF!)*$CG35)*(SUMIF(ProductCodes,"C",$CI:$CI)/(SUMIF(ProductCodes,"C",$CH:$CH))),
IF($A35="S",(SUMIF(#REF!,DC$17,#REF!)*$CG35)*(SUMIF(ProductCodes,"S",$CI:$CI)/(SUMIF(ProductCodes,"S",$CH:$CH))),
IF($A35="B",(SUMIF(#REF!,DC$17,#REF!)*$CG35)*(SUMIF(ProductCodes,"B",$CI:$CI)/(SUMIF(ProductCodes,"B",$CH:$CH))),
IF($A35="R",(SUMIF(#REF!,DC$17,#REF!)*$CG35)*(SUMIF(ProductCodes,"R",$CI:$CI)/(SUMIF(ProductCodes,"R",$CH:$CH))),
IF($A35="H",(SUMIF(#REF!,DC$17,#REF!)*$CG35)*(SUMIF(ProductCodes,"H",$CI:$CI)/(SUMIF(ProductCodes,"H",$CH:$CH))),""))))))),"Error")</f>
        <v>Error</v>
      </c>
      <c r="DD35" s="84" t="str">
        <f>IFERROR(
IF(SUMIF(ProductCodes,"C",$CI:$CI)=$CI$782,(IF($A35="C",(SUMIF(#REF!,DD$17,#REF!)*$CG35)*((SUMIF(ProductCodes,"C",$CI:$CI)-SUMIF(ProductCodes,"H",$CH:$CH)-SUMIF(ProductCodes,"R",$CH:$CH)-SUMIF(ProductCodes,"B",$CH:$CH)-(SUMIF(ProductCodes,"S",$CH:$CH)/2))/SUMIF(ProductCodes,"C",$CH:$CH)),IF($A35="S",(SUMIF(#REF!,DD$17,#REF!)*$CG35)/2,
IF($A35="B",(SUMIF(#REF!,DD$17,#REF!)*$CG35),
IF($A35="R",(SUMIF(#REF!,DD$17,#REF!)*$CG35),
IF($A35="H",(SUMIF(#REF!,DD$17,#REF!)*$CG35),"")))))),
IF(SUMIF(ProductCodes,"S",$CI:$CI)=$CI$782,(IF($A35="S",(SUMIF(#REF!,DD$17,#REF!)*$CG35)*((SUMIF(ProductCodes,"S",$CI:$CI)-SUMIF(ProductCodes,"H",$CH:$CH)-SUMIF(ProductCodes,"R",$CH:$CH)-SUMIF(ProductCodes,"B",$CH:$CH)-(SUMIF(ProductCodes,"C",$CH:$CH)/4))/SUMIF(ProductCodes,"S",$CH:$CH)),
IF($A35="C",(SUMIF(#REF!,DD$17,#REF!)*$CG35)/4,
IF($A35="B",(SUMIF(#REF!,DD$17,#REF!)*$CG35),
IF($A35="R",(SUMIF(#REF!,DD$17,#REF!)*$CG35),
IF($A35="H",(SUMIF(#REF!,DD$17,#REF!)*$CG35),"")))))),
IF($A35="C",(SUMIF(#REF!,DD$17,#REF!)*$CG35)*(SUMIF(ProductCodes,"C",$CI:$CI)/(SUMIF(ProductCodes,"C",$CH:$CH))),
IF($A35="S",(SUMIF(#REF!,DD$17,#REF!)*$CG35)*(SUMIF(ProductCodes,"S",$CI:$CI)/(SUMIF(ProductCodes,"S",$CH:$CH))),
IF($A35="B",(SUMIF(#REF!,DD$17,#REF!)*$CG35)*(SUMIF(ProductCodes,"B",$CI:$CI)/(SUMIF(ProductCodes,"B",$CH:$CH))),
IF($A35="R",(SUMIF(#REF!,DD$17,#REF!)*$CG35)*(SUMIF(ProductCodes,"R",$CI:$CI)/(SUMIF(ProductCodes,"R",$CH:$CH))),
IF($A35="H",(SUMIF(#REF!,DD$17,#REF!)*$CG35)*(SUMIF(ProductCodes,"H",$CI:$CI)/(SUMIF(ProductCodes,"H",$CH:$CH))),""))))))),"Error")</f>
        <v>Error</v>
      </c>
      <c r="DE35" s="84" t="str">
        <f>IFERROR(
IF(SUMIF(ProductCodes,"C",$CI:$CI)=$CI$782,(IF($A35="C",(SUMIF(#REF!,DE$17,#REF!)*$CG35)*((SUMIF(ProductCodes,"C",$CI:$CI)-SUMIF(ProductCodes,"H",$CH:$CH)-SUMIF(ProductCodes,"R",$CH:$CH)-SUMIF(ProductCodes,"B",$CH:$CH)-(SUMIF(ProductCodes,"S",$CH:$CH)/2))/SUMIF(ProductCodes,"C",$CH:$CH)),IF($A35="S",(SUMIF(#REF!,DE$17,#REF!)*$CG35)/2,
IF($A35="B",(SUMIF(#REF!,DE$17,#REF!)*$CG35),
IF($A35="R",(SUMIF(#REF!,DE$17,#REF!)*$CG35),
IF($A35="H",(SUMIF(#REF!,DE$17,#REF!)*$CG35),"")))))),
IF(SUMIF(ProductCodes,"S",$CI:$CI)=$CI$782,(IF($A35="S",(SUMIF(#REF!,DE$17,#REF!)*$CG35)*((SUMIF(ProductCodes,"S",$CI:$CI)-SUMIF(ProductCodes,"H",$CH:$CH)-SUMIF(ProductCodes,"R",$CH:$CH)-SUMIF(ProductCodes,"B",$CH:$CH)-(SUMIF(ProductCodes,"C",$CH:$CH)/4))/SUMIF(ProductCodes,"S",$CH:$CH)),
IF($A35="C",(SUMIF(#REF!,DE$17,#REF!)*$CG35)/4,
IF($A35="B",(SUMIF(#REF!,DE$17,#REF!)*$CG35),
IF($A35="R",(SUMIF(#REF!,DE$17,#REF!)*$CG35),
IF($A35="H",(SUMIF(#REF!,DE$17,#REF!)*$CG35),"")))))),
IF($A35="C",(SUMIF(#REF!,DE$17,#REF!)*$CG35)*(SUMIF(ProductCodes,"C",$CI:$CI)/(SUMIF(ProductCodes,"C",$CH:$CH))),
IF($A35="S",(SUMIF(#REF!,DE$17,#REF!)*$CG35)*(SUMIF(ProductCodes,"S",$CI:$CI)/(SUMIF(ProductCodes,"S",$CH:$CH))),
IF($A35="B",(SUMIF(#REF!,DE$17,#REF!)*$CG35)*(SUMIF(ProductCodes,"B",$CI:$CI)/(SUMIF(ProductCodes,"B",$CH:$CH))),
IF($A35="R",(SUMIF(#REF!,DE$17,#REF!)*$CG35)*(SUMIF(ProductCodes,"R",$CI:$CI)/(SUMIF(ProductCodes,"R",$CH:$CH))),
IF($A35="H",(SUMIF(#REF!,DE$17,#REF!)*$CG35)*(SUMIF(ProductCodes,"H",$CI:$CI)/(SUMIF(ProductCodes,"H",$CH:$CH))),""))))))),"Error")</f>
        <v>Error</v>
      </c>
      <c r="DF35" s="84" t="str">
        <f>IFERROR(
IF(SUMIF(ProductCodes,"C",$CI:$CI)=$CI$782,(IF($A35="C",(SUMIF(#REF!,DF$17,#REF!)*$CG35)*((SUMIF(ProductCodes,"C",$CI:$CI)-SUMIF(ProductCodes,"H",$CH:$CH)-SUMIF(ProductCodes,"R",$CH:$CH)-SUMIF(ProductCodes,"B",$CH:$CH)-(SUMIF(ProductCodes,"S",$CH:$CH)/2))/SUMIF(ProductCodes,"C",$CH:$CH)),IF($A35="S",(SUMIF(#REF!,DF$17,#REF!)*$CG35)/2,
IF($A35="B",(SUMIF(#REF!,DF$17,#REF!)*$CG35),
IF($A35="R",(SUMIF(#REF!,DF$17,#REF!)*$CG35),
IF($A35="H",(SUMIF(#REF!,DF$17,#REF!)*$CG35),"")))))),
IF(SUMIF(ProductCodes,"S",$CI:$CI)=$CI$782,(IF($A35="S",(SUMIF(#REF!,DF$17,#REF!)*$CG35)*((SUMIF(ProductCodes,"S",$CI:$CI)-SUMIF(ProductCodes,"H",$CH:$CH)-SUMIF(ProductCodes,"R",$CH:$CH)-SUMIF(ProductCodes,"B",$CH:$CH)-(SUMIF(ProductCodes,"C",$CH:$CH)/4))/SUMIF(ProductCodes,"S",$CH:$CH)),
IF($A35="C",(SUMIF(#REF!,DF$17,#REF!)*$CG35)/4,
IF($A35="B",(SUMIF(#REF!,DF$17,#REF!)*$CG35),
IF($A35="R",(SUMIF(#REF!,DF$17,#REF!)*$CG35),
IF($A35="H",(SUMIF(#REF!,DF$17,#REF!)*$CG35),"")))))),
IF($A35="C",(SUMIF(#REF!,DF$17,#REF!)*$CG35)*(SUMIF(ProductCodes,"C",$CI:$CI)/(SUMIF(ProductCodes,"C",$CH:$CH))),
IF($A35="S",(SUMIF(#REF!,DF$17,#REF!)*$CG35)*(SUMIF(ProductCodes,"S",$CI:$CI)/(SUMIF(ProductCodes,"S",$CH:$CH))),
IF($A35="B",(SUMIF(#REF!,DF$17,#REF!)*$CG35)*(SUMIF(ProductCodes,"B",$CI:$CI)/(SUMIF(ProductCodes,"B",$CH:$CH))),
IF($A35="R",(SUMIF(#REF!,DF$17,#REF!)*$CG35)*(SUMIF(ProductCodes,"R",$CI:$CI)/(SUMIF(ProductCodes,"R",$CH:$CH))),
IF($A35="H",(SUMIF(#REF!,DF$17,#REF!)*$CG35)*(SUMIF(ProductCodes,"H",$CI:$CI)/(SUMIF(ProductCodes,"H",$CH:$CH))),""))))))),"Error")</f>
        <v>Error</v>
      </c>
      <c r="DG35" s="84" t="str">
        <f>IFERROR(
IF(SUMIF(ProductCodes,"C",$CI:$CI)=$CI$782,(IF($A35="C",(SUMIF(#REF!,DG$17,#REF!)*$CG35)*((SUMIF(ProductCodes,"C",$CI:$CI)-SUMIF(ProductCodes,"H",$CH:$CH)-SUMIF(ProductCodes,"R",$CH:$CH)-SUMIF(ProductCodes,"B",$CH:$CH)-(SUMIF(ProductCodes,"S",$CH:$CH)/2))/SUMIF(ProductCodes,"C",$CH:$CH)),IF($A35="S",(SUMIF(#REF!,DG$17,#REF!)*$CG35)/2,
IF($A35="B",(SUMIF(#REF!,DG$17,#REF!)*$CG35),
IF($A35="R",(SUMIF(#REF!,DG$17,#REF!)*$CG35),
IF($A35="H",(SUMIF(#REF!,DG$17,#REF!)*$CG35),"")))))),
IF(SUMIF(ProductCodes,"S",$CI:$CI)=$CI$782,(IF($A35="S",(SUMIF(#REF!,DG$17,#REF!)*$CG35)*((SUMIF(ProductCodes,"S",$CI:$CI)-SUMIF(ProductCodes,"H",$CH:$CH)-SUMIF(ProductCodes,"R",$CH:$CH)-SUMIF(ProductCodes,"B",$CH:$CH)-(SUMIF(ProductCodes,"C",$CH:$CH)/4))/SUMIF(ProductCodes,"S",$CH:$CH)),
IF($A35="C",(SUMIF(#REF!,DG$17,#REF!)*$CG35)/4,
IF($A35="B",(SUMIF(#REF!,DG$17,#REF!)*$CG35),
IF($A35="R",(SUMIF(#REF!,DG$17,#REF!)*$CG35),
IF($A35="H",(SUMIF(#REF!,DG$17,#REF!)*$CG35),"")))))),
IF($A35="C",(SUMIF(#REF!,DG$17,#REF!)*$CG35)*(SUMIF(ProductCodes,"C",$CI:$CI)/(SUMIF(ProductCodes,"C",$CH:$CH))),
IF($A35="S",(SUMIF(#REF!,DG$17,#REF!)*$CG35)*(SUMIF(ProductCodes,"S",$CI:$CI)/(SUMIF(ProductCodes,"S",$CH:$CH))),
IF($A35="B",(SUMIF(#REF!,DG$17,#REF!)*$CG35)*(SUMIF(ProductCodes,"B",$CI:$CI)/(SUMIF(ProductCodes,"B",$CH:$CH))),
IF($A35="R",(SUMIF(#REF!,DG$17,#REF!)*$CG35)*(SUMIF(ProductCodes,"R",$CI:$CI)/(SUMIF(ProductCodes,"R",$CH:$CH))),
IF($A35="H",(SUMIF(#REF!,DG$17,#REF!)*$CG35)*(SUMIF(ProductCodes,"H",$CI:$CI)/(SUMIF(ProductCodes,"H",$CH:$CH))),""))))))),"Error")</f>
        <v>Error</v>
      </c>
      <c r="DH35" s="84" t="str">
        <f>IFERROR(
IF(SUMIF(ProductCodes,"C",$CI:$CI)=$CI$782,(IF($A35="C",(SUMIF(#REF!,DH$17,#REF!)*$CG35)*((SUMIF(ProductCodes,"C",$CI:$CI)-SUMIF(ProductCodes,"H",$CH:$CH)-SUMIF(ProductCodes,"R",$CH:$CH)-SUMIF(ProductCodes,"B",$CH:$CH)-(SUMIF(ProductCodes,"S",$CH:$CH)/2))/SUMIF(ProductCodes,"C",$CH:$CH)),IF($A35="S",(SUMIF(#REF!,DH$17,#REF!)*$CG35)/2,
IF($A35="B",(SUMIF(#REF!,DH$17,#REF!)*$CG35),
IF($A35="R",(SUMIF(#REF!,DH$17,#REF!)*$CG35),
IF($A35="H",(SUMIF(#REF!,DH$17,#REF!)*$CG35),"")))))),
IF(SUMIF(ProductCodes,"S",$CI:$CI)=$CI$782,(IF($A35="S",(SUMIF(#REF!,DH$17,#REF!)*$CG35)*((SUMIF(ProductCodes,"S",$CI:$CI)-SUMIF(ProductCodes,"H",$CH:$CH)-SUMIF(ProductCodes,"R",$CH:$CH)-SUMIF(ProductCodes,"B",$CH:$CH)-(SUMIF(ProductCodes,"C",$CH:$CH)/4))/SUMIF(ProductCodes,"S",$CH:$CH)),
IF($A35="C",(SUMIF(#REF!,DH$17,#REF!)*$CG35)/4,
IF($A35="B",(SUMIF(#REF!,DH$17,#REF!)*$CG35),
IF($A35="R",(SUMIF(#REF!,DH$17,#REF!)*$CG35),
IF($A35="H",(SUMIF(#REF!,DH$17,#REF!)*$CG35),"")))))),
IF($A35="C",(SUMIF(#REF!,DH$17,#REF!)*$CG35)*(SUMIF(ProductCodes,"C",$CI:$CI)/(SUMIF(ProductCodes,"C",$CH:$CH))),
IF($A35="S",(SUMIF(#REF!,DH$17,#REF!)*$CG35)*(SUMIF(ProductCodes,"S",$CI:$CI)/(SUMIF(ProductCodes,"S",$CH:$CH))),
IF($A35="B",(SUMIF(#REF!,DH$17,#REF!)*$CG35)*(SUMIF(ProductCodes,"B",$CI:$CI)/(SUMIF(ProductCodes,"B",$CH:$CH))),
IF($A35="R",(SUMIF(#REF!,DH$17,#REF!)*$CG35)*(SUMIF(ProductCodes,"R",$CI:$CI)/(SUMIF(ProductCodes,"R",$CH:$CH))),
IF($A35="H",(SUMIF(#REF!,DH$17,#REF!)*$CG35)*(SUMIF(ProductCodes,"H",$CI:$CI)/(SUMIF(ProductCodes,"H",$CH:$CH))),""))))))),"Error")</f>
        <v>Error</v>
      </c>
      <c r="DI35" s="84" t="str">
        <f>IFERROR(
IF(SUMIF(ProductCodes,"C",$CI:$CI)=$CI$782,(IF($A35="C",(SUMIF(#REF!,DI$17,#REF!)*$CG35)*((SUMIF(ProductCodes,"C",$CI:$CI)-SUMIF(ProductCodes,"H",$CH:$CH)-SUMIF(ProductCodes,"R",$CH:$CH)-SUMIF(ProductCodes,"B",$CH:$CH)-(SUMIF(ProductCodes,"S",$CH:$CH)/2))/SUMIF(ProductCodes,"C",$CH:$CH)),IF($A35="S",(SUMIF(#REF!,DI$17,#REF!)*$CG35)/2,
IF($A35="B",(SUMIF(#REF!,DI$17,#REF!)*$CG35),
IF($A35="R",(SUMIF(#REF!,DI$17,#REF!)*$CG35),
IF($A35="H",(SUMIF(#REF!,DI$17,#REF!)*$CG35),"")))))),
IF(SUMIF(ProductCodes,"S",$CI:$CI)=$CI$782,(IF($A35="S",(SUMIF(#REF!,DI$17,#REF!)*$CG35)*((SUMIF(ProductCodes,"S",$CI:$CI)-SUMIF(ProductCodes,"H",$CH:$CH)-SUMIF(ProductCodes,"R",$CH:$CH)-SUMIF(ProductCodes,"B",$CH:$CH)-(SUMIF(ProductCodes,"C",$CH:$CH)/4))/SUMIF(ProductCodes,"S",$CH:$CH)),
IF($A35="C",(SUMIF(#REF!,DI$17,#REF!)*$CG35)/4,
IF($A35="B",(SUMIF(#REF!,DI$17,#REF!)*$CG35),
IF($A35="R",(SUMIF(#REF!,DI$17,#REF!)*$CG35),
IF($A35="H",(SUMIF(#REF!,DI$17,#REF!)*$CG35),"")))))),
IF($A35="C",(SUMIF(#REF!,DI$17,#REF!)*$CG35)*(SUMIF(ProductCodes,"C",$CI:$CI)/(SUMIF(ProductCodes,"C",$CH:$CH))),
IF($A35="S",(SUMIF(#REF!,DI$17,#REF!)*$CG35)*(SUMIF(ProductCodes,"S",$CI:$CI)/(SUMIF(ProductCodes,"S",$CH:$CH))),
IF($A35="B",(SUMIF(#REF!,DI$17,#REF!)*$CG35)*(SUMIF(ProductCodes,"B",$CI:$CI)/(SUMIF(ProductCodes,"B",$CH:$CH))),
IF($A35="R",(SUMIF(#REF!,DI$17,#REF!)*$CG35)*(SUMIF(ProductCodes,"R",$CI:$CI)/(SUMIF(ProductCodes,"R",$CH:$CH))),
IF($A35="H",(SUMIF(#REF!,DI$17,#REF!)*$CG35)*(SUMIF(ProductCodes,"H",$CI:$CI)/(SUMIF(ProductCodes,"H",$CH:$CH))),""))))))),"Error")</f>
        <v>Error</v>
      </c>
      <c r="DJ35" s="84" t="str">
        <f>IFERROR(
IF(SUMIF(ProductCodes,"C",$CI:$CI)=$CI$782,(IF($A35="C",(SUMIF(#REF!,DJ$17,#REF!)*$CG35)*((SUMIF(ProductCodes,"C",$CI:$CI)-SUMIF(ProductCodes,"H",$CH:$CH)-SUMIF(ProductCodes,"R",$CH:$CH)-SUMIF(ProductCodes,"B",$CH:$CH)-(SUMIF(ProductCodes,"S",$CH:$CH)/2))/SUMIF(ProductCodes,"C",$CH:$CH)),IF($A35="S",(SUMIF(#REF!,DJ$17,#REF!)*$CG35)/2,
IF($A35="B",(SUMIF(#REF!,DJ$17,#REF!)*$CG35),
IF($A35="R",(SUMIF(#REF!,DJ$17,#REF!)*$CG35),
IF($A35="H",(SUMIF(#REF!,DJ$17,#REF!)*$CG35),"")))))),
IF(SUMIF(ProductCodes,"S",$CI:$CI)=$CI$782,(IF($A35="S",(SUMIF(#REF!,DJ$17,#REF!)*$CG35)*((SUMIF(ProductCodes,"S",$CI:$CI)-SUMIF(ProductCodes,"H",$CH:$CH)-SUMIF(ProductCodes,"R",$CH:$CH)-SUMIF(ProductCodes,"B",$CH:$CH)-(SUMIF(ProductCodes,"C",$CH:$CH)/4))/SUMIF(ProductCodes,"S",$CH:$CH)),
IF($A35="C",(SUMIF(#REF!,DJ$17,#REF!)*$CG35)/4,
IF($A35="B",(SUMIF(#REF!,DJ$17,#REF!)*$CG35),
IF($A35="R",(SUMIF(#REF!,DJ$17,#REF!)*$CG35),
IF($A35="H",(SUMIF(#REF!,DJ$17,#REF!)*$CG35),"")))))),
IF($A35="C",(SUMIF(#REF!,DJ$17,#REF!)*$CG35)*(SUMIF(ProductCodes,"C",$CI:$CI)/(SUMIF(ProductCodes,"C",$CH:$CH))),
IF($A35="S",(SUMIF(#REF!,DJ$17,#REF!)*$CG35)*(SUMIF(ProductCodes,"S",$CI:$CI)/(SUMIF(ProductCodes,"S",$CH:$CH))),
IF($A35="B",(SUMIF(#REF!,DJ$17,#REF!)*$CG35)*(SUMIF(ProductCodes,"B",$CI:$CI)/(SUMIF(ProductCodes,"B",$CH:$CH))),
IF($A35="R",(SUMIF(#REF!,DJ$17,#REF!)*$CG35)*(SUMIF(ProductCodes,"R",$CI:$CI)/(SUMIF(ProductCodes,"R",$CH:$CH))),
IF($A35="H",(SUMIF(#REF!,DJ$17,#REF!)*$CG35)*(SUMIF(ProductCodes,"H",$CI:$CI)/(SUMIF(ProductCodes,"H",$CH:$CH))),""))))))),"Error")</f>
        <v>Error</v>
      </c>
      <c r="DK35" s="84" t="str">
        <f>IFERROR(
IF(SUMIF(ProductCodes,"C",$CI:$CI)=$CI$782,(IF($A35="C",(SUMIF(#REF!,DK$17,#REF!)*$CG35)*((SUMIF(ProductCodes,"C",$CI:$CI)-SUMIF(ProductCodes,"H",$CH:$CH)-SUMIF(ProductCodes,"R",$CH:$CH)-SUMIF(ProductCodes,"B",$CH:$CH)-(SUMIF(ProductCodes,"S",$CH:$CH)/2))/SUMIF(ProductCodes,"C",$CH:$CH)),IF($A35="S",(SUMIF(#REF!,DK$17,#REF!)*$CG35)/2,
IF($A35="B",(SUMIF(#REF!,DK$17,#REF!)*$CG35),
IF($A35="R",(SUMIF(#REF!,DK$17,#REF!)*$CG35),
IF($A35="H",(SUMIF(#REF!,DK$17,#REF!)*$CG35),"")))))),
IF(SUMIF(ProductCodes,"S",$CI:$CI)=$CI$782,(IF($A35="S",(SUMIF(#REF!,DK$17,#REF!)*$CG35)*((SUMIF(ProductCodes,"S",$CI:$CI)-SUMIF(ProductCodes,"H",$CH:$CH)-SUMIF(ProductCodes,"R",$CH:$CH)-SUMIF(ProductCodes,"B",$CH:$CH)-(SUMIF(ProductCodes,"C",$CH:$CH)/4))/SUMIF(ProductCodes,"S",$CH:$CH)),
IF($A35="C",(SUMIF(#REF!,DK$17,#REF!)*$CG35)/4,
IF($A35="B",(SUMIF(#REF!,DK$17,#REF!)*$CG35),
IF($A35="R",(SUMIF(#REF!,DK$17,#REF!)*$CG35),
IF($A35="H",(SUMIF(#REF!,DK$17,#REF!)*$CG35),"")))))),
IF($A35="C",(SUMIF(#REF!,DK$17,#REF!)*$CG35)*(SUMIF(ProductCodes,"C",$CI:$CI)/(SUMIF(ProductCodes,"C",$CH:$CH))),
IF($A35="S",(SUMIF(#REF!,DK$17,#REF!)*$CG35)*(SUMIF(ProductCodes,"S",$CI:$CI)/(SUMIF(ProductCodes,"S",$CH:$CH))),
IF($A35="B",(SUMIF(#REF!,DK$17,#REF!)*$CG35)*(SUMIF(ProductCodes,"B",$CI:$CI)/(SUMIF(ProductCodes,"B",$CH:$CH))),
IF($A35="R",(SUMIF(#REF!,DK$17,#REF!)*$CG35)*(SUMIF(ProductCodes,"R",$CI:$CI)/(SUMIF(ProductCodes,"R",$CH:$CH))),
IF($A35="H",(SUMIF(#REF!,DK$17,#REF!)*$CG35)*(SUMIF(ProductCodes,"H",$CI:$CI)/(SUMIF(ProductCodes,"H",$CH:$CH))),""))))))),"Error")</f>
        <v>Error</v>
      </c>
      <c r="DL35" s="84" t="str">
        <f>IFERROR(
IF(SUMIF(ProductCodes,"C",$CI:$CI)=$CI$782,(IF($A35="C",(SUMIF(#REF!,DL$17,#REF!)*$CG35)*((SUMIF(ProductCodes,"C",$CI:$CI)-SUMIF(ProductCodes,"H",$CH:$CH)-SUMIF(ProductCodes,"R",$CH:$CH)-SUMIF(ProductCodes,"B",$CH:$CH)-(SUMIF(ProductCodes,"S",$CH:$CH)/2))/SUMIF(ProductCodes,"C",$CH:$CH)),IF($A35="S",(SUMIF(#REF!,DL$17,#REF!)*$CG35)/2,
IF($A35="B",(SUMIF(#REF!,DL$17,#REF!)*$CG35),
IF($A35="R",(SUMIF(#REF!,DL$17,#REF!)*$CG35),
IF($A35="H",(SUMIF(#REF!,DL$17,#REF!)*$CG35),"")))))),
IF(SUMIF(ProductCodes,"S",$CI:$CI)=$CI$782,(IF($A35="S",(SUMIF(#REF!,DL$17,#REF!)*$CG35)*((SUMIF(ProductCodes,"S",$CI:$CI)-SUMIF(ProductCodes,"H",$CH:$CH)-SUMIF(ProductCodes,"R",$CH:$CH)-SUMIF(ProductCodes,"B",$CH:$CH)-(SUMIF(ProductCodes,"C",$CH:$CH)/4))/SUMIF(ProductCodes,"S",$CH:$CH)),
IF($A35="C",(SUMIF(#REF!,DL$17,#REF!)*$CG35)/4,
IF($A35="B",(SUMIF(#REF!,DL$17,#REF!)*$CG35),
IF($A35="R",(SUMIF(#REF!,DL$17,#REF!)*$CG35),
IF($A35="H",(SUMIF(#REF!,DL$17,#REF!)*$CG35),"")))))),
IF($A35="C",(SUMIF(#REF!,DL$17,#REF!)*$CG35)*(SUMIF(ProductCodes,"C",$CI:$CI)/(SUMIF(ProductCodes,"C",$CH:$CH))),
IF($A35="S",(SUMIF(#REF!,DL$17,#REF!)*$CG35)*(SUMIF(ProductCodes,"S",$CI:$CI)/(SUMIF(ProductCodes,"S",$CH:$CH))),
IF($A35="B",(SUMIF(#REF!,DL$17,#REF!)*$CG35)*(SUMIF(ProductCodes,"B",$CI:$CI)/(SUMIF(ProductCodes,"B",$CH:$CH))),
IF($A35="R",(SUMIF(#REF!,DL$17,#REF!)*$CG35)*(SUMIF(ProductCodes,"R",$CI:$CI)/(SUMIF(ProductCodes,"R",$CH:$CH))),
IF($A35="H",(SUMIF(#REF!,DL$17,#REF!)*$CG35)*(SUMIF(ProductCodes,"H",$CI:$CI)/(SUMIF(ProductCodes,"H",$CH:$CH))),""))))))),"Error")</f>
        <v>Error</v>
      </c>
      <c r="DM35" s="84" t="str">
        <f>IFERROR(
IF(SUMIF(ProductCodes,"C",$CI:$CI)=$CI$782,(IF($A35="C",(SUMIF(#REF!,DM$17,#REF!)*$CG35)*((SUMIF(ProductCodes,"C",$CI:$CI)-SUMIF(ProductCodes,"H",$CH:$CH)-SUMIF(ProductCodes,"R",$CH:$CH)-SUMIF(ProductCodes,"B",$CH:$CH)-(SUMIF(ProductCodes,"S",$CH:$CH)/2))/SUMIF(ProductCodes,"C",$CH:$CH)),IF($A35="S",(SUMIF(#REF!,DM$17,#REF!)*$CG35)/2,
IF($A35="B",(SUMIF(#REF!,DM$17,#REF!)*$CG35),
IF($A35="R",(SUMIF(#REF!,DM$17,#REF!)*$CG35),
IF($A35="H",(SUMIF(#REF!,DM$17,#REF!)*$CG35),"")))))),
IF(SUMIF(ProductCodes,"S",$CI:$CI)=$CI$782,(IF($A35="S",(SUMIF(#REF!,DM$17,#REF!)*$CG35)*((SUMIF(ProductCodes,"S",$CI:$CI)-SUMIF(ProductCodes,"H",$CH:$CH)-SUMIF(ProductCodes,"R",$CH:$CH)-SUMIF(ProductCodes,"B",$CH:$CH)-(SUMIF(ProductCodes,"C",$CH:$CH)/4))/SUMIF(ProductCodes,"S",$CH:$CH)),
IF($A35="C",(SUMIF(#REF!,DM$17,#REF!)*$CG35)/4,
IF($A35="B",(SUMIF(#REF!,DM$17,#REF!)*$CG35),
IF($A35="R",(SUMIF(#REF!,DM$17,#REF!)*$CG35),
IF($A35="H",(SUMIF(#REF!,DM$17,#REF!)*$CG35),"")))))),
IF($A35="C",(SUMIF(#REF!,DM$17,#REF!)*$CG35)*(SUMIF(ProductCodes,"C",$CI:$CI)/(SUMIF(ProductCodes,"C",$CH:$CH))),
IF($A35="S",(SUMIF(#REF!,DM$17,#REF!)*$CG35)*(SUMIF(ProductCodes,"S",$CI:$CI)/(SUMIF(ProductCodes,"S",$CH:$CH))),
IF($A35="B",(SUMIF(#REF!,DM$17,#REF!)*$CG35)*(SUMIF(ProductCodes,"B",$CI:$CI)/(SUMIF(ProductCodes,"B",$CH:$CH))),
IF($A35="R",(SUMIF(#REF!,DM$17,#REF!)*$CG35)*(SUMIF(ProductCodes,"R",$CI:$CI)/(SUMIF(ProductCodes,"R",$CH:$CH))),
IF($A35="H",(SUMIF(#REF!,DM$17,#REF!)*$CG35)*(SUMIF(ProductCodes,"H",$CI:$CI)/(SUMIF(ProductCodes,"H",$CH:$CH))),""))))))),"Error")</f>
        <v>Error</v>
      </c>
      <c r="DN35" s="84" t="str">
        <f>IFERROR(
IF(SUMIF(ProductCodes,"C",$CI:$CI)=$CI$782,(IF($A35="C",(SUMIF(#REF!,DN$17,#REF!)*$CG35)*((SUMIF(ProductCodes,"C",$CI:$CI)-SUMIF(ProductCodes,"H",$CH:$CH)-SUMIF(ProductCodes,"R",$CH:$CH)-SUMIF(ProductCodes,"B",$CH:$CH)-(SUMIF(ProductCodes,"S",$CH:$CH)/2))/SUMIF(ProductCodes,"C",$CH:$CH)),IF($A35="S",(SUMIF(#REF!,DN$17,#REF!)*$CG35)/2,
IF($A35="B",(SUMIF(#REF!,DN$17,#REF!)*$CG35),
IF($A35="R",(SUMIF(#REF!,DN$17,#REF!)*$CG35),
IF($A35="H",(SUMIF(#REF!,DN$17,#REF!)*$CG35),"")))))),
IF(SUMIF(ProductCodes,"S",$CI:$CI)=$CI$782,(IF($A35="S",(SUMIF(#REF!,DN$17,#REF!)*$CG35)*((SUMIF(ProductCodes,"S",$CI:$CI)-SUMIF(ProductCodes,"H",$CH:$CH)-SUMIF(ProductCodes,"R",$CH:$CH)-SUMIF(ProductCodes,"B",$CH:$CH)-(SUMIF(ProductCodes,"C",$CH:$CH)/4))/SUMIF(ProductCodes,"S",$CH:$CH)),
IF($A35="C",(SUMIF(#REF!,DN$17,#REF!)*$CG35)/4,
IF($A35="B",(SUMIF(#REF!,DN$17,#REF!)*$CG35),
IF($A35="R",(SUMIF(#REF!,DN$17,#REF!)*$CG35),
IF($A35="H",(SUMIF(#REF!,DN$17,#REF!)*$CG35),"")))))),
IF($A35="C",(SUMIF(#REF!,DN$17,#REF!)*$CG35)*(SUMIF(ProductCodes,"C",$CI:$CI)/(SUMIF(ProductCodes,"C",$CH:$CH))),
IF($A35="S",(SUMIF(#REF!,DN$17,#REF!)*$CG35)*(SUMIF(ProductCodes,"S",$CI:$CI)/(SUMIF(ProductCodes,"S",$CH:$CH))),
IF($A35="B",(SUMIF(#REF!,DN$17,#REF!)*$CG35)*(SUMIF(ProductCodes,"B",$CI:$CI)/(SUMIF(ProductCodes,"B",$CH:$CH))),
IF($A35="R",(SUMIF(#REF!,DN$17,#REF!)*$CG35)*(SUMIF(ProductCodes,"R",$CI:$CI)/(SUMIF(ProductCodes,"R",$CH:$CH))),
IF($A35="H",(SUMIF(#REF!,DN$17,#REF!)*$CG35)*(SUMIF(ProductCodes,"H",$CI:$CI)/(SUMIF(ProductCodes,"H",$CH:$CH))),""))))))),"Error")</f>
        <v>Error</v>
      </c>
      <c r="DO35" s="84" t="str">
        <f>IFERROR(
IF(SUMIF(ProductCodes,"C",$CI:$CI)=$CI$782,(IF($A35="C",(SUMIF(#REF!,DO$17,#REF!)*$CG35)*((SUMIF(ProductCodes,"C",$CI:$CI)-SUMIF(ProductCodes,"H",$CH:$CH)-SUMIF(ProductCodes,"R",$CH:$CH)-SUMIF(ProductCodes,"B",$CH:$CH)-(SUMIF(ProductCodes,"S",$CH:$CH)/2))/SUMIF(ProductCodes,"C",$CH:$CH)),IF($A35="S",(SUMIF(#REF!,DO$17,#REF!)*$CG35)/2,
IF($A35="B",(SUMIF(#REF!,DO$17,#REF!)*$CG35),
IF($A35="R",(SUMIF(#REF!,DO$17,#REF!)*$CG35),
IF($A35="H",(SUMIF(#REF!,DO$17,#REF!)*$CG35),"")))))),
IF(SUMIF(ProductCodes,"S",$CI:$CI)=$CI$782,(IF($A35="S",(SUMIF(#REF!,DO$17,#REF!)*$CG35)*((SUMIF(ProductCodes,"S",$CI:$CI)-SUMIF(ProductCodes,"H",$CH:$CH)-SUMIF(ProductCodes,"R",$CH:$CH)-SUMIF(ProductCodes,"B",$CH:$CH)-(SUMIF(ProductCodes,"C",$CH:$CH)/4))/SUMIF(ProductCodes,"S",$CH:$CH)),
IF($A35="C",(SUMIF(#REF!,DO$17,#REF!)*$CG35)/4,
IF($A35="B",(SUMIF(#REF!,DO$17,#REF!)*$CG35),
IF($A35="R",(SUMIF(#REF!,DO$17,#REF!)*$CG35),
IF($A35="H",(SUMIF(#REF!,DO$17,#REF!)*$CG35),"")))))),
IF($A35="C",(SUMIF(#REF!,DO$17,#REF!)*$CG35)*(SUMIF(ProductCodes,"C",$CI:$CI)/(SUMIF(ProductCodes,"C",$CH:$CH))),
IF($A35="S",(SUMIF(#REF!,DO$17,#REF!)*$CG35)*(SUMIF(ProductCodes,"S",$CI:$CI)/(SUMIF(ProductCodes,"S",$CH:$CH))),
IF($A35="B",(SUMIF(#REF!,DO$17,#REF!)*$CG35)*(SUMIF(ProductCodes,"B",$CI:$CI)/(SUMIF(ProductCodes,"B",$CH:$CH))),
IF($A35="R",(SUMIF(#REF!,DO$17,#REF!)*$CG35)*(SUMIF(ProductCodes,"R",$CI:$CI)/(SUMIF(ProductCodes,"R",$CH:$CH))),
IF($A35="H",(SUMIF(#REF!,DO$17,#REF!)*$CG35)*(SUMIF(ProductCodes,"H",$CI:$CI)/(SUMIF(ProductCodes,"H",$CH:$CH))),""))))))),"Error")</f>
        <v>Error</v>
      </c>
      <c r="DP35" s="85" t="str">
        <f>IFERROR(
IF(SUMIF(ProductCodes,"C",$CI:$CI)=$CI$782,(IF($A35="C",(SUMIF(#REF!,DP$17,#REF!)*$CG35)*((SUMIF(ProductCodes,"C",$CI:$CI)-SUMIF(ProductCodes,"H",$CH:$CH)-SUMIF(ProductCodes,"R",$CH:$CH)-SUMIF(ProductCodes,"B",$CH:$CH)-(SUMIF(ProductCodes,"S",$CH:$CH)/2))/SUMIF(ProductCodes,"C",$CH:$CH)),IF($A35="S",(SUMIF(#REF!,DP$17,#REF!)*$CG35)/2,
IF($A35="B",(SUMIF(#REF!,DP$17,#REF!)*$CG35),
IF($A35="R",(SUMIF(#REF!,DP$17,#REF!)*$CG35),
IF($A35="H",(SUMIF(#REF!,DP$17,#REF!)*$CG35),"")))))),
IF(SUMIF(ProductCodes,"S",$CI:$CI)=$CI$782,(IF($A35="S",(SUMIF(#REF!,DP$17,#REF!)*$CG35)*((SUMIF(ProductCodes,"S",$CI:$CI)-SUMIF(ProductCodes,"H",$CH:$CH)-SUMIF(ProductCodes,"R",$CH:$CH)-SUMIF(ProductCodes,"B",$CH:$CH)-(SUMIF(ProductCodes,"C",$CH:$CH)/4))/SUMIF(ProductCodes,"S",$CH:$CH)),
IF($A35="C",(SUMIF(#REF!,DP$17,#REF!)*$CG35)/4,
IF($A35="B",(SUMIF(#REF!,DP$17,#REF!)*$CG35),
IF($A35="R",(SUMIF(#REF!,DP$17,#REF!)*$CG35),
IF($A35="H",(SUMIF(#REF!,DP$17,#REF!)*$CG35),"")))))),
IF($A35="C",(SUMIF(#REF!,DP$17,#REF!)*$CG35)*(SUMIF(ProductCodes,"C",$CI:$CI)/(SUMIF(ProductCodes,"C",$CH:$CH))),
IF($A35="S",(SUMIF(#REF!,DP$17,#REF!)*$CG35)*(SUMIF(ProductCodes,"S",$CI:$CI)/(SUMIF(ProductCodes,"S",$CH:$CH))),
IF($A35="B",(SUMIF(#REF!,DP$17,#REF!)*$CG35)*(SUMIF(ProductCodes,"B",$CI:$CI)/(SUMIF(ProductCodes,"B",$CH:$CH))),
IF($A35="R",(SUMIF(#REF!,DP$17,#REF!)*$CG35)*(SUMIF(ProductCodes,"R",$CI:$CI)/(SUMIF(ProductCodes,"R",$CH:$CH))),
IF($A35="H",(SUMIF(#REF!,DP$17,#REF!)*$CG35)*(SUMIF(ProductCodes,"H",$CI:$CI)/(SUMIF(ProductCodes,"H",$CH:$CH))),""))))))),"Error")</f>
        <v>Error</v>
      </c>
      <c r="DQ35" s="9"/>
      <c r="DR35" s="9"/>
      <c r="DS35"/>
      <c r="DT35"/>
      <c r="DU35"/>
      <c r="DV35"/>
      <c r="DW35"/>
      <c r="DX35"/>
      <c r="DY35"/>
      <c r="DZ35"/>
      <c r="EA35"/>
      <c r="EB35"/>
      <c r="EC35"/>
      <c r="ED35"/>
    </row>
    <row r="36" spans="1:135" s="86" customFormat="1" ht="35.25" customHeight="1" thickBot="1" x14ac:dyDescent="0.4">
      <c r="A36" s="76"/>
      <c r="B36" s="87" t="s">
        <v>48</v>
      </c>
      <c r="C36" s="88"/>
      <c r="D36" s="88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77"/>
      <c r="Z36" s="77"/>
      <c r="AA36" s="77"/>
      <c r="AB36" s="77"/>
      <c r="AC36" s="77"/>
      <c r="AD36" s="226"/>
      <c r="AE36" s="227"/>
      <c r="AF36" s="227"/>
      <c r="AG36" s="227"/>
      <c r="AH36" s="228"/>
      <c r="AI36" s="229"/>
      <c r="AJ36" s="227"/>
      <c r="AK36" s="227"/>
      <c r="AL36" s="228"/>
      <c r="AM36" s="226"/>
      <c r="AN36" s="227"/>
      <c r="AO36" s="227"/>
      <c r="AP36" s="227"/>
      <c r="AQ36" s="228"/>
      <c r="AR36" s="229"/>
      <c r="AS36" s="227"/>
      <c r="AT36" s="227"/>
      <c r="AU36" s="228"/>
      <c r="AV36" s="229"/>
      <c r="AW36" s="227"/>
      <c r="AX36" s="227"/>
      <c r="AY36" s="228"/>
      <c r="AZ36" s="226"/>
      <c r="BA36" s="227"/>
      <c r="BB36" s="227"/>
      <c r="BC36" s="227"/>
      <c r="BD36" s="228"/>
      <c r="BE36" s="229"/>
      <c r="BF36" s="227"/>
      <c r="BG36" s="227"/>
      <c r="BH36" s="228"/>
      <c r="BI36" s="229"/>
      <c r="BJ36" s="227"/>
      <c r="BK36" s="227"/>
      <c r="BL36" s="228"/>
      <c r="BM36" s="226"/>
      <c r="BN36" s="227"/>
      <c r="BO36" s="227"/>
      <c r="BP36" s="227"/>
      <c r="BQ36" s="228"/>
      <c r="BR36" s="229"/>
      <c r="BS36" s="227"/>
      <c r="BT36" s="227"/>
      <c r="BU36" s="228"/>
      <c r="BV36" s="229"/>
      <c r="BW36" s="227"/>
      <c r="BX36" s="227"/>
      <c r="BY36" s="228"/>
      <c r="BZ36" s="229"/>
      <c r="CA36" s="227"/>
      <c r="CB36" s="227"/>
      <c r="CC36" s="228"/>
      <c r="CD36" s="77"/>
      <c r="CE36" s="89">
        <f t="shared" si="33"/>
        <v>0</v>
      </c>
      <c r="CF36" s="89">
        <f t="shared" si="31"/>
        <v>0</v>
      </c>
      <c r="CG36" s="77"/>
      <c r="CH36" s="78">
        <f t="shared" si="32"/>
        <v>0</v>
      </c>
      <c r="CI36" s="240"/>
      <c r="CJ36" s="79"/>
      <c r="CK36" s="79"/>
      <c r="CL36" s="79"/>
      <c r="CM36" s="80"/>
      <c r="CN36" s="81"/>
      <c r="CO36" s="82"/>
      <c r="CP36" s="75"/>
      <c r="CQ36" s="75"/>
      <c r="CR36" s="83"/>
      <c r="CS36" s="84" t="str">
        <f>IFERROR(
IF(SUMIF(ProductCodes,"C",$CI:$CI)=$CI$42,(IF($A36="C",(SUMIF(#REF!,CS$17,#REF!)*$CG36)*((SUMIF(ProductCodes,"C",$CI:$CI)-SUMIF(ProductCodes,"H",$CH:$CH)-SUMIF(ProductCodes,"R",$CH:$CH)-SUMIF(ProductCodes,"B",$CH:$CH)-(SUMIF(ProductCodes,"S",$CH:$CH)/2))/SUMIF(ProductCodes,"C",$CH:$CH)),IF($A36="S",(SUMIF(#REF!,CS$17,#REF!)*$CG36)/2,
IF($A36="B",(SUMIF(#REF!,CS$17,#REF!)*$CG36),
IF($A36="R",(SUMIF(#REF!,CS$17,#REF!)*$CG36),
IF($A36="H",(SUMIF(#REF!,CS$17,#REF!)*$CG36),"")))))),
IF(SUMIF(ProductCodes,"S",$CI:$CI)=$CI$42,(IF($A36="S",(SUMIF(#REF!,CS$17,#REF!)*$CG36)*((SUMIF(ProductCodes,"S",$CI:$CI)-SUMIF(ProductCodes,"H",$CH:$CH)-SUMIF(ProductCodes,"R",$CH:$CH)-SUMIF(ProductCodes,"B",$CH:$CH)-(SUMIF(ProductCodes,"C",$CH:$CH)/4))/SUMIF(ProductCodes,"S",$CH:$CH)),
IF($A36="C",(SUMIF(#REF!,CS$17,#REF!)*$CG36)/4,
IF($A36="B",(SUMIF(#REF!,CS$17,#REF!)*$CG36),
IF($A36="R",(SUMIF(#REF!,CS$17,#REF!)*$CG36),
IF($A36="H",(SUMIF(#REF!,CS$17,#REF!)*$CG36),"")))))),
IF($A36="C",(SUMIF(#REF!,CS$17,#REF!)*$CG36)*(SUMIF(ProductCodes,"C",$CI:$CI)/(SUMIF(ProductCodes,"C",$CH:$CH))),
IF($A36="S",(SUMIF(#REF!,CS$17,#REF!)*$CG36)*(SUMIF(ProductCodes,"S",$CI:$CI)/(SUMIF(ProductCodes,"S",$CH:$CH))),
IF($A36="B",(SUMIF(#REF!,CS$17,#REF!)*$CG36)*(SUMIF(ProductCodes,"B",$CI:$CI)/(SUMIF(ProductCodes,"B",$CH:$CH))),
IF($A36="R",(SUMIF(#REF!,CS$17,#REF!)*$CG36)*(SUMIF(ProductCodes,"R",$CI:$CI)/(SUMIF(ProductCodes,"R",$CH:$CH))),
IF($A36="H",(SUMIF(#REF!,CS$17,#REF!)*$CG36)*(SUMIF(ProductCodes,"H",$CI:$CI)/(SUMIF(ProductCodes,"H",$CH:$CH))),""))))))),"Error")</f>
        <v/>
      </c>
      <c r="CT36" s="84" t="str">
        <f>IFERROR(
IF(SUMIF(ProductCodes,"C",$CI:$CI)=$CI$42,(IF($A36="C",(SUMIF(#REF!,CT$17,#REF!)*$CG36)*((SUMIF(ProductCodes,"C",$CI:$CI)-SUMIF(ProductCodes,"H",$CH:$CH)-SUMIF(ProductCodes,"R",$CH:$CH)-SUMIF(ProductCodes,"B",$CH:$CH)-(SUMIF(ProductCodes,"S",$CH:$CH)/2))/SUMIF(ProductCodes,"C",$CH:$CH)),IF($A36="S",(SUMIF(#REF!,CT$17,#REF!)*$CG36)/2,
IF($A36="B",(SUMIF(#REF!,CT$17,#REF!)*$CG36),
IF($A36="R",(SUMIF(#REF!,CT$17,#REF!)*$CG36),
IF($A36="H",(SUMIF(#REF!,CT$17,#REF!)*$CG36),"")))))),
IF(SUMIF(ProductCodes,"S",$CI:$CI)=$CI$42,(IF($A36="S",(SUMIF(#REF!,CT$17,#REF!)*$CG36)*((SUMIF(ProductCodes,"S",$CI:$CI)-SUMIF(ProductCodes,"H",$CH:$CH)-SUMIF(ProductCodes,"R",$CH:$CH)-SUMIF(ProductCodes,"B",$CH:$CH)-(SUMIF(ProductCodes,"C",$CH:$CH)/4))/SUMIF(ProductCodes,"S",$CH:$CH)),
IF($A36="C",(SUMIF(#REF!,CT$17,#REF!)*$CG36)/4,
IF($A36="B",(SUMIF(#REF!,CT$17,#REF!)*$CG36),
IF($A36="R",(SUMIF(#REF!,CT$17,#REF!)*$CG36),
IF($A36="H",(SUMIF(#REF!,CT$17,#REF!)*$CG36),"")))))),
IF($A36="C",(SUMIF(#REF!,CT$17,#REF!)*$CG36)*(SUMIF(ProductCodes,"C",$CI:$CI)/(SUMIF(ProductCodes,"C",$CH:$CH))),
IF($A36="S",(SUMIF(#REF!,CT$17,#REF!)*$CG36)*(SUMIF(ProductCodes,"S",$CI:$CI)/(SUMIF(ProductCodes,"S",$CH:$CH))),
IF($A36="B",(SUMIF(#REF!,CT$17,#REF!)*$CG36)*(SUMIF(ProductCodes,"B",$CI:$CI)/(SUMIF(ProductCodes,"B",$CH:$CH))),
IF($A36="R",(SUMIF(#REF!,CT$17,#REF!)*$CG36)*(SUMIF(ProductCodes,"R",$CI:$CI)/(SUMIF(ProductCodes,"R",$CH:$CH))),
IF($A36="H",(SUMIF(#REF!,CT$17,#REF!)*$CG36)*(SUMIF(ProductCodes,"H",$CI:$CI)/(SUMIF(ProductCodes,"H",$CH:$CH))),""))))))),"Error")</f>
        <v/>
      </c>
      <c r="CU36" s="84" t="str">
        <f>IFERROR(
IF(SUMIF(ProductCodes,"C",$CI:$CI)=$CI$42,(IF($A36="C",(SUMIF(#REF!,CU$17,#REF!)*$CG36)*((SUMIF(ProductCodes,"C",$CI:$CI)-SUMIF(ProductCodes,"H",$CH:$CH)-SUMIF(ProductCodes,"R",$CH:$CH)-SUMIF(ProductCodes,"B",$CH:$CH)-(SUMIF(ProductCodes,"S",$CH:$CH)/2))/SUMIF(ProductCodes,"C",$CH:$CH)),IF($A36="S",(SUMIF(#REF!,CU$17,#REF!)*$CG36)/2,
IF($A36="B",(SUMIF(#REF!,CU$17,#REF!)*$CG36),
IF($A36="R",(SUMIF(#REF!,CU$17,#REF!)*$CG36),
IF($A36="H",(SUMIF(#REF!,CU$17,#REF!)*$CG36),"")))))),
IF(SUMIF(ProductCodes,"S",$CI:$CI)=$CI$42,(IF($A36="S",(SUMIF(#REF!,CU$17,#REF!)*$CG36)*((SUMIF(ProductCodes,"S",$CI:$CI)-SUMIF(ProductCodes,"H",$CH:$CH)-SUMIF(ProductCodes,"R",$CH:$CH)-SUMIF(ProductCodes,"B",$CH:$CH)-(SUMIF(ProductCodes,"C",$CH:$CH)/4))/SUMIF(ProductCodes,"S",$CH:$CH)),
IF($A36="C",(SUMIF(#REF!,CU$17,#REF!)*$CG36)/4,
IF($A36="B",(SUMIF(#REF!,CU$17,#REF!)*$CG36),
IF($A36="R",(SUMIF(#REF!,CU$17,#REF!)*$CG36),
IF($A36="H",(SUMIF(#REF!,CU$17,#REF!)*$CG36),"")))))),
IF($A36="C",(SUMIF(#REF!,CU$17,#REF!)*$CG36)*(SUMIF(ProductCodes,"C",$CI:$CI)/(SUMIF(ProductCodes,"C",$CH:$CH))),
IF($A36="S",(SUMIF(#REF!,CU$17,#REF!)*$CG36)*(SUMIF(ProductCodes,"S",$CI:$CI)/(SUMIF(ProductCodes,"S",$CH:$CH))),
IF($A36="B",(SUMIF(#REF!,CU$17,#REF!)*$CG36)*(SUMIF(ProductCodes,"B",$CI:$CI)/(SUMIF(ProductCodes,"B",$CH:$CH))),
IF($A36="R",(SUMIF(#REF!,CU$17,#REF!)*$CG36)*(SUMIF(ProductCodes,"R",$CI:$CI)/(SUMIF(ProductCodes,"R",$CH:$CH))),
IF($A36="H",(SUMIF(#REF!,CU$17,#REF!)*$CG36)*(SUMIF(ProductCodes,"H",$CI:$CI)/(SUMIF(ProductCodes,"H",$CH:$CH))),""))))))),"Error")</f>
        <v/>
      </c>
      <c r="CV36" s="84" t="str">
        <f>IFERROR(
IF(SUMIF(ProductCodes,"C",$CI:$CI)=$CI$42,(IF($A36="C",(SUMIF(#REF!,CV$17,#REF!)*$CG36)*((SUMIF(ProductCodes,"C",$CI:$CI)-SUMIF(ProductCodes,"H",$CH:$CH)-SUMIF(ProductCodes,"R",$CH:$CH)-SUMIF(ProductCodes,"B",$CH:$CH)-(SUMIF(ProductCodes,"S",$CH:$CH)/2))/SUMIF(ProductCodes,"C",$CH:$CH)),IF($A36="S",(SUMIF(#REF!,CV$17,#REF!)*$CG36)/2,
IF($A36="B",(SUMIF(#REF!,CV$17,#REF!)*$CG36),
IF($A36="R",(SUMIF(#REF!,CV$17,#REF!)*$CG36),
IF($A36="H",(SUMIF(#REF!,CV$17,#REF!)*$CG36),"")))))),
IF(SUMIF(ProductCodes,"S",$CI:$CI)=$CI$42,(IF($A36="S",(SUMIF(#REF!,CV$17,#REF!)*$CG36)*((SUMIF(ProductCodes,"S",$CI:$CI)-SUMIF(ProductCodes,"H",$CH:$CH)-SUMIF(ProductCodes,"R",$CH:$CH)-SUMIF(ProductCodes,"B",$CH:$CH)-(SUMIF(ProductCodes,"C",$CH:$CH)/4))/SUMIF(ProductCodes,"S",$CH:$CH)),
IF($A36="C",(SUMIF(#REF!,CV$17,#REF!)*$CG36)/4,
IF($A36="B",(SUMIF(#REF!,CV$17,#REF!)*$CG36),
IF($A36="R",(SUMIF(#REF!,CV$17,#REF!)*$CG36),
IF($A36="H",(SUMIF(#REF!,CV$17,#REF!)*$CG36),"")))))),
IF($A36="C",(SUMIF(#REF!,CV$17,#REF!)*$CG36)*(SUMIF(ProductCodes,"C",$CI:$CI)/(SUMIF(ProductCodes,"C",$CH:$CH))),
IF($A36="S",(SUMIF(#REF!,CV$17,#REF!)*$CG36)*(SUMIF(ProductCodes,"S",$CI:$CI)/(SUMIF(ProductCodes,"S",$CH:$CH))),
IF($A36="B",(SUMIF(#REF!,CV$17,#REF!)*$CG36)*(SUMIF(ProductCodes,"B",$CI:$CI)/(SUMIF(ProductCodes,"B",$CH:$CH))),
IF($A36="R",(SUMIF(#REF!,CV$17,#REF!)*$CG36)*(SUMIF(ProductCodes,"R",$CI:$CI)/(SUMIF(ProductCodes,"R",$CH:$CH))),
IF($A36="H",(SUMIF(#REF!,CV$17,#REF!)*$CG36)*(SUMIF(ProductCodes,"H",$CI:$CI)/(SUMIF(ProductCodes,"H",$CH:$CH))),""))))))),"Error")</f>
        <v/>
      </c>
      <c r="CW36" s="84" t="str">
        <f>IFERROR(
IF(SUMIF(ProductCodes,"C",$CI:$CI)=$CI$42,(IF($A36="C",(SUMIF(#REF!,CW$17,#REF!)*$CG36)*((SUMIF(ProductCodes,"C",$CI:$CI)-SUMIF(ProductCodes,"H",$CH:$CH)-SUMIF(ProductCodes,"R",$CH:$CH)-SUMIF(ProductCodes,"B",$CH:$CH)-(SUMIF(ProductCodes,"S",$CH:$CH)/2))/SUMIF(ProductCodes,"C",$CH:$CH)),IF($A36="S",(SUMIF(#REF!,CW$17,#REF!)*$CG36)/2,
IF($A36="B",(SUMIF(#REF!,CW$17,#REF!)*$CG36),
IF($A36="R",(SUMIF(#REF!,CW$17,#REF!)*$CG36),
IF($A36="H",(SUMIF(#REF!,CW$17,#REF!)*$CG36),"")))))),
IF(SUMIF(ProductCodes,"S",$CI:$CI)=$CI$42,(IF($A36="S",(SUMIF(#REF!,CW$17,#REF!)*$CG36)*((SUMIF(ProductCodes,"S",$CI:$CI)-SUMIF(ProductCodes,"H",$CH:$CH)-SUMIF(ProductCodes,"R",$CH:$CH)-SUMIF(ProductCodes,"B",$CH:$CH)-(SUMIF(ProductCodes,"C",$CH:$CH)/4))/SUMIF(ProductCodes,"S",$CH:$CH)),
IF($A36="C",(SUMIF(#REF!,CW$17,#REF!)*$CG36)/4,
IF($A36="B",(SUMIF(#REF!,CW$17,#REF!)*$CG36),
IF($A36="R",(SUMIF(#REF!,CW$17,#REF!)*$CG36),
IF($A36="H",(SUMIF(#REF!,CW$17,#REF!)*$CG36),"")))))),
IF($A36="C",(SUMIF(#REF!,CW$17,#REF!)*$CG36)*(SUMIF(ProductCodes,"C",$CI:$CI)/(SUMIF(ProductCodes,"C",$CH:$CH))),
IF($A36="S",(SUMIF(#REF!,CW$17,#REF!)*$CG36)*(SUMIF(ProductCodes,"S",$CI:$CI)/(SUMIF(ProductCodes,"S",$CH:$CH))),
IF($A36="B",(SUMIF(#REF!,CW$17,#REF!)*$CG36)*(SUMIF(ProductCodes,"B",$CI:$CI)/(SUMIF(ProductCodes,"B",$CH:$CH))),
IF($A36="R",(SUMIF(#REF!,CW$17,#REF!)*$CG36)*(SUMIF(ProductCodes,"R",$CI:$CI)/(SUMIF(ProductCodes,"R",$CH:$CH))),
IF($A36="H",(SUMIF(#REF!,CW$17,#REF!)*$CG36)*(SUMIF(ProductCodes,"H",$CI:$CI)/(SUMIF(ProductCodes,"H",$CH:$CH))),""))))))),"Error")</f>
        <v/>
      </c>
      <c r="CX36" s="84" t="str">
        <f>IFERROR(
IF(SUMIF(ProductCodes,"C",$CI:$CI)=$CI$42,(IF($A36="C",(SUMIF(#REF!,CX$17,#REF!)*$CG36)*((SUMIF(ProductCodes,"C",$CI:$CI)-SUMIF(ProductCodes,"H",$CH:$CH)-SUMIF(ProductCodes,"R",$CH:$CH)-SUMIF(ProductCodes,"B",$CH:$CH)-(SUMIF(ProductCodes,"S",$CH:$CH)/2))/SUMIF(ProductCodes,"C",$CH:$CH)),IF($A36="S",(SUMIF(#REF!,CX$17,#REF!)*$CG36)/2,
IF($A36="B",(SUMIF(#REF!,CX$17,#REF!)*$CG36),
IF($A36="R",(SUMIF(#REF!,CX$17,#REF!)*$CG36),
IF($A36="H",(SUMIF(#REF!,CX$17,#REF!)*$CG36),"")))))),
IF(SUMIF(ProductCodes,"S",$CI:$CI)=$CI$42,(IF($A36="S",(SUMIF(#REF!,CX$17,#REF!)*$CG36)*((SUMIF(ProductCodes,"S",$CI:$CI)-SUMIF(ProductCodes,"H",$CH:$CH)-SUMIF(ProductCodes,"R",$CH:$CH)-SUMIF(ProductCodes,"B",$CH:$CH)-(SUMIF(ProductCodes,"C",$CH:$CH)/4))/SUMIF(ProductCodes,"S",$CH:$CH)),
IF($A36="C",(SUMIF(#REF!,CX$17,#REF!)*$CG36)/4,
IF($A36="B",(SUMIF(#REF!,CX$17,#REF!)*$CG36),
IF($A36="R",(SUMIF(#REF!,CX$17,#REF!)*$CG36),
IF($A36="H",(SUMIF(#REF!,CX$17,#REF!)*$CG36),"")))))),
IF($A36="C",(SUMIF(#REF!,CX$17,#REF!)*$CG36)*(SUMIF(ProductCodes,"C",$CI:$CI)/(SUMIF(ProductCodes,"C",$CH:$CH))),
IF($A36="S",(SUMIF(#REF!,CX$17,#REF!)*$CG36)*(SUMIF(ProductCodes,"S",$CI:$CI)/(SUMIF(ProductCodes,"S",$CH:$CH))),
IF($A36="B",(SUMIF(#REF!,CX$17,#REF!)*$CG36)*(SUMIF(ProductCodes,"B",$CI:$CI)/(SUMIF(ProductCodes,"B",$CH:$CH))),
IF($A36="R",(SUMIF(#REF!,CX$17,#REF!)*$CG36)*(SUMIF(ProductCodes,"R",$CI:$CI)/(SUMIF(ProductCodes,"R",$CH:$CH))),
IF($A36="H",(SUMIF(#REF!,CX$17,#REF!)*$CG36)*(SUMIF(ProductCodes,"H",$CI:$CI)/(SUMIF(ProductCodes,"H",$CH:$CH))),""))))))),"Error")</f>
        <v/>
      </c>
      <c r="CY36" s="84" t="str">
        <f>IFERROR(
IF(SUMIF(ProductCodes,"C",$CI:$CI)=$CI$42,(IF($A36="C",(SUMIF(#REF!,CY$17,#REF!)*$CG36)*((SUMIF(ProductCodes,"C",$CI:$CI)-SUMIF(ProductCodes,"H",$CH:$CH)-SUMIF(ProductCodes,"R",$CH:$CH)-SUMIF(ProductCodes,"B",$CH:$CH)-(SUMIF(ProductCodes,"S",$CH:$CH)/2))/SUMIF(ProductCodes,"C",$CH:$CH)),IF($A36="S",(SUMIF(#REF!,CY$17,#REF!)*$CG36)/2,
IF($A36="B",(SUMIF(#REF!,CY$17,#REF!)*$CG36),
IF($A36="R",(SUMIF(#REF!,CY$17,#REF!)*$CG36),
IF($A36="H",(SUMIF(#REF!,CY$17,#REF!)*$CG36),"")))))),
IF(SUMIF(ProductCodes,"S",$CI:$CI)=$CI$42,(IF($A36="S",(SUMIF(#REF!,CY$17,#REF!)*$CG36)*((SUMIF(ProductCodes,"S",$CI:$CI)-SUMIF(ProductCodes,"H",$CH:$CH)-SUMIF(ProductCodes,"R",$CH:$CH)-SUMIF(ProductCodes,"B",$CH:$CH)-(SUMIF(ProductCodes,"C",$CH:$CH)/4))/SUMIF(ProductCodes,"S",$CH:$CH)),
IF($A36="C",(SUMIF(#REF!,CY$17,#REF!)*$CG36)/4,
IF($A36="B",(SUMIF(#REF!,CY$17,#REF!)*$CG36),
IF($A36="R",(SUMIF(#REF!,CY$17,#REF!)*$CG36),
IF($A36="H",(SUMIF(#REF!,CY$17,#REF!)*$CG36),"")))))),
IF($A36="C",(SUMIF(#REF!,CY$17,#REF!)*$CG36)*(SUMIF(ProductCodes,"C",$CI:$CI)/(SUMIF(ProductCodes,"C",$CH:$CH))),
IF($A36="S",(SUMIF(#REF!,CY$17,#REF!)*$CG36)*(SUMIF(ProductCodes,"S",$CI:$CI)/(SUMIF(ProductCodes,"S",$CH:$CH))),
IF($A36="B",(SUMIF(#REF!,CY$17,#REF!)*$CG36)*(SUMIF(ProductCodes,"B",$CI:$CI)/(SUMIF(ProductCodes,"B",$CH:$CH))),
IF($A36="R",(SUMIF(#REF!,CY$17,#REF!)*$CG36)*(SUMIF(ProductCodes,"R",$CI:$CI)/(SUMIF(ProductCodes,"R",$CH:$CH))),
IF($A36="H",(SUMIF(#REF!,CY$17,#REF!)*$CG36)*(SUMIF(ProductCodes,"H",$CI:$CI)/(SUMIF(ProductCodes,"H",$CH:$CH))),""))))))),"Error")</f>
        <v/>
      </c>
      <c r="CZ36" s="84" t="str">
        <f>IFERROR(
IF(SUMIF(ProductCodes,"C",$CI:$CI)=$CI$42,(IF($A36="C",(SUMIF(#REF!,CZ$17,#REF!)*$CG36)*((SUMIF(ProductCodes,"C",$CI:$CI)-SUMIF(ProductCodes,"H",$CH:$CH)-SUMIF(ProductCodes,"R",$CH:$CH)-SUMIF(ProductCodes,"B",$CH:$CH)-(SUMIF(ProductCodes,"S",$CH:$CH)/2))/SUMIF(ProductCodes,"C",$CH:$CH)),IF($A36="S",(SUMIF(#REF!,CZ$17,#REF!)*$CG36)/2,
IF($A36="B",(SUMIF(#REF!,CZ$17,#REF!)*$CG36),
IF($A36="R",(SUMIF(#REF!,CZ$17,#REF!)*$CG36),
IF($A36="H",(SUMIF(#REF!,CZ$17,#REF!)*$CG36),"")))))),
IF(SUMIF(ProductCodes,"S",$CI:$CI)=$CI$42,(IF($A36="S",(SUMIF(#REF!,CZ$17,#REF!)*$CG36)*((SUMIF(ProductCodes,"S",$CI:$CI)-SUMIF(ProductCodes,"H",$CH:$CH)-SUMIF(ProductCodes,"R",$CH:$CH)-SUMIF(ProductCodes,"B",$CH:$CH)-(SUMIF(ProductCodes,"C",$CH:$CH)/4))/SUMIF(ProductCodes,"S",$CH:$CH)),
IF($A36="C",(SUMIF(#REF!,CZ$17,#REF!)*$CG36)/4,
IF($A36="B",(SUMIF(#REF!,CZ$17,#REF!)*$CG36),
IF($A36="R",(SUMIF(#REF!,CZ$17,#REF!)*$CG36),
IF($A36="H",(SUMIF(#REF!,CZ$17,#REF!)*$CG36),"")))))),
IF($A36="C",(SUMIF(#REF!,CZ$17,#REF!)*$CG36)*(SUMIF(ProductCodes,"C",$CI:$CI)/(SUMIF(ProductCodes,"C",$CH:$CH))),
IF($A36="S",(SUMIF(#REF!,CZ$17,#REF!)*$CG36)*(SUMIF(ProductCodes,"S",$CI:$CI)/(SUMIF(ProductCodes,"S",$CH:$CH))),
IF($A36="B",(SUMIF(#REF!,CZ$17,#REF!)*$CG36)*(SUMIF(ProductCodes,"B",$CI:$CI)/(SUMIF(ProductCodes,"B",$CH:$CH))),
IF($A36="R",(SUMIF(#REF!,CZ$17,#REF!)*$CG36)*(SUMIF(ProductCodes,"R",$CI:$CI)/(SUMIF(ProductCodes,"R",$CH:$CH))),
IF($A36="H",(SUMIF(#REF!,CZ$17,#REF!)*$CG36)*(SUMIF(ProductCodes,"H",$CI:$CI)/(SUMIF(ProductCodes,"H",$CH:$CH))),""))))))),"Error")</f>
        <v/>
      </c>
      <c r="DA36" s="84" t="str">
        <f>IFERROR(
IF(SUMIF(ProductCodes,"C",$CI:$CI)=$CI$42,(IF($A36="C",(SUMIF(#REF!,DA$17,#REF!)*$CG36)*((SUMIF(ProductCodes,"C",$CI:$CI)-SUMIF(ProductCodes,"H",$CH:$CH)-SUMIF(ProductCodes,"R",$CH:$CH)-SUMIF(ProductCodes,"B",$CH:$CH)-(SUMIF(ProductCodes,"S",$CH:$CH)/2))/SUMIF(ProductCodes,"C",$CH:$CH)),IF($A36="S",(SUMIF(#REF!,DA$17,#REF!)*$CG36)/2,
IF($A36="B",(SUMIF(#REF!,DA$17,#REF!)*$CG36),
IF($A36="R",(SUMIF(#REF!,DA$17,#REF!)*$CG36),
IF($A36="H",(SUMIF(#REF!,DA$17,#REF!)*$CG36),"")))))),
IF(SUMIF(ProductCodes,"S",$CI:$CI)=$CI$42,(IF($A36="S",(SUMIF(#REF!,DA$17,#REF!)*$CG36)*((SUMIF(ProductCodes,"S",$CI:$CI)-SUMIF(ProductCodes,"H",$CH:$CH)-SUMIF(ProductCodes,"R",$CH:$CH)-SUMIF(ProductCodes,"B",$CH:$CH)-(SUMIF(ProductCodes,"C",$CH:$CH)/4))/SUMIF(ProductCodes,"S",$CH:$CH)),
IF($A36="C",(SUMIF(#REF!,DA$17,#REF!)*$CG36)/4,
IF($A36="B",(SUMIF(#REF!,DA$17,#REF!)*$CG36),
IF($A36="R",(SUMIF(#REF!,DA$17,#REF!)*$CG36),
IF($A36="H",(SUMIF(#REF!,DA$17,#REF!)*$CG36),"")))))),
IF($A36="C",(SUMIF(#REF!,DA$17,#REF!)*$CG36)*(SUMIF(ProductCodes,"C",$CI:$CI)/(SUMIF(ProductCodes,"C",$CH:$CH))),
IF($A36="S",(SUMIF(#REF!,DA$17,#REF!)*$CG36)*(SUMIF(ProductCodes,"S",$CI:$CI)/(SUMIF(ProductCodes,"S",$CH:$CH))),
IF($A36="B",(SUMIF(#REF!,DA$17,#REF!)*$CG36)*(SUMIF(ProductCodes,"B",$CI:$CI)/(SUMIF(ProductCodes,"B",$CH:$CH))),
IF($A36="R",(SUMIF(#REF!,DA$17,#REF!)*$CG36)*(SUMIF(ProductCodes,"R",$CI:$CI)/(SUMIF(ProductCodes,"R",$CH:$CH))),
IF($A36="H",(SUMIF(#REF!,DA$17,#REF!)*$CG36)*(SUMIF(ProductCodes,"H",$CI:$CI)/(SUMIF(ProductCodes,"H",$CH:$CH))),""))))))),"Error")</f>
        <v/>
      </c>
      <c r="DB36" s="84" t="str">
        <f>IFERROR(
IF(SUMIF(ProductCodes,"C",$CI:$CI)=$CI$42,(IF($A36="C",(SUMIF(#REF!,DB$17,#REF!)*$CG36)*((SUMIF(ProductCodes,"C",$CI:$CI)-SUMIF(ProductCodes,"H",$CH:$CH)-SUMIF(ProductCodes,"R",$CH:$CH)-SUMIF(ProductCodes,"B",$CH:$CH)-(SUMIF(ProductCodes,"S",$CH:$CH)/2))/SUMIF(ProductCodes,"C",$CH:$CH)),IF($A36="S",(SUMIF(#REF!,DB$17,#REF!)*$CG36)/2,
IF($A36="B",(SUMIF(#REF!,DB$17,#REF!)*$CG36),
IF($A36="R",(SUMIF(#REF!,DB$17,#REF!)*$CG36),
IF($A36="H",(SUMIF(#REF!,DB$17,#REF!)*$CG36),"")))))),
IF(SUMIF(ProductCodes,"S",$CI:$CI)=$CI$42,(IF($A36="S",(SUMIF(#REF!,DB$17,#REF!)*$CG36)*((SUMIF(ProductCodes,"S",$CI:$CI)-SUMIF(ProductCodes,"H",$CH:$CH)-SUMIF(ProductCodes,"R",$CH:$CH)-SUMIF(ProductCodes,"B",$CH:$CH)-(SUMIF(ProductCodes,"C",$CH:$CH)/4))/SUMIF(ProductCodes,"S",$CH:$CH)),
IF($A36="C",(SUMIF(#REF!,DB$17,#REF!)*$CG36)/4,
IF($A36="B",(SUMIF(#REF!,DB$17,#REF!)*$CG36),
IF($A36="R",(SUMIF(#REF!,DB$17,#REF!)*$CG36),
IF($A36="H",(SUMIF(#REF!,DB$17,#REF!)*$CG36),"")))))),
IF($A36="C",(SUMIF(#REF!,DB$17,#REF!)*$CG36)*(SUMIF(ProductCodes,"C",$CI:$CI)/(SUMIF(ProductCodes,"C",$CH:$CH))),
IF($A36="S",(SUMIF(#REF!,DB$17,#REF!)*$CG36)*(SUMIF(ProductCodes,"S",$CI:$CI)/(SUMIF(ProductCodes,"S",$CH:$CH))),
IF($A36="B",(SUMIF(#REF!,DB$17,#REF!)*$CG36)*(SUMIF(ProductCodes,"B",$CI:$CI)/(SUMIF(ProductCodes,"B",$CH:$CH))),
IF($A36="R",(SUMIF(#REF!,DB$17,#REF!)*$CG36)*(SUMIF(ProductCodes,"R",$CI:$CI)/(SUMIF(ProductCodes,"R",$CH:$CH))),
IF($A36="H",(SUMIF(#REF!,DB$17,#REF!)*$CG36)*(SUMIF(ProductCodes,"H",$CI:$CI)/(SUMIF(ProductCodes,"H",$CH:$CH))),""))))))),"Error")</f>
        <v/>
      </c>
      <c r="DC36" s="84" t="str">
        <f>IFERROR(
IF(SUMIF(ProductCodes,"C",$CI:$CI)=$CI$42,(IF($A36="C",(SUMIF(#REF!,DC$17,#REF!)*$CG36)*((SUMIF(ProductCodes,"C",$CI:$CI)-SUMIF(ProductCodes,"H",$CH:$CH)-SUMIF(ProductCodes,"R",$CH:$CH)-SUMIF(ProductCodes,"B",$CH:$CH)-(SUMIF(ProductCodes,"S",$CH:$CH)/2))/SUMIF(ProductCodes,"C",$CH:$CH)),IF($A36="S",(SUMIF(#REF!,DC$17,#REF!)*$CG36)/2,
IF($A36="B",(SUMIF(#REF!,DC$17,#REF!)*$CG36),
IF($A36="R",(SUMIF(#REF!,DC$17,#REF!)*$CG36),
IF($A36="H",(SUMIF(#REF!,DC$17,#REF!)*$CG36),"")))))),
IF(SUMIF(ProductCodes,"S",$CI:$CI)=$CI$42,(IF($A36="S",(SUMIF(#REF!,DC$17,#REF!)*$CG36)*((SUMIF(ProductCodes,"S",$CI:$CI)-SUMIF(ProductCodes,"H",$CH:$CH)-SUMIF(ProductCodes,"R",$CH:$CH)-SUMIF(ProductCodes,"B",$CH:$CH)-(SUMIF(ProductCodes,"C",$CH:$CH)/4))/SUMIF(ProductCodes,"S",$CH:$CH)),
IF($A36="C",(SUMIF(#REF!,DC$17,#REF!)*$CG36)/4,
IF($A36="B",(SUMIF(#REF!,DC$17,#REF!)*$CG36),
IF($A36="R",(SUMIF(#REF!,DC$17,#REF!)*$CG36),
IF($A36="H",(SUMIF(#REF!,DC$17,#REF!)*$CG36),"")))))),
IF($A36="C",(SUMIF(#REF!,DC$17,#REF!)*$CG36)*(SUMIF(ProductCodes,"C",$CI:$CI)/(SUMIF(ProductCodes,"C",$CH:$CH))),
IF($A36="S",(SUMIF(#REF!,DC$17,#REF!)*$CG36)*(SUMIF(ProductCodes,"S",$CI:$CI)/(SUMIF(ProductCodes,"S",$CH:$CH))),
IF($A36="B",(SUMIF(#REF!,DC$17,#REF!)*$CG36)*(SUMIF(ProductCodes,"B",$CI:$CI)/(SUMIF(ProductCodes,"B",$CH:$CH))),
IF($A36="R",(SUMIF(#REF!,DC$17,#REF!)*$CG36)*(SUMIF(ProductCodes,"R",$CI:$CI)/(SUMIF(ProductCodes,"R",$CH:$CH))),
IF($A36="H",(SUMIF(#REF!,DC$17,#REF!)*$CG36)*(SUMIF(ProductCodes,"H",$CI:$CI)/(SUMIF(ProductCodes,"H",$CH:$CH))),""))))))),"Error")</f>
        <v/>
      </c>
      <c r="DD36" s="84" t="str">
        <f>IFERROR(
IF(SUMIF(ProductCodes,"C",$CI:$CI)=$CI$42,(IF($A36="C",(SUMIF(#REF!,DD$17,#REF!)*$CG36)*((SUMIF(ProductCodes,"C",$CI:$CI)-SUMIF(ProductCodes,"H",$CH:$CH)-SUMIF(ProductCodes,"R",$CH:$CH)-SUMIF(ProductCodes,"B",$CH:$CH)-(SUMIF(ProductCodes,"S",$CH:$CH)/2))/SUMIF(ProductCodes,"C",$CH:$CH)),IF($A36="S",(SUMIF(#REF!,DD$17,#REF!)*$CG36)/2,
IF($A36="B",(SUMIF(#REF!,DD$17,#REF!)*$CG36),
IF($A36="R",(SUMIF(#REF!,DD$17,#REF!)*$CG36),
IF($A36="H",(SUMIF(#REF!,DD$17,#REF!)*$CG36),"")))))),
IF(SUMIF(ProductCodes,"S",$CI:$CI)=$CI$42,(IF($A36="S",(SUMIF(#REF!,DD$17,#REF!)*$CG36)*((SUMIF(ProductCodes,"S",$CI:$CI)-SUMIF(ProductCodes,"H",$CH:$CH)-SUMIF(ProductCodes,"R",$CH:$CH)-SUMIF(ProductCodes,"B",$CH:$CH)-(SUMIF(ProductCodes,"C",$CH:$CH)/4))/SUMIF(ProductCodes,"S",$CH:$CH)),
IF($A36="C",(SUMIF(#REF!,DD$17,#REF!)*$CG36)/4,
IF($A36="B",(SUMIF(#REF!,DD$17,#REF!)*$CG36),
IF($A36="R",(SUMIF(#REF!,DD$17,#REF!)*$CG36),
IF($A36="H",(SUMIF(#REF!,DD$17,#REF!)*$CG36),"")))))),
IF($A36="C",(SUMIF(#REF!,DD$17,#REF!)*$CG36)*(SUMIF(ProductCodes,"C",$CI:$CI)/(SUMIF(ProductCodes,"C",$CH:$CH))),
IF($A36="S",(SUMIF(#REF!,DD$17,#REF!)*$CG36)*(SUMIF(ProductCodes,"S",$CI:$CI)/(SUMIF(ProductCodes,"S",$CH:$CH))),
IF($A36="B",(SUMIF(#REF!,DD$17,#REF!)*$CG36)*(SUMIF(ProductCodes,"B",$CI:$CI)/(SUMIF(ProductCodes,"B",$CH:$CH))),
IF($A36="R",(SUMIF(#REF!,DD$17,#REF!)*$CG36)*(SUMIF(ProductCodes,"R",$CI:$CI)/(SUMIF(ProductCodes,"R",$CH:$CH))),
IF($A36="H",(SUMIF(#REF!,DD$17,#REF!)*$CG36)*(SUMIF(ProductCodes,"H",$CI:$CI)/(SUMIF(ProductCodes,"H",$CH:$CH))),""))))))),"Error")</f>
        <v/>
      </c>
      <c r="DE36" s="84" t="str">
        <f>IFERROR(
IF(SUMIF(ProductCodes,"C",$CI:$CI)=$CI$42,(IF($A36="C",(SUMIF(#REF!,DE$17,#REF!)*$CG36)*((SUMIF(ProductCodes,"C",$CI:$CI)-SUMIF(ProductCodes,"H",$CH:$CH)-SUMIF(ProductCodes,"R",$CH:$CH)-SUMIF(ProductCodes,"B",$CH:$CH)-(SUMIF(ProductCodes,"S",$CH:$CH)/2))/SUMIF(ProductCodes,"C",$CH:$CH)),IF($A36="S",(SUMIF(#REF!,DE$17,#REF!)*$CG36)/2,
IF($A36="B",(SUMIF(#REF!,DE$17,#REF!)*$CG36),
IF($A36="R",(SUMIF(#REF!,DE$17,#REF!)*$CG36),
IF($A36="H",(SUMIF(#REF!,DE$17,#REF!)*$CG36),"")))))),
IF(SUMIF(ProductCodes,"S",$CI:$CI)=$CI$42,(IF($A36="S",(SUMIF(#REF!,DE$17,#REF!)*$CG36)*((SUMIF(ProductCodes,"S",$CI:$CI)-SUMIF(ProductCodes,"H",$CH:$CH)-SUMIF(ProductCodes,"R",$CH:$CH)-SUMIF(ProductCodes,"B",$CH:$CH)-(SUMIF(ProductCodes,"C",$CH:$CH)/4))/SUMIF(ProductCodes,"S",$CH:$CH)),
IF($A36="C",(SUMIF(#REF!,DE$17,#REF!)*$CG36)/4,
IF($A36="B",(SUMIF(#REF!,DE$17,#REF!)*$CG36),
IF($A36="R",(SUMIF(#REF!,DE$17,#REF!)*$CG36),
IF($A36="H",(SUMIF(#REF!,DE$17,#REF!)*$CG36),"")))))),
IF($A36="C",(SUMIF(#REF!,DE$17,#REF!)*$CG36)*(SUMIF(ProductCodes,"C",$CI:$CI)/(SUMIF(ProductCodes,"C",$CH:$CH))),
IF($A36="S",(SUMIF(#REF!,DE$17,#REF!)*$CG36)*(SUMIF(ProductCodes,"S",$CI:$CI)/(SUMIF(ProductCodes,"S",$CH:$CH))),
IF($A36="B",(SUMIF(#REF!,DE$17,#REF!)*$CG36)*(SUMIF(ProductCodes,"B",$CI:$CI)/(SUMIF(ProductCodes,"B",$CH:$CH))),
IF($A36="R",(SUMIF(#REF!,DE$17,#REF!)*$CG36)*(SUMIF(ProductCodes,"R",$CI:$CI)/(SUMIF(ProductCodes,"R",$CH:$CH))),
IF($A36="H",(SUMIF(#REF!,DE$17,#REF!)*$CG36)*(SUMIF(ProductCodes,"H",$CI:$CI)/(SUMIF(ProductCodes,"H",$CH:$CH))),""))))))),"Error")</f>
        <v/>
      </c>
      <c r="DF36" s="84" t="str">
        <f>IFERROR(
IF(SUMIF(ProductCodes,"C",$CI:$CI)=$CI$42,(IF($A36="C",(SUMIF(#REF!,DF$17,#REF!)*$CG36)*((SUMIF(ProductCodes,"C",$CI:$CI)-SUMIF(ProductCodes,"H",$CH:$CH)-SUMIF(ProductCodes,"R",$CH:$CH)-SUMIF(ProductCodes,"B",$CH:$CH)-(SUMIF(ProductCodes,"S",$CH:$CH)/2))/SUMIF(ProductCodes,"C",$CH:$CH)),IF($A36="S",(SUMIF(#REF!,DF$17,#REF!)*$CG36)/2,
IF($A36="B",(SUMIF(#REF!,DF$17,#REF!)*$CG36),
IF($A36="R",(SUMIF(#REF!,DF$17,#REF!)*$CG36),
IF($A36="H",(SUMIF(#REF!,DF$17,#REF!)*$CG36),"")))))),
IF(SUMIF(ProductCodes,"S",$CI:$CI)=$CI$42,(IF($A36="S",(SUMIF(#REF!,DF$17,#REF!)*$CG36)*((SUMIF(ProductCodes,"S",$CI:$CI)-SUMIF(ProductCodes,"H",$CH:$CH)-SUMIF(ProductCodes,"R",$CH:$CH)-SUMIF(ProductCodes,"B",$CH:$CH)-(SUMIF(ProductCodes,"C",$CH:$CH)/4))/SUMIF(ProductCodes,"S",$CH:$CH)),
IF($A36="C",(SUMIF(#REF!,DF$17,#REF!)*$CG36)/4,
IF($A36="B",(SUMIF(#REF!,DF$17,#REF!)*$CG36),
IF($A36="R",(SUMIF(#REF!,DF$17,#REF!)*$CG36),
IF($A36="H",(SUMIF(#REF!,DF$17,#REF!)*$CG36),"")))))),
IF($A36="C",(SUMIF(#REF!,DF$17,#REF!)*$CG36)*(SUMIF(ProductCodes,"C",$CI:$CI)/(SUMIF(ProductCodes,"C",$CH:$CH))),
IF($A36="S",(SUMIF(#REF!,DF$17,#REF!)*$CG36)*(SUMIF(ProductCodes,"S",$CI:$CI)/(SUMIF(ProductCodes,"S",$CH:$CH))),
IF($A36="B",(SUMIF(#REF!,DF$17,#REF!)*$CG36)*(SUMIF(ProductCodes,"B",$CI:$CI)/(SUMIF(ProductCodes,"B",$CH:$CH))),
IF($A36="R",(SUMIF(#REF!,DF$17,#REF!)*$CG36)*(SUMIF(ProductCodes,"R",$CI:$CI)/(SUMIF(ProductCodes,"R",$CH:$CH))),
IF($A36="H",(SUMIF(#REF!,DF$17,#REF!)*$CG36)*(SUMIF(ProductCodes,"H",$CI:$CI)/(SUMIF(ProductCodes,"H",$CH:$CH))),""))))))),"Error")</f>
        <v/>
      </c>
      <c r="DG36" s="84" t="str">
        <f>IFERROR(
IF(SUMIF(ProductCodes,"C",$CI:$CI)=$CI$42,(IF($A36="C",(SUMIF(#REF!,DG$17,#REF!)*$CG36)*((SUMIF(ProductCodes,"C",$CI:$CI)-SUMIF(ProductCodes,"H",$CH:$CH)-SUMIF(ProductCodes,"R",$CH:$CH)-SUMIF(ProductCodes,"B",$CH:$CH)-(SUMIF(ProductCodes,"S",$CH:$CH)/2))/SUMIF(ProductCodes,"C",$CH:$CH)),IF($A36="S",(SUMIF(#REF!,DG$17,#REF!)*$CG36)/2,
IF($A36="B",(SUMIF(#REF!,DG$17,#REF!)*$CG36),
IF($A36="R",(SUMIF(#REF!,DG$17,#REF!)*$CG36),
IF($A36="H",(SUMIF(#REF!,DG$17,#REF!)*$CG36),"")))))),
IF(SUMIF(ProductCodes,"S",$CI:$CI)=$CI$42,(IF($A36="S",(SUMIF(#REF!,DG$17,#REF!)*$CG36)*((SUMIF(ProductCodes,"S",$CI:$CI)-SUMIF(ProductCodes,"H",$CH:$CH)-SUMIF(ProductCodes,"R",$CH:$CH)-SUMIF(ProductCodes,"B",$CH:$CH)-(SUMIF(ProductCodes,"C",$CH:$CH)/4))/SUMIF(ProductCodes,"S",$CH:$CH)),
IF($A36="C",(SUMIF(#REF!,DG$17,#REF!)*$CG36)/4,
IF($A36="B",(SUMIF(#REF!,DG$17,#REF!)*$CG36),
IF($A36="R",(SUMIF(#REF!,DG$17,#REF!)*$CG36),
IF($A36="H",(SUMIF(#REF!,DG$17,#REF!)*$CG36),"")))))),
IF($A36="C",(SUMIF(#REF!,DG$17,#REF!)*$CG36)*(SUMIF(ProductCodes,"C",$CI:$CI)/(SUMIF(ProductCodes,"C",$CH:$CH))),
IF($A36="S",(SUMIF(#REF!,DG$17,#REF!)*$CG36)*(SUMIF(ProductCodes,"S",$CI:$CI)/(SUMIF(ProductCodes,"S",$CH:$CH))),
IF($A36="B",(SUMIF(#REF!,DG$17,#REF!)*$CG36)*(SUMIF(ProductCodes,"B",$CI:$CI)/(SUMIF(ProductCodes,"B",$CH:$CH))),
IF($A36="R",(SUMIF(#REF!,DG$17,#REF!)*$CG36)*(SUMIF(ProductCodes,"R",$CI:$CI)/(SUMIF(ProductCodes,"R",$CH:$CH))),
IF($A36="H",(SUMIF(#REF!,DG$17,#REF!)*$CG36)*(SUMIF(ProductCodes,"H",$CI:$CI)/(SUMIF(ProductCodes,"H",$CH:$CH))),""))))))),"Error")</f>
        <v/>
      </c>
      <c r="DH36" s="84" t="str">
        <f>IFERROR(
IF(SUMIF(ProductCodes,"C",$CI:$CI)=$CI$42,(IF($A36="C",(SUMIF(#REF!,DH$17,#REF!)*$CG36)*((SUMIF(ProductCodes,"C",$CI:$CI)-SUMIF(ProductCodes,"H",$CH:$CH)-SUMIF(ProductCodes,"R",$CH:$CH)-SUMIF(ProductCodes,"B",$CH:$CH)-(SUMIF(ProductCodes,"S",$CH:$CH)/2))/SUMIF(ProductCodes,"C",$CH:$CH)),IF($A36="S",(SUMIF(#REF!,DH$17,#REF!)*$CG36)/2,
IF($A36="B",(SUMIF(#REF!,DH$17,#REF!)*$CG36),
IF($A36="R",(SUMIF(#REF!,DH$17,#REF!)*$CG36),
IF($A36="H",(SUMIF(#REF!,DH$17,#REF!)*$CG36),"")))))),
IF(SUMIF(ProductCodes,"S",$CI:$CI)=$CI$42,(IF($A36="S",(SUMIF(#REF!,DH$17,#REF!)*$CG36)*((SUMIF(ProductCodes,"S",$CI:$CI)-SUMIF(ProductCodes,"H",$CH:$CH)-SUMIF(ProductCodes,"R",$CH:$CH)-SUMIF(ProductCodes,"B",$CH:$CH)-(SUMIF(ProductCodes,"C",$CH:$CH)/4))/SUMIF(ProductCodes,"S",$CH:$CH)),
IF($A36="C",(SUMIF(#REF!,DH$17,#REF!)*$CG36)/4,
IF($A36="B",(SUMIF(#REF!,DH$17,#REF!)*$CG36),
IF($A36="R",(SUMIF(#REF!,DH$17,#REF!)*$CG36),
IF($A36="H",(SUMIF(#REF!,DH$17,#REF!)*$CG36),"")))))),
IF($A36="C",(SUMIF(#REF!,DH$17,#REF!)*$CG36)*(SUMIF(ProductCodes,"C",$CI:$CI)/(SUMIF(ProductCodes,"C",$CH:$CH))),
IF($A36="S",(SUMIF(#REF!,DH$17,#REF!)*$CG36)*(SUMIF(ProductCodes,"S",$CI:$CI)/(SUMIF(ProductCodes,"S",$CH:$CH))),
IF($A36="B",(SUMIF(#REF!,DH$17,#REF!)*$CG36)*(SUMIF(ProductCodes,"B",$CI:$CI)/(SUMIF(ProductCodes,"B",$CH:$CH))),
IF($A36="R",(SUMIF(#REF!,DH$17,#REF!)*$CG36)*(SUMIF(ProductCodes,"R",$CI:$CI)/(SUMIF(ProductCodes,"R",$CH:$CH))),
IF($A36="H",(SUMIF(#REF!,DH$17,#REF!)*$CG36)*(SUMIF(ProductCodes,"H",$CI:$CI)/(SUMIF(ProductCodes,"H",$CH:$CH))),""))))))),"Error")</f>
        <v/>
      </c>
      <c r="DI36" s="84" t="str">
        <f>IFERROR(
IF(SUMIF(ProductCodes,"C",$CI:$CI)=$CI$42,(IF($A36="C",(SUMIF(#REF!,DI$17,#REF!)*$CG36)*((SUMIF(ProductCodes,"C",$CI:$CI)-SUMIF(ProductCodes,"H",$CH:$CH)-SUMIF(ProductCodes,"R",$CH:$CH)-SUMIF(ProductCodes,"B",$CH:$CH)-(SUMIF(ProductCodes,"S",$CH:$CH)/2))/SUMIF(ProductCodes,"C",$CH:$CH)),IF($A36="S",(SUMIF(#REF!,DI$17,#REF!)*$CG36)/2,
IF($A36="B",(SUMIF(#REF!,DI$17,#REF!)*$CG36),
IF($A36="R",(SUMIF(#REF!,DI$17,#REF!)*$CG36),
IF($A36="H",(SUMIF(#REF!,DI$17,#REF!)*$CG36),"")))))),
IF(SUMIF(ProductCodes,"S",$CI:$CI)=$CI$42,(IF($A36="S",(SUMIF(#REF!,DI$17,#REF!)*$CG36)*((SUMIF(ProductCodes,"S",$CI:$CI)-SUMIF(ProductCodes,"H",$CH:$CH)-SUMIF(ProductCodes,"R",$CH:$CH)-SUMIF(ProductCodes,"B",$CH:$CH)-(SUMIF(ProductCodes,"C",$CH:$CH)/4))/SUMIF(ProductCodes,"S",$CH:$CH)),
IF($A36="C",(SUMIF(#REF!,DI$17,#REF!)*$CG36)/4,
IF($A36="B",(SUMIF(#REF!,DI$17,#REF!)*$CG36),
IF($A36="R",(SUMIF(#REF!,DI$17,#REF!)*$CG36),
IF($A36="H",(SUMIF(#REF!,DI$17,#REF!)*$CG36),"")))))),
IF($A36="C",(SUMIF(#REF!,DI$17,#REF!)*$CG36)*(SUMIF(ProductCodes,"C",$CI:$CI)/(SUMIF(ProductCodes,"C",$CH:$CH))),
IF($A36="S",(SUMIF(#REF!,DI$17,#REF!)*$CG36)*(SUMIF(ProductCodes,"S",$CI:$CI)/(SUMIF(ProductCodes,"S",$CH:$CH))),
IF($A36="B",(SUMIF(#REF!,DI$17,#REF!)*$CG36)*(SUMIF(ProductCodes,"B",$CI:$CI)/(SUMIF(ProductCodes,"B",$CH:$CH))),
IF($A36="R",(SUMIF(#REF!,DI$17,#REF!)*$CG36)*(SUMIF(ProductCodes,"R",$CI:$CI)/(SUMIF(ProductCodes,"R",$CH:$CH))),
IF($A36="H",(SUMIF(#REF!,DI$17,#REF!)*$CG36)*(SUMIF(ProductCodes,"H",$CI:$CI)/(SUMIF(ProductCodes,"H",$CH:$CH))),""))))))),"Error")</f>
        <v/>
      </c>
      <c r="DJ36" s="84" t="str">
        <f>IFERROR(
IF(SUMIF(ProductCodes,"C",$CI:$CI)=$CI$42,(IF($A36="C",(SUMIF(#REF!,DJ$17,#REF!)*$CG36)*((SUMIF(ProductCodes,"C",$CI:$CI)-SUMIF(ProductCodes,"H",$CH:$CH)-SUMIF(ProductCodes,"R",$CH:$CH)-SUMIF(ProductCodes,"B",$CH:$CH)-(SUMIF(ProductCodes,"S",$CH:$CH)/2))/SUMIF(ProductCodes,"C",$CH:$CH)),IF($A36="S",(SUMIF(#REF!,DJ$17,#REF!)*$CG36)/2,
IF($A36="B",(SUMIF(#REF!,DJ$17,#REF!)*$CG36),
IF($A36="R",(SUMIF(#REF!,DJ$17,#REF!)*$CG36),
IF($A36="H",(SUMIF(#REF!,DJ$17,#REF!)*$CG36),"")))))),
IF(SUMIF(ProductCodes,"S",$CI:$CI)=$CI$42,(IF($A36="S",(SUMIF(#REF!,DJ$17,#REF!)*$CG36)*((SUMIF(ProductCodes,"S",$CI:$CI)-SUMIF(ProductCodes,"H",$CH:$CH)-SUMIF(ProductCodes,"R",$CH:$CH)-SUMIF(ProductCodes,"B",$CH:$CH)-(SUMIF(ProductCodes,"C",$CH:$CH)/4))/SUMIF(ProductCodes,"S",$CH:$CH)),
IF($A36="C",(SUMIF(#REF!,DJ$17,#REF!)*$CG36)/4,
IF($A36="B",(SUMIF(#REF!,DJ$17,#REF!)*$CG36),
IF($A36="R",(SUMIF(#REF!,DJ$17,#REF!)*$CG36),
IF($A36="H",(SUMIF(#REF!,DJ$17,#REF!)*$CG36),"")))))),
IF($A36="C",(SUMIF(#REF!,DJ$17,#REF!)*$CG36)*(SUMIF(ProductCodes,"C",$CI:$CI)/(SUMIF(ProductCodes,"C",$CH:$CH))),
IF($A36="S",(SUMIF(#REF!,DJ$17,#REF!)*$CG36)*(SUMIF(ProductCodes,"S",$CI:$CI)/(SUMIF(ProductCodes,"S",$CH:$CH))),
IF($A36="B",(SUMIF(#REF!,DJ$17,#REF!)*$CG36)*(SUMIF(ProductCodes,"B",$CI:$CI)/(SUMIF(ProductCodes,"B",$CH:$CH))),
IF($A36="R",(SUMIF(#REF!,DJ$17,#REF!)*$CG36)*(SUMIF(ProductCodes,"R",$CI:$CI)/(SUMIF(ProductCodes,"R",$CH:$CH))),
IF($A36="H",(SUMIF(#REF!,DJ$17,#REF!)*$CG36)*(SUMIF(ProductCodes,"H",$CI:$CI)/(SUMIF(ProductCodes,"H",$CH:$CH))),""))))))),"Error")</f>
        <v/>
      </c>
      <c r="DK36" s="84" t="str">
        <f>IFERROR(
IF(SUMIF(ProductCodes,"C",$CI:$CI)=$CI$42,(IF($A36="C",(SUMIF(#REF!,DK$17,#REF!)*$CG36)*((SUMIF(ProductCodes,"C",$CI:$CI)-SUMIF(ProductCodes,"H",$CH:$CH)-SUMIF(ProductCodes,"R",$CH:$CH)-SUMIF(ProductCodes,"B",$CH:$CH)-(SUMIF(ProductCodes,"S",$CH:$CH)/2))/SUMIF(ProductCodes,"C",$CH:$CH)),IF($A36="S",(SUMIF(#REF!,DK$17,#REF!)*$CG36)/2,
IF($A36="B",(SUMIF(#REF!,DK$17,#REF!)*$CG36),
IF($A36="R",(SUMIF(#REF!,DK$17,#REF!)*$CG36),
IF($A36="H",(SUMIF(#REF!,DK$17,#REF!)*$CG36),"")))))),
IF(SUMIF(ProductCodes,"S",$CI:$CI)=$CI$42,(IF($A36="S",(SUMIF(#REF!,DK$17,#REF!)*$CG36)*((SUMIF(ProductCodes,"S",$CI:$CI)-SUMIF(ProductCodes,"H",$CH:$CH)-SUMIF(ProductCodes,"R",$CH:$CH)-SUMIF(ProductCodes,"B",$CH:$CH)-(SUMIF(ProductCodes,"C",$CH:$CH)/4))/SUMIF(ProductCodes,"S",$CH:$CH)),
IF($A36="C",(SUMIF(#REF!,DK$17,#REF!)*$CG36)/4,
IF($A36="B",(SUMIF(#REF!,DK$17,#REF!)*$CG36),
IF($A36="R",(SUMIF(#REF!,DK$17,#REF!)*$CG36),
IF($A36="H",(SUMIF(#REF!,DK$17,#REF!)*$CG36),"")))))),
IF($A36="C",(SUMIF(#REF!,DK$17,#REF!)*$CG36)*(SUMIF(ProductCodes,"C",$CI:$CI)/(SUMIF(ProductCodes,"C",$CH:$CH))),
IF($A36="S",(SUMIF(#REF!,DK$17,#REF!)*$CG36)*(SUMIF(ProductCodes,"S",$CI:$CI)/(SUMIF(ProductCodes,"S",$CH:$CH))),
IF($A36="B",(SUMIF(#REF!,DK$17,#REF!)*$CG36)*(SUMIF(ProductCodes,"B",$CI:$CI)/(SUMIF(ProductCodes,"B",$CH:$CH))),
IF($A36="R",(SUMIF(#REF!,DK$17,#REF!)*$CG36)*(SUMIF(ProductCodes,"R",$CI:$CI)/(SUMIF(ProductCodes,"R",$CH:$CH))),
IF($A36="H",(SUMIF(#REF!,DK$17,#REF!)*$CG36)*(SUMIF(ProductCodes,"H",$CI:$CI)/(SUMIF(ProductCodes,"H",$CH:$CH))),""))))))),"Error")</f>
        <v/>
      </c>
      <c r="DL36" s="84" t="str">
        <f>IFERROR(
IF(SUMIF(ProductCodes,"C",$CI:$CI)=$CI$42,(IF($A36="C",(SUMIF(#REF!,DL$17,#REF!)*$CG36)*((SUMIF(ProductCodes,"C",$CI:$CI)-SUMIF(ProductCodes,"H",$CH:$CH)-SUMIF(ProductCodes,"R",$CH:$CH)-SUMIF(ProductCodes,"B",$CH:$CH)-(SUMIF(ProductCodes,"S",$CH:$CH)/2))/SUMIF(ProductCodes,"C",$CH:$CH)),IF($A36="S",(SUMIF(#REF!,DL$17,#REF!)*$CG36)/2,
IF($A36="B",(SUMIF(#REF!,DL$17,#REF!)*$CG36),
IF($A36="R",(SUMIF(#REF!,DL$17,#REF!)*$CG36),
IF($A36="H",(SUMIF(#REF!,DL$17,#REF!)*$CG36),"")))))),
IF(SUMIF(ProductCodes,"S",$CI:$CI)=$CI$42,(IF($A36="S",(SUMIF(#REF!,DL$17,#REF!)*$CG36)*((SUMIF(ProductCodes,"S",$CI:$CI)-SUMIF(ProductCodes,"H",$CH:$CH)-SUMIF(ProductCodes,"R",$CH:$CH)-SUMIF(ProductCodes,"B",$CH:$CH)-(SUMIF(ProductCodes,"C",$CH:$CH)/4))/SUMIF(ProductCodes,"S",$CH:$CH)),
IF($A36="C",(SUMIF(#REF!,DL$17,#REF!)*$CG36)/4,
IF($A36="B",(SUMIF(#REF!,DL$17,#REF!)*$CG36),
IF($A36="R",(SUMIF(#REF!,DL$17,#REF!)*$CG36),
IF($A36="H",(SUMIF(#REF!,DL$17,#REF!)*$CG36),"")))))),
IF($A36="C",(SUMIF(#REF!,DL$17,#REF!)*$CG36)*(SUMIF(ProductCodes,"C",$CI:$CI)/(SUMIF(ProductCodes,"C",$CH:$CH))),
IF($A36="S",(SUMIF(#REF!,DL$17,#REF!)*$CG36)*(SUMIF(ProductCodes,"S",$CI:$CI)/(SUMIF(ProductCodes,"S",$CH:$CH))),
IF($A36="B",(SUMIF(#REF!,DL$17,#REF!)*$CG36)*(SUMIF(ProductCodes,"B",$CI:$CI)/(SUMIF(ProductCodes,"B",$CH:$CH))),
IF($A36="R",(SUMIF(#REF!,DL$17,#REF!)*$CG36)*(SUMIF(ProductCodes,"R",$CI:$CI)/(SUMIF(ProductCodes,"R",$CH:$CH))),
IF($A36="H",(SUMIF(#REF!,DL$17,#REF!)*$CG36)*(SUMIF(ProductCodes,"H",$CI:$CI)/(SUMIF(ProductCodes,"H",$CH:$CH))),""))))))),"Error")</f>
        <v/>
      </c>
      <c r="DM36" s="84" t="str">
        <f>IFERROR(
IF(SUMIF(ProductCodes,"C",$CI:$CI)=$CI$42,(IF($A36="C",(SUMIF(#REF!,DM$17,#REF!)*$CG36)*((SUMIF(ProductCodes,"C",$CI:$CI)-SUMIF(ProductCodes,"H",$CH:$CH)-SUMIF(ProductCodes,"R",$CH:$CH)-SUMIF(ProductCodes,"B",$CH:$CH)-(SUMIF(ProductCodes,"S",$CH:$CH)/2))/SUMIF(ProductCodes,"C",$CH:$CH)),IF($A36="S",(SUMIF(#REF!,DM$17,#REF!)*$CG36)/2,
IF($A36="B",(SUMIF(#REF!,DM$17,#REF!)*$CG36),
IF($A36="R",(SUMIF(#REF!,DM$17,#REF!)*$CG36),
IF($A36="H",(SUMIF(#REF!,DM$17,#REF!)*$CG36),"")))))),
IF(SUMIF(ProductCodes,"S",$CI:$CI)=$CI$42,(IF($A36="S",(SUMIF(#REF!,DM$17,#REF!)*$CG36)*((SUMIF(ProductCodes,"S",$CI:$CI)-SUMIF(ProductCodes,"H",$CH:$CH)-SUMIF(ProductCodes,"R",$CH:$CH)-SUMIF(ProductCodes,"B",$CH:$CH)-(SUMIF(ProductCodes,"C",$CH:$CH)/4))/SUMIF(ProductCodes,"S",$CH:$CH)),
IF($A36="C",(SUMIF(#REF!,DM$17,#REF!)*$CG36)/4,
IF($A36="B",(SUMIF(#REF!,DM$17,#REF!)*$CG36),
IF($A36="R",(SUMIF(#REF!,DM$17,#REF!)*$CG36),
IF($A36="H",(SUMIF(#REF!,DM$17,#REF!)*$CG36),"")))))),
IF($A36="C",(SUMIF(#REF!,DM$17,#REF!)*$CG36)*(SUMIF(ProductCodes,"C",$CI:$CI)/(SUMIF(ProductCodes,"C",$CH:$CH))),
IF($A36="S",(SUMIF(#REF!,DM$17,#REF!)*$CG36)*(SUMIF(ProductCodes,"S",$CI:$CI)/(SUMIF(ProductCodes,"S",$CH:$CH))),
IF($A36="B",(SUMIF(#REF!,DM$17,#REF!)*$CG36)*(SUMIF(ProductCodes,"B",$CI:$CI)/(SUMIF(ProductCodes,"B",$CH:$CH))),
IF($A36="R",(SUMIF(#REF!,DM$17,#REF!)*$CG36)*(SUMIF(ProductCodes,"R",$CI:$CI)/(SUMIF(ProductCodes,"R",$CH:$CH))),
IF($A36="H",(SUMIF(#REF!,DM$17,#REF!)*$CG36)*(SUMIF(ProductCodes,"H",$CI:$CI)/(SUMIF(ProductCodes,"H",$CH:$CH))),""))))))),"Error")</f>
        <v/>
      </c>
      <c r="DN36" s="84" t="str">
        <f>IFERROR(
IF(SUMIF(ProductCodes,"C",$CI:$CI)=$CI$42,(IF($A36="C",(SUMIF(#REF!,DN$17,#REF!)*$CG36)*((SUMIF(ProductCodes,"C",$CI:$CI)-SUMIF(ProductCodes,"H",$CH:$CH)-SUMIF(ProductCodes,"R",$CH:$CH)-SUMIF(ProductCodes,"B",$CH:$CH)-(SUMIF(ProductCodes,"S",$CH:$CH)/2))/SUMIF(ProductCodes,"C",$CH:$CH)),IF($A36="S",(SUMIF(#REF!,DN$17,#REF!)*$CG36)/2,
IF($A36="B",(SUMIF(#REF!,DN$17,#REF!)*$CG36),
IF($A36="R",(SUMIF(#REF!,DN$17,#REF!)*$CG36),
IF($A36="H",(SUMIF(#REF!,DN$17,#REF!)*$CG36),"")))))),
IF(SUMIF(ProductCodes,"S",$CI:$CI)=$CI$42,(IF($A36="S",(SUMIF(#REF!,DN$17,#REF!)*$CG36)*((SUMIF(ProductCodes,"S",$CI:$CI)-SUMIF(ProductCodes,"H",$CH:$CH)-SUMIF(ProductCodes,"R",$CH:$CH)-SUMIF(ProductCodes,"B",$CH:$CH)-(SUMIF(ProductCodes,"C",$CH:$CH)/4))/SUMIF(ProductCodes,"S",$CH:$CH)),
IF($A36="C",(SUMIF(#REF!,DN$17,#REF!)*$CG36)/4,
IF($A36="B",(SUMIF(#REF!,DN$17,#REF!)*$CG36),
IF($A36="R",(SUMIF(#REF!,DN$17,#REF!)*$CG36),
IF($A36="H",(SUMIF(#REF!,DN$17,#REF!)*$CG36),"")))))),
IF($A36="C",(SUMIF(#REF!,DN$17,#REF!)*$CG36)*(SUMIF(ProductCodes,"C",$CI:$CI)/(SUMIF(ProductCodes,"C",$CH:$CH))),
IF($A36="S",(SUMIF(#REF!,DN$17,#REF!)*$CG36)*(SUMIF(ProductCodes,"S",$CI:$CI)/(SUMIF(ProductCodes,"S",$CH:$CH))),
IF($A36="B",(SUMIF(#REF!,DN$17,#REF!)*$CG36)*(SUMIF(ProductCodes,"B",$CI:$CI)/(SUMIF(ProductCodes,"B",$CH:$CH))),
IF($A36="R",(SUMIF(#REF!,DN$17,#REF!)*$CG36)*(SUMIF(ProductCodes,"R",$CI:$CI)/(SUMIF(ProductCodes,"R",$CH:$CH))),
IF($A36="H",(SUMIF(#REF!,DN$17,#REF!)*$CG36)*(SUMIF(ProductCodes,"H",$CI:$CI)/(SUMIF(ProductCodes,"H",$CH:$CH))),""))))))),"Error")</f>
        <v/>
      </c>
      <c r="DO36" s="84" t="str">
        <f>IFERROR(
IF(SUMIF(ProductCodes,"C",$CI:$CI)=$CI$42,(IF($A36="C",(SUMIF(#REF!,DO$17,#REF!)*$CG36)*((SUMIF(ProductCodes,"C",$CI:$CI)-SUMIF(ProductCodes,"H",$CH:$CH)-SUMIF(ProductCodes,"R",$CH:$CH)-SUMIF(ProductCodes,"B",$CH:$CH)-(SUMIF(ProductCodes,"S",$CH:$CH)/2))/SUMIF(ProductCodes,"C",$CH:$CH)),IF($A36="S",(SUMIF(#REF!,DO$17,#REF!)*$CG36)/2,
IF($A36="B",(SUMIF(#REF!,DO$17,#REF!)*$CG36),
IF($A36="R",(SUMIF(#REF!,DO$17,#REF!)*$CG36),
IF($A36="H",(SUMIF(#REF!,DO$17,#REF!)*$CG36),"")))))),
IF(SUMIF(ProductCodes,"S",$CI:$CI)=$CI$42,(IF($A36="S",(SUMIF(#REF!,DO$17,#REF!)*$CG36)*((SUMIF(ProductCodes,"S",$CI:$CI)-SUMIF(ProductCodes,"H",$CH:$CH)-SUMIF(ProductCodes,"R",$CH:$CH)-SUMIF(ProductCodes,"B",$CH:$CH)-(SUMIF(ProductCodes,"C",$CH:$CH)/4))/SUMIF(ProductCodes,"S",$CH:$CH)),
IF($A36="C",(SUMIF(#REF!,DO$17,#REF!)*$CG36)/4,
IF($A36="B",(SUMIF(#REF!,DO$17,#REF!)*$CG36),
IF($A36="R",(SUMIF(#REF!,DO$17,#REF!)*$CG36),
IF($A36="H",(SUMIF(#REF!,DO$17,#REF!)*$CG36),"")))))),
IF($A36="C",(SUMIF(#REF!,DO$17,#REF!)*$CG36)*(SUMIF(ProductCodes,"C",$CI:$CI)/(SUMIF(ProductCodes,"C",$CH:$CH))),
IF($A36="S",(SUMIF(#REF!,DO$17,#REF!)*$CG36)*(SUMIF(ProductCodes,"S",$CI:$CI)/(SUMIF(ProductCodes,"S",$CH:$CH))),
IF($A36="B",(SUMIF(#REF!,DO$17,#REF!)*$CG36)*(SUMIF(ProductCodes,"B",$CI:$CI)/(SUMIF(ProductCodes,"B",$CH:$CH))),
IF($A36="R",(SUMIF(#REF!,DO$17,#REF!)*$CG36)*(SUMIF(ProductCodes,"R",$CI:$CI)/(SUMIF(ProductCodes,"R",$CH:$CH))),
IF($A36="H",(SUMIF(#REF!,DO$17,#REF!)*$CG36)*(SUMIF(ProductCodes,"H",$CI:$CI)/(SUMIF(ProductCodes,"H",$CH:$CH))),""))))))),"Error")</f>
        <v/>
      </c>
      <c r="DP36" s="85" t="str">
        <f>IFERROR(
IF(SUMIF(ProductCodes,"C",$CI:$CI)=$CI$42,(IF($A36="C",(SUMIF(#REF!,DP$17,#REF!)*$CG36)*((SUMIF(ProductCodes,"C",$CI:$CI)-SUMIF(ProductCodes,"H",$CH:$CH)-SUMIF(ProductCodes,"R",$CH:$CH)-SUMIF(ProductCodes,"B",$CH:$CH)-(SUMIF(ProductCodes,"S",$CH:$CH)/2))/SUMIF(ProductCodes,"C",$CH:$CH)),IF($A36="S",(SUMIF(#REF!,DP$17,#REF!)*$CG36)/2,
IF($A36="B",(SUMIF(#REF!,DP$17,#REF!)*$CG36),
IF($A36="R",(SUMIF(#REF!,DP$17,#REF!)*$CG36),
IF($A36="H",(SUMIF(#REF!,DP$17,#REF!)*$CG36),"")))))),
IF(SUMIF(ProductCodes,"S",$CI:$CI)=$CI$42,(IF($A36="S",(SUMIF(#REF!,DP$17,#REF!)*$CG36)*((SUMIF(ProductCodes,"S",$CI:$CI)-SUMIF(ProductCodes,"H",$CH:$CH)-SUMIF(ProductCodes,"R",$CH:$CH)-SUMIF(ProductCodes,"B",$CH:$CH)-(SUMIF(ProductCodes,"C",$CH:$CH)/4))/SUMIF(ProductCodes,"S",$CH:$CH)),
IF($A36="C",(SUMIF(#REF!,DP$17,#REF!)*$CG36)/4,
IF($A36="B",(SUMIF(#REF!,DP$17,#REF!)*$CG36),
IF($A36="R",(SUMIF(#REF!,DP$17,#REF!)*$CG36),
IF($A36="H",(SUMIF(#REF!,DP$17,#REF!)*$CG36),"")))))),
IF($A36="C",(SUMIF(#REF!,DP$17,#REF!)*$CG36)*(SUMIF(ProductCodes,"C",$CI:$CI)/(SUMIF(ProductCodes,"C",$CH:$CH))),
IF($A36="S",(SUMIF(#REF!,DP$17,#REF!)*$CG36)*(SUMIF(ProductCodes,"S",$CI:$CI)/(SUMIF(ProductCodes,"S",$CH:$CH))),
IF($A36="B",(SUMIF(#REF!,DP$17,#REF!)*$CG36)*(SUMIF(ProductCodes,"B",$CI:$CI)/(SUMIF(ProductCodes,"B",$CH:$CH))),
IF($A36="R",(SUMIF(#REF!,DP$17,#REF!)*$CG36)*(SUMIF(ProductCodes,"R",$CI:$CI)/(SUMIF(ProductCodes,"R",$CH:$CH))),
IF($A36="H",(SUMIF(#REF!,DP$17,#REF!)*$CG36)*(SUMIF(ProductCodes,"H",$CI:$CI)/(SUMIF(ProductCodes,"H",$CH:$CH))),""))))))),"Error")</f>
        <v/>
      </c>
      <c r="DQ36" s="9"/>
      <c r="DR36" s="9"/>
      <c r="DS36"/>
      <c r="DT36"/>
      <c r="DU36"/>
      <c r="DV36"/>
      <c r="DW36"/>
      <c r="DX36"/>
      <c r="DY36"/>
      <c r="DZ36"/>
      <c r="EA36"/>
      <c r="EB36"/>
      <c r="EC36"/>
      <c r="ED36"/>
    </row>
    <row r="37" spans="1:135" s="86" customFormat="1" ht="61.5" customHeight="1" thickBot="1" x14ac:dyDescent="0.4">
      <c r="A37" s="112" t="s">
        <v>43</v>
      </c>
      <c r="B37" s="206" t="s">
        <v>81</v>
      </c>
      <c r="C37" s="100" t="s">
        <v>44</v>
      </c>
      <c r="D37" s="101" t="s">
        <v>45</v>
      </c>
      <c r="E37" s="103"/>
      <c r="F37" s="103"/>
      <c r="G37" s="106"/>
      <c r="H37" s="104"/>
      <c r="I37" s="102"/>
      <c r="J37" s="103"/>
      <c r="K37" s="103"/>
      <c r="L37" s="104"/>
      <c r="M37" s="105"/>
      <c r="N37" s="103"/>
      <c r="O37" s="103"/>
      <c r="P37" s="106"/>
      <c r="Q37" s="105"/>
      <c r="R37" s="103"/>
      <c r="S37" s="103"/>
      <c r="T37" s="106"/>
      <c r="U37" s="104"/>
      <c r="V37" s="214"/>
      <c r="W37" s="215"/>
      <c r="X37" s="215"/>
      <c r="Y37" s="216"/>
      <c r="Z37" s="214"/>
      <c r="AA37" s="215"/>
      <c r="AB37" s="215"/>
      <c r="AC37" s="215"/>
      <c r="AD37" s="235">
        <v>10</v>
      </c>
      <c r="AE37" s="236"/>
      <c r="AF37" s="236"/>
      <c r="AG37" s="236"/>
      <c r="AH37" s="237"/>
      <c r="AI37" s="290">
        <v>10</v>
      </c>
      <c r="AJ37" s="236"/>
      <c r="AK37" s="236"/>
      <c r="AL37" s="237"/>
      <c r="AM37" s="290">
        <v>10</v>
      </c>
      <c r="AN37" s="236"/>
      <c r="AO37" s="236"/>
      <c r="AP37" s="236"/>
      <c r="AQ37" s="237"/>
      <c r="AR37" s="290">
        <v>10</v>
      </c>
      <c r="AS37" s="236"/>
      <c r="AT37" s="236"/>
      <c r="AU37" s="237"/>
      <c r="AV37" s="290">
        <v>10</v>
      </c>
      <c r="AW37" s="236"/>
      <c r="AX37" s="236"/>
      <c r="AY37" s="237"/>
      <c r="AZ37" s="290">
        <v>10</v>
      </c>
      <c r="BA37" s="236"/>
      <c r="BB37" s="236"/>
      <c r="BC37" s="236"/>
      <c r="BD37" s="237"/>
      <c r="BE37" s="290">
        <v>10</v>
      </c>
      <c r="BF37" s="236"/>
      <c r="BG37" s="236"/>
      <c r="BH37" s="237"/>
      <c r="BI37" s="290">
        <v>10</v>
      </c>
      <c r="BJ37" s="236"/>
      <c r="BK37" s="236"/>
      <c r="BL37" s="237"/>
      <c r="BM37" s="290">
        <v>10</v>
      </c>
      <c r="BN37" s="236"/>
      <c r="BO37" s="236"/>
      <c r="BP37" s="236"/>
      <c r="BQ37" s="237"/>
      <c r="BR37" s="290">
        <v>10</v>
      </c>
      <c r="BS37" s="236"/>
      <c r="BT37" s="236"/>
      <c r="BU37" s="237"/>
      <c r="BV37" s="290">
        <v>10</v>
      </c>
      <c r="BW37" s="236"/>
      <c r="BX37" s="236"/>
      <c r="BY37" s="237"/>
      <c r="BZ37" s="290">
        <v>10</v>
      </c>
      <c r="CA37" s="236"/>
      <c r="CB37" s="236"/>
      <c r="CC37" s="237"/>
      <c r="CD37" s="198">
        <v>1</v>
      </c>
      <c r="CE37" s="199">
        <f t="shared" si="33"/>
        <v>120</v>
      </c>
      <c r="CF37" s="199">
        <f t="shared" ref="CF37" si="39">CD37*CE37</f>
        <v>120</v>
      </c>
      <c r="CG37" s="190">
        <v>70</v>
      </c>
      <c r="CH37" s="212">
        <f t="shared" ref="CH37" si="40">CG37*CE37</f>
        <v>8400</v>
      </c>
      <c r="CI37" s="240"/>
      <c r="CJ37" s="183"/>
      <c r="CK37" s="183"/>
      <c r="CL37" s="183"/>
      <c r="CM37" s="92"/>
      <c r="CN37" s="92">
        <f>CM37*CE37</f>
        <v>0</v>
      </c>
      <c r="CO37" s="93"/>
      <c r="CP37" s="75"/>
      <c r="CQ37" s="75"/>
      <c r="CR37" s="83"/>
      <c r="CS37" s="84" t="str">
        <f>IFERROR(
IF(SUMIF(ProductCodes,"C",$CI:$CI)=$CI$775,(IF($A37="C",(SUMIF(#REF!,CS$17,#REF!)*$CG37)*((SUMIF(ProductCodes,"C",$CI:$CI)-SUMIF(ProductCodes,"H",$CH:$CH)-SUMIF(ProductCodes,"R",$CH:$CH)-SUMIF(ProductCodes,"B",$CH:$CH)-(SUMIF(ProductCodes,"S",$CH:$CH)/2))/SUMIF(ProductCodes,"C",$CH:$CH)),IF($A37="S",(SUMIF(#REF!,CS$17,#REF!)*$CG37)/2,
IF($A37="B",(SUMIF(#REF!,CS$17,#REF!)*$CG37),
IF($A37="R",(SUMIF(#REF!,CS$17,#REF!)*$CG37),
IF($A37="H",(SUMIF(#REF!,CS$17,#REF!)*$CG37),"")))))),
IF(SUMIF(ProductCodes,"S",$CI:$CI)=$CI$775,(IF($A37="S",(SUMIF(#REF!,CS$17,#REF!)*$CG37)*((SUMIF(ProductCodes,"S",$CI:$CI)-SUMIF(ProductCodes,"H",$CH:$CH)-SUMIF(ProductCodes,"R",$CH:$CH)-SUMIF(ProductCodes,"B",$CH:$CH)-(SUMIF(ProductCodes,"C",$CH:$CH)/4))/SUMIF(ProductCodes,"S",$CH:$CH)),
IF($A37="C",(SUMIF(#REF!,CS$17,#REF!)*$CG37)/4,
IF($A37="B",(SUMIF(#REF!,CS$17,#REF!)*$CG37),
IF($A37="R",(SUMIF(#REF!,CS$17,#REF!)*$CG37),
IF($A37="H",(SUMIF(#REF!,CS$17,#REF!)*$CG37),"")))))),
IF($A37="C",(SUMIF(#REF!,CS$17,#REF!)*$CG37)*(SUMIF(ProductCodes,"C",$CI:$CI)/(SUMIF(ProductCodes,"C",$CH:$CH))),
IF($A37="S",(SUMIF(#REF!,CS$17,#REF!)*$CG37)*(SUMIF(ProductCodes,"S",$CI:$CI)/(SUMIF(ProductCodes,"S",$CH:$CH))),
IF($A37="B",(SUMIF(#REF!,CS$17,#REF!)*$CG37)*(SUMIF(ProductCodes,"B",$CI:$CI)/(SUMIF(ProductCodes,"B",$CH:$CH))),
IF($A37="R",(SUMIF(#REF!,CS$17,#REF!)*$CG37)*(SUMIF(ProductCodes,"R",$CI:$CI)/(SUMIF(ProductCodes,"R",$CH:$CH))),
IF($A37="H",(SUMIF(#REF!,CS$17,#REF!)*$CG37)*(SUMIF(ProductCodes,"H",$CI:$CI)/(SUMIF(ProductCodes,"H",$CH:$CH))),""))))))),"Error")</f>
        <v>Error</v>
      </c>
      <c r="CT37" s="84" t="str">
        <f>IFERROR(
IF(SUMIF(ProductCodes,"C",$CI:$CI)=$CI$775,(IF($A37="C",(SUMIF(#REF!,CT$17,#REF!)*$CG37)*((SUMIF(ProductCodes,"C",$CI:$CI)-SUMIF(ProductCodes,"H",$CH:$CH)-SUMIF(ProductCodes,"R",$CH:$CH)-SUMIF(ProductCodes,"B",$CH:$CH)-(SUMIF(ProductCodes,"S",$CH:$CH)/2))/SUMIF(ProductCodes,"C",$CH:$CH)),IF($A37="S",(SUMIF(#REF!,CT$17,#REF!)*$CG37)/2,
IF($A37="B",(SUMIF(#REF!,CT$17,#REF!)*$CG37),
IF($A37="R",(SUMIF(#REF!,CT$17,#REF!)*$CG37),
IF($A37="H",(SUMIF(#REF!,CT$17,#REF!)*$CG37),"")))))),
IF(SUMIF(ProductCodes,"S",$CI:$CI)=$CI$775,(IF($A37="S",(SUMIF(#REF!,CT$17,#REF!)*$CG37)*((SUMIF(ProductCodes,"S",$CI:$CI)-SUMIF(ProductCodes,"H",$CH:$CH)-SUMIF(ProductCodes,"R",$CH:$CH)-SUMIF(ProductCodes,"B",$CH:$CH)-(SUMIF(ProductCodes,"C",$CH:$CH)/4))/SUMIF(ProductCodes,"S",$CH:$CH)),
IF($A37="C",(SUMIF(#REF!,CT$17,#REF!)*$CG37)/4,
IF($A37="B",(SUMIF(#REF!,CT$17,#REF!)*$CG37),
IF($A37="R",(SUMIF(#REF!,CT$17,#REF!)*$CG37),
IF($A37="H",(SUMIF(#REF!,CT$17,#REF!)*$CG37),"")))))),
IF($A37="C",(SUMIF(#REF!,CT$17,#REF!)*$CG37)*(SUMIF(ProductCodes,"C",$CI:$CI)/(SUMIF(ProductCodes,"C",$CH:$CH))),
IF($A37="S",(SUMIF(#REF!,CT$17,#REF!)*$CG37)*(SUMIF(ProductCodes,"S",$CI:$CI)/(SUMIF(ProductCodes,"S",$CH:$CH))),
IF($A37="B",(SUMIF(#REF!,CT$17,#REF!)*$CG37)*(SUMIF(ProductCodes,"B",$CI:$CI)/(SUMIF(ProductCodes,"B",$CH:$CH))),
IF($A37="R",(SUMIF(#REF!,CT$17,#REF!)*$CG37)*(SUMIF(ProductCodes,"R",$CI:$CI)/(SUMIF(ProductCodes,"R",$CH:$CH))),
IF($A37="H",(SUMIF(#REF!,CT$17,#REF!)*$CG37)*(SUMIF(ProductCodes,"H",$CI:$CI)/(SUMIF(ProductCodes,"H",$CH:$CH))),""))))))),"Error")</f>
        <v>Error</v>
      </c>
      <c r="CU37" s="84" t="str">
        <f>IFERROR(
IF(SUMIF(ProductCodes,"C",$CI:$CI)=$CI$775,(IF($A37="C",(SUMIF(#REF!,CU$17,#REF!)*$CG37)*((SUMIF(ProductCodes,"C",$CI:$CI)-SUMIF(ProductCodes,"H",$CH:$CH)-SUMIF(ProductCodes,"R",$CH:$CH)-SUMIF(ProductCodes,"B",$CH:$CH)-(SUMIF(ProductCodes,"S",$CH:$CH)/2))/SUMIF(ProductCodes,"C",$CH:$CH)),IF($A37="S",(SUMIF(#REF!,CU$17,#REF!)*$CG37)/2,
IF($A37="B",(SUMIF(#REF!,CU$17,#REF!)*$CG37),
IF($A37="R",(SUMIF(#REF!,CU$17,#REF!)*$CG37),
IF($A37="H",(SUMIF(#REF!,CU$17,#REF!)*$CG37),"")))))),
IF(SUMIF(ProductCodes,"S",$CI:$CI)=$CI$775,(IF($A37="S",(SUMIF(#REF!,CU$17,#REF!)*$CG37)*((SUMIF(ProductCodes,"S",$CI:$CI)-SUMIF(ProductCodes,"H",$CH:$CH)-SUMIF(ProductCodes,"R",$CH:$CH)-SUMIF(ProductCodes,"B",$CH:$CH)-(SUMIF(ProductCodes,"C",$CH:$CH)/4))/SUMIF(ProductCodes,"S",$CH:$CH)),
IF($A37="C",(SUMIF(#REF!,CU$17,#REF!)*$CG37)/4,
IF($A37="B",(SUMIF(#REF!,CU$17,#REF!)*$CG37),
IF($A37="R",(SUMIF(#REF!,CU$17,#REF!)*$CG37),
IF($A37="H",(SUMIF(#REF!,CU$17,#REF!)*$CG37),"")))))),
IF($A37="C",(SUMIF(#REF!,CU$17,#REF!)*$CG37)*(SUMIF(ProductCodes,"C",$CI:$CI)/(SUMIF(ProductCodes,"C",$CH:$CH))),
IF($A37="S",(SUMIF(#REF!,CU$17,#REF!)*$CG37)*(SUMIF(ProductCodes,"S",$CI:$CI)/(SUMIF(ProductCodes,"S",$CH:$CH))),
IF($A37="B",(SUMIF(#REF!,CU$17,#REF!)*$CG37)*(SUMIF(ProductCodes,"B",$CI:$CI)/(SUMIF(ProductCodes,"B",$CH:$CH))),
IF($A37="R",(SUMIF(#REF!,CU$17,#REF!)*$CG37)*(SUMIF(ProductCodes,"R",$CI:$CI)/(SUMIF(ProductCodes,"R",$CH:$CH))),
IF($A37="H",(SUMIF(#REF!,CU$17,#REF!)*$CG37)*(SUMIF(ProductCodes,"H",$CI:$CI)/(SUMIF(ProductCodes,"H",$CH:$CH))),""))))))),"Error")</f>
        <v>Error</v>
      </c>
      <c r="CV37" s="84" t="str">
        <f>IFERROR(
IF(SUMIF(ProductCodes,"C",$CI:$CI)=$CI$775,(IF($A37="C",(SUMIF(#REF!,CV$17,#REF!)*$CG37)*((SUMIF(ProductCodes,"C",$CI:$CI)-SUMIF(ProductCodes,"H",$CH:$CH)-SUMIF(ProductCodes,"R",$CH:$CH)-SUMIF(ProductCodes,"B",$CH:$CH)-(SUMIF(ProductCodes,"S",$CH:$CH)/2))/SUMIF(ProductCodes,"C",$CH:$CH)),IF($A37="S",(SUMIF(#REF!,CV$17,#REF!)*$CG37)/2,
IF($A37="B",(SUMIF(#REF!,CV$17,#REF!)*$CG37),
IF($A37="R",(SUMIF(#REF!,CV$17,#REF!)*$CG37),
IF($A37="H",(SUMIF(#REF!,CV$17,#REF!)*$CG37),"")))))),
IF(SUMIF(ProductCodes,"S",$CI:$CI)=$CI$775,(IF($A37="S",(SUMIF(#REF!,CV$17,#REF!)*$CG37)*((SUMIF(ProductCodes,"S",$CI:$CI)-SUMIF(ProductCodes,"H",$CH:$CH)-SUMIF(ProductCodes,"R",$CH:$CH)-SUMIF(ProductCodes,"B",$CH:$CH)-(SUMIF(ProductCodes,"C",$CH:$CH)/4))/SUMIF(ProductCodes,"S",$CH:$CH)),
IF($A37="C",(SUMIF(#REF!,CV$17,#REF!)*$CG37)/4,
IF($A37="B",(SUMIF(#REF!,CV$17,#REF!)*$CG37),
IF($A37="R",(SUMIF(#REF!,CV$17,#REF!)*$CG37),
IF($A37="H",(SUMIF(#REF!,CV$17,#REF!)*$CG37),"")))))),
IF($A37="C",(SUMIF(#REF!,CV$17,#REF!)*$CG37)*(SUMIF(ProductCodes,"C",$CI:$CI)/(SUMIF(ProductCodes,"C",$CH:$CH))),
IF($A37="S",(SUMIF(#REF!,CV$17,#REF!)*$CG37)*(SUMIF(ProductCodes,"S",$CI:$CI)/(SUMIF(ProductCodes,"S",$CH:$CH))),
IF($A37="B",(SUMIF(#REF!,CV$17,#REF!)*$CG37)*(SUMIF(ProductCodes,"B",$CI:$CI)/(SUMIF(ProductCodes,"B",$CH:$CH))),
IF($A37="R",(SUMIF(#REF!,CV$17,#REF!)*$CG37)*(SUMIF(ProductCodes,"R",$CI:$CI)/(SUMIF(ProductCodes,"R",$CH:$CH))),
IF($A37="H",(SUMIF(#REF!,CV$17,#REF!)*$CG37)*(SUMIF(ProductCodes,"H",$CI:$CI)/(SUMIF(ProductCodes,"H",$CH:$CH))),""))))))),"Error")</f>
        <v>Error</v>
      </c>
      <c r="CW37" s="84" t="str">
        <f>IFERROR(
IF(SUMIF(ProductCodes,"C",$CI:$CI)=$CI$775,(IF($A37="C",(SUMIF(#REF!,CW$17,#REF!)*$CG37)*((SUMIF(ProductCodes,"C",$CI:$CI)-SUMIF(ProductCodes,"H",$CH:$CH)-SUMIF(ProductCodes,"R",$CH:$CH)-SUMIF(ProductCodes,"B",$CH:$CH)-(SUMIF(ProductCodes,"S",$CH:$CH)/2))/SUMIF(ProductCodes,"C",$CH:$CH)),IF($A37="S",(SUMIF(#REF!,CW$17,#REF!)*$CG37)/2,
IF($A37="B",(SUMIF(#REF!,CW$17,#REF!)*$CG37),
IF($A37="R",(SUMIF(#REF!,CW$17,#REF!)*$CG37),
IF($A37="H",(SUMIF(#REF!,CW$17,#REF!)*$CG37),"")))))),
IF(SUMIF(ProductCodes,"S",$CI:$CI)=$CI$775,(IF($A37="S",(SUMIF(#REF!,CW$17,#REF!)*$CG37)*((SUMIF(ProductCodes,"S",$CI:$CI)-SUMIF(ProductCodes,"H",$CH:$CH)-SUMIF(ProductCodes,"R",$CH:$CH)-SUMIF(ProductCodes,"B",$CH:$CH)-(SUMIF(ProductCodes,"C",$CH:$CH)/4))/SUMIF(ProductCodes,"S",$CH:$CH)),
IF($A37="C",(SUMIF(#REF!,CW$17,#REF!)*$CG37)/4,
IF($A37="B",(SUMIF(#REF!,CW$17,#REF!)*$CG37),
IF($A37="R",(SUMIF(#REF!,CW$17,#REF!)*$CG37),
IF($A37="H",(SUMIF(#REF!,CW$17,#REF!)*$CG37),"")))))),
IF($A37="C",(SUMIF(#REF!,CW$17,#REF!)*$CG37)*(SUMIF(ProductCodes,"C",$CI:$CI)/(SUMIF(ProductCodes,"C",$CH:$CH))),
IF($A37="S",(SUMIF(#REF!,CW$17,#REF!)*$CG37)*(SUMIF(ProductCodes,"S",$CI:$CI)/(SUMIF(ProductCodes,"S",$CH:$CH))),
IF($A37="B",(SUMIF(#REF!,CW$17,#REF!)*$CG37)*(SUMIF(ProductCodes,"B",$CI:$CI)/(SUMIF(ProductCodes,"B",$CH:$CH))),
IF($A37="R",(SUMIF(#REF!,CW$17,#REF!)*$CG37)*(SUMIF(ProductCodes,"R",$CI:$CI)/(SUMIF(ProductCodes,"R",$CH:$CH))),
IF($A37="H",(SUMIF(#REF!,CW$17,#REF!)*$CG37)*(SUMIF(ProductCodes,"H",$CI:$CI)/(SUMIF(ProductCodes,"H",$CH:$CH))),""))))))),"Error")</f>
        <v>Error</v>
      </c>
      <c r="CX37" s="84" t="str">
        <f>IFERROR(
IF(SUMIF(ProductCodes,"C",$CI:$CI)=$CI$775,(IF($A37="C",(SUMIF(#REF!,CX$17,#REF!)*$CG37)*((SUMIF(ProductCodes,"C",$CI:$CI)-SUMIF(ProductCodes,"H",$CH:$CH)-SUMIF(ProductCodes,"R",$CH:$CH)-SUMIF(ProductCodes,"B",$CH:$CH)-(SUMIF(ProductCodes,"S",$CH:$CH)/2))/SUMIF(ProductCodes,"C",$CH:$CH)),IF($A37="S",(SUMIF(#REF!,CX$17,#REF!)*$CG37)/2,
IF($A37="B",(SUMIF(#REF!,CX$17,#REF!)*$CG37),
IF($A37="R",(SUMIF(#REF!,CX$17,#REF!)*$CG37),
IF($A37="H",(SUMIF(#REF!,CX$17,#REF!)*$CG37),"")))))),
IF(SUMIF(ProductCodes,"S",$CI:$CI)=$CI$775,(IF($A37="S",(SUMIF(#REF!,CX$17,#REF!)*$CG37)*((SUMIF(ProductCodes,"S",$CI:$CI)-SUMIF(ProductCodes,"H",$CH:$CH)-SUMIF(ProductCodes,"R",$CH:$CH)-SUMIF(ProductCodes,"B",$CH:$CH)-(SUMIF(ProductCodes,"C",$CH:$CH)/4))/SUMIF(ProductCodes,"S",$CH:$CH)),
IF($A37="C",(SUMIF(#REF!,CX$17,#REF!)*$CG37)/4,
IF($A37="B",(SUMIF(#REF!,CX$17,#REF!)*$CG37),
IF($A37="R",(SUMIF(#REF!,CX$17,#REF!)*$CG37),
IF($A37="H",(SUMIF(#REF!,CX$17,#REF!)*$CG37),"")))))),
IF($A37="C",(SUMIF(#REF!,CX$17,#REF!)*$CG37)*(SUMIF(ProductCodes,"C",$CI:$CI)/(SUMIF(ProductCodes,"C",$CH:$CH))),
IF($A37="S",(SUMIF(#REF!,CX$17,#REF!)*$CG37)*(SUMIF(ProductCodes,"S",$CI:$CI)/(SUMIF(ProductCodes,"S",$CH:$CH))),
IF($A37="B",(SUMIF(#REF!,CX$17,#REF!)*$CG37)*(SUMIF(ProductCodes,"B",$CI:$CI)/(SUMIF(ProductCodes,"B",$CH:$CH))),
IF($A37="R",(SUMIF(#REF!,CX$17,#REF!)*$CG37)*(SUMIF(ProductCodes,"R",$CI:$CI)/(SUMIF(ProductCodes,"R",$CH:$CH))),
IF($A37="H",(SUMIF(#REF!,CX$17,#REF!)*$CG37)*(SUMIF(ProductCodes,"H",$CI:$CI)/(SUMIF(ProductCodes,"H",$CH:$CH))),""))))))),"Error")</f>
        <v>Error</v>
      </c>
      <c r="CY37" s="84" t="str">
        <f>IFERROR(
IF(SUMIF(ProductCodes,"C",$CI:$CI)=$CI$775,(IF($A37="C",(SUMIF(#REF!,CY$17,#REF!)*$CG37)*((SUMIF(ProductCodes,"C",$CI:$CI)-SUMIF(ProductCodes,"H",$CH:$CH)-SUMIF(ProductCodes,"R",$CH:$CH)-SUMIF(ProductCodes,"B",$CH:$CH)-(SUMIF(ProductCodes,"S",$CH:$CH)/2))/SUMIF(ProductCodes,"C",$CH:$CH)),IF($A37="S",(SUMIF(#REF!,CY$17,#REF!)*$CG37)/2,
IF($A37="B",(SUMIF(#REF!,CY$17,#REF!)*$CG37),
IF($A37="R",(SUMIF(#REF!,CY$17,#REF!)*$CG37),
IF($A37="H",(SUMIF(#REF!,CY$17,#REF!)*$CG37),"")))))),
IF(SUMIF(ProductCodes,"S",$CI:$CI)=$CI$775,(IF($A37="S",(SUMIF(#REF!,CY$17,#REF!)*$CG37)*((SUMIF(ProductCodes,"S",$CI:$CI)-SUMIF(ProductCodes,"H",$CH:$CH)-SUMIF(ProductCodes,"R",$CH:$CH)-SUMIF(ProductCodes,"B",$CH:$CH)-(SUMIF(ProductCodes,"C",$CH:$CH)/4))/SUMIF(ProductCodes,"S",$CH:$CH)),
IF($A37="C",(SUMIF(#REF!,CY$17,#REF!)*$CG37)/4,
IF($A37="B",(SUMIF(#REF!,CY$17,#REF!)*$CG37),
IF($A37="R",(SUMIF(#REF!,CY$17,#REF!)*$CG37),
IF($A37="H",(SUMIF(#REF!,CY$17,#REF!)*$CG37),"")))))),
IF($A37="C",(SUMIF(#REF!,CY$17,#REF!)*$CG37)*(SUMIF(ProductCodes,"C",$CI:$CI)/(SUMIF(ProductCodes,"C",$CH:$CH))),
IF($A37="S",(SUMIF(#REF!,CY$17,#REF!)*$CG37)*(SUMIF(ProductCodes,"S",$CI:$CI)/(SUMIF(ProductCodes,"S",$CH:$CH))),
IF($A37="B",(SUMIF(#REF!,CY$17,#REF!)*$CG37)*(SUMIF(ProductCodes,"B",$CI:$CI)/(SUMIF(ProductCodes,"B",$CH:$CH))),
IF($A37="R",(SUMIF(#REF!,CY$17,#REF!)*$CG37)*(SUMIF(ProductCodes,"R",$CI:$CI)/(SUMIF(ProductCodes,"R",$CH:$CH))),
IF($A37="H",(SUMIF(#REF!,CY$17,#REF!)*$CG37)*(SUMIF(ProductCodes,"H",$CI:$CI)/(SUMIF(ProductCodes,"H",$CH:$CH))),""))))))),"Error")</f>
        <v>Error</v>
      </c>
      <c r="CZ37" s="84" t="str">
        <f>IFERROR(
IF(SUMIF(ProductCodes,"C",$CI:$CI)=$CI$775,(IF($A37="C",(SUMIF(#REF!,CZ$17,#REF!)*$CG37)*((SUMIF(ProductCodes,"C",$CI:$CI)-SUMIF(ProductCodes,"H",$CH:$CH)-SUMIF(ProductCodes,"R",$CH:$CH)-SUMIF(ProductCodes,"B",$CH:$CH)-(SUMIF(ProductCodes,"S",$CH:$CH)/2))/SUMIF(ProductCodes,"C",$CH:$CH)),IF($A37="S",(SUMIF(#REF!,CZ$17,#REF!)*$CG37)/2,
IF($A37="B",(SUMIF(#REF!,CZ$17,#REF!)*$CG37),
IF($A37="R",(SUMIF(#REF!,CZ$17,#REF!)*$CG37),
IF($A37="H",(SUMIF(#REF!,CZ$17,#REF!)*$CG37),"")))))),
IF(SUMIF(ProductCodes,"S",$CI:$CI)=$CI$775,(IF($A37="S",(SUMIF(#REF!,CZ$17,#REF!)*$CG37)*((SUMIF(ProductCodes,"S",$CI:$CI)-SUMIF(ProductCodes,"H",$CH:$CH)-SUMIF(ProductCodes,"R",$CH:$CH)-SUMIF(ProductCodes,"B",$CH:$CH)-(SUMIF(ProductCodes,"C",$CH:$CH)/4))/SUMIF(ProductCodes,"S",$CH:$CH)),
IF($A37="C",(SUMIF(#REF!,CZ$17,#REF!)*$CG37)/4,
IF($A37="B",(SUMIF(#REF!,CZ$17,#REF!)*$CG37),
IF($A37="R",(SUMIF(#REF!,CZ$17,#REF!)*$CG37),
IF($A37="H",(SUMIF(#REF!,CZ$17,#REF!)*$CG37),"")))))),
IF($A37="C",(SUMIF(#REF!,CZ$17,#REF!)*$CG37)*(SUMIF(ProductCodes,"C",$CI:$CI)/(SUMIF(ProductCodes,"C",$CH:$CH))),
IF($A37="S",(SUMIF(#REF!,CZ$17,#REF!)*$CG37)*(SUMIF(ProductCodes,"S",$CI:$CI)/(SUMIF(ProductCodes,"S",$CH:$CH))),
IF($A37="B",(SUMIF(#REF!,CZ$17,#REF!)*$CG37)*(SUMIF(ProductCodes,"B",$CI:$CI)/(SUMIF(ProductCodes,"B",$CH:$CH))),
IF($A37="R",(SUMIF(#REF!,CZ$17,#REF!)*$CG37)*(SUMIF(ProductCodes,"R",$CI:$CI)/(SUMIF(ProductCodes,"R",$CH:$CH))),
IF($A37="H",(SUMIF(#REF!,CZ$17,#REF!)*$CG37)*(SUMIF(ProductCodes,"H",$CI:$CI)/(SUMIF(ProductCodes,"H",$CH:$CH))),""))))))),"Error")</f>
        <v>Error</v>
      </c>
      <c r="DA37" s="84" t="str">
        <f>IFERROR(
IF(SUMIF(ProductCodes,"C",$CI:$CI)=$CI$775,(IF($A37="C",(SUMIF(#REF!,DA$17,#REF!)*$CG37)*((SUMIF(ProductCodes,"C",$CI:$CI)-SUMIF(ProductCodes,"H",$CH:$CH)-SUMIF(ProductCodes,"R",$CH:$CH)-SUMIF(ProductCodes,"B",$CH:$CH)-(SUMIF(ProductCodes,"S",$CH:$CH)/2))/SUMIF(ProductCodes,"C",$CH:$CH)),IF($A37="S",(SUMIF(#REF!,DA$17,#REF!)*$CG37)/2,
IF($A37="B",(SUMIF(#REF!,DA$17,#REF!)*$CG37),
IF($A37="R",(SUMIF(#REF!,DA$17,#REF!)*$CG37),
IF($A37="H",(SUMIF(#REF!,DA$17,#REF!)*$CG37),"")))))),
IF(SUMIF(ProductCodes,"S",$CI:$CI)=$CI$775,(IF($A37="S",(SUMIF(#REF!,DA$17,#REF!)*$CG37)*((SUMIF(ProductCodes,"S",$CI:$CI)-SUMIF(ProductCodes,"H",$CH:$CH)-SUMIF(ProductCodes,"R",$CH:$CH)-SUMIF(ProductCodes,"B",$CH:$CH)-(SUMIF(ProductCodes,"C",$CH:$CH)/4))/SUMIF(ProductCodes,"S",$CH:$CH)),
IF($A37="C",(SUMIF(#REF!,DA$17,#REF!)*$CG37)/4,
IF($A37="B",(SUMIF(#REF!,DA$17,#REF!)*$CG37),
IF($A37="R",(SUMIF(#REF!,DA$17,#REF!)*$CG37),
IF($A37="H",(SUMIF(#REF!,DA$17,#REF!)*$CG37),"")))))),
IF($A37="C",(SUMIF(#REF!,DA$17,#REF!)*$CG37)*(SUMIF(ProductCodes,"C",$CI:$CI)/(SUMIF(ProductCodes,"C",$CH:$CH))),
IF($A37="S",(SUMIF(#REF!,DA$17,#REF!)*$CG37)*(SUMIF(ProductCodes,"S",$CI:$CI)/(SUMIF(ProductCodes,"S",$CH:$CH))),
IF($A37="B",(SUMIF(#REF!,DA$17,#REF!)*$CG37)*(SUMIF(ProductCodes,"B",$CI:$CI)/(SUMIF(ProductCodes,"B",$CH:$CH))),
IF($A37="R",(SUMIF(#REF!,DA$17,#REF!)*$CG37)*(SUMIF(ProductCodes,"R",$CI:$CI)/(SUMIF(ProductCodes,"R",$CH:$CH))),
IF($A37="H",(SUMIF(#REF!,DA$17,#REF!)*$CG37)*(SUMIF(ProductCodes,"H",$CI:$CI)/(SUMIF(ProductCodes,"H",$CH:$CH))),""))))))),"Error")</f>
        <v>Error</v>
      </c>
      <c r="DB37" s="84" t="str">
        <f>IFERROR(
IF(SUMIF(ProductCodes,"C",$CI:$CI)=$CI$775,(IF($A37="C",(SUMIF(#REF!,DB$17,#REF!)*$CG37)*((SUMIF(ProductCodes,"C",$CI:$CI)-SUMIF(ProductCodes,"H",$CH:$CH)-SUMIF(ProductCodes,"R",$CH:$CH)-SUMIF(ProductCodes,"B",$CH:$CH)-(SUMIF(ProductCodes,"S",$CH:$CH)/2))/SUMIF(ProductCodes,"C",$CH:$CH)),IF($A37="S",(SUMIF(#REF!,DB$17,#REF!)*$CG37)/2,
IF($A37="B",(SUMIF(#REF!,DB$17,#REF!)*$CG37),
IF($A37="R",(SUMIF(#REF!,DB$17,#REF!)*$CG37),
IF($A37="H",(SUMIF(#REF!,DB$17,#REF!)*$CG37),"")))))),
IF(SUMIF(ProductCodes,"S",$CI:$CI)=$CI$775,(IF($A37="S",(SUMIF(#REF!,DB$17,#REF!)*$CG37)*((SUMIF(ProductCodes,"S",$CI:$CI)-SUMIF(ProductCodes,"H",$CH:$CH)-SUMIF(ProductCodes,"R",$CH:$CH)-SUMIF(ProductCodes,"B",$CH:$CH)-(SUMIF(ProductCodes,"C",$CH:$CH)/4))/SUMIF(ProductCodes,"S",$CH:$CH)),
IF($A37="C",(SUMIF(#REF!,DB$17,#REF!)*$CG37)/4,
IF($A37="B",(SUMIF(#REF!,DB$17,#REF!)*$CG37),
IF($A37="R",(SUMIF(#REF!,DB$17,#REF!)*$CG37),
IF($A37="H",(SUMIF(#REF!,DB$17,#REF!)*$CG37),"")))))),
IF($A37="C",(SUMIF(#REF!,DB$17,#REF!)*$CG37)*(SUMIF(ProductCodes,"C",$CI:$CI)/(SUMIF(ProductCodes,"C",$CH:$CH))),
IF($A37="S",(SUMIF(#REF!,DB$17,#REF!)*$CG37)*(SUMIF(ProductCodes,"S",$CI:$CI)/(SUMIF(ProductCodes,"S",$CH:$CH))),
IF($A37="B",(SUMIF(#REF!,DB$17,#REF!)*$CG37)*(SUMIF(ProductCodes,"B",$CI:$CI)/(SUMIF(ProductCodes,"B",$CH:$CH))),
IF($A37="R",(SUMIF(#REF!,DB$17,#REF!)*$CG37)*(SUMIF(ProductCodes,"R",$CI:$CI)/(SUMIF(ProductCodes,"R",$CH:$CH))),
IF($A37="H",(SUMIF(#REF!,DB$17,#REF!)*$CG37)*(SUMIF(ProductCodes,"H",$CI:$CI)/(SUMIF(ProductCodes,"H",$CH:$CH))),""))))))),"Error")</f>
        <v>Error</v>
      </c>
      <c r="DC37" s="84" t="str">
        <f>IFERROR(
IF(SUMIF(ProductCodes,"C",$CI:$CI)=$CI$775,(IF($A37="C",(SUMIF(#REF!,DC$17,#REF!)*$CG37)*((SUMIF(ProductCodes,"C",$CI:$CI)-SUMIF(ProductCodes,"H",$CH:$CH)-SUMIF(ProductCodes,"R",$CH:$CH)-SUMIF(ProductCodes,"B",$CH:$CH)-(SUMIF(ProductCodes,"S",$CH:$CH)/2))/SUMIF(ProductCodes,"C",$CH:$CH)),IF($A37="S",(SUMIF(#REF!,DC$17,#REF!)*$CG37)/2,
IF($A37="B",(SUMIF(#REF!,DC$17,#REF!)*$CG37),
IF($A37="R",(SUMIF(#REF!,DC$17,#REF!)*$CG37),
IF($A37="H",(SUMIF(#REF!,DC$17,#REF!)*$CG37),"")))))),
IF(SUMIF(ProductCodes,"S",$CI:$CI)=$CI$775,(IF($A37="S",(SUMIF(#REF!,DC$17,#REF!)*$CG37)*((SUMIF(ProductCodes,"S",$CI:$CI)-SUMIF(ProductCodes,"H",$CH:$CH)-SUMIF(ProductCodes,"R",$CH:$CH)-SUMIF(ProductCodes,"B",$CH:$CH)-(SUMIF(ProductCodes,"C",$CH:$CH)/4))/SUMIF(ProductCodes,"S",$CH:$CH)),
IF($A37="C",(SUMIF(#REF!,DC$17,#REF!)*$CG37)/4,
IF($A37="B",(SUMIF(#REF!,DC$17,#REF!)*$CG37),
IF($A37="R",(SUMIF(#REF!,DC$17,#REF!)*$CG37),
IF($A37="H",(SUMIF(#REF!,DC$17,#REF!)*$CG37),"")))))),
IF($A37="C",(SUMIF(#REF!,DC$17,#REF!)*$CG37)*(SUMIF(ProductCodes,"C",$CI:$CI)/(SUMIF(ProductCodes,"C",$CH:$CH))),
IF($A37="S",(SUMIF(#REF!,DC$17,#REF!)*$CG37)*(SUMIF(ProductCodes,"S",$CI:$CI)/(SUMIF(ProductCodes,"S",$CH:$CH))),
IF($A37="B",(SUMIF(#REF!,DC$17,#REF!)*$CG37)*(SUMIF(ProductCodes,"B",$CI:$CI)/(SUMIF(ProductCodes,"B",$CH:$CH))),
IF($A37="R",(SUMIF(#REF!,DC$17,#REF!)*$CG37)*(SUMIF(ProductCodes,"R",$CI:$CI)/(SUMIF(ProductCodes,"R",$CH:$CH))),
IF($A37="H",(SUMIF(#REF!,DC$17,#REF!)*$CG37)*(SUMIF(ProductCodes,"H",$CI:$CI)/(SUMIF(ProductCodes,"H",$CH:$CH))),""))))))),"Error")</f>
        <v>Error</v>
      </c>
      <c r="DD37" s="84" t="str">
        <f>IFERROR(
IF(SUMIF(ProductCodes,"C",$CI:$CI)=$CI$775,(IF($A37="C",(SUMIF(#REF!,DD$17,#REF!)*$CG37)*((SUMIF(ProductCodes,"C",$CI:$CI)-SUMIF(ProductCodes,"H",$CH:$CH)-SUMIF(ProductCodes,"R",$CH:$CH)-SUMIF(ProductCodes,"B",$CH:$CH)-(SUMIF(ProductCodes,"S",$CH:$CH)/2))/SUMIF(ProductCodes,"C",$CH:$CH)),IF($A37="S",(SUMIF(#REF!,DD$17,#REF!)*$CG37)/2,
IF($A37="B",(SUMIF(#REF!,DD$17,#REF!)*$CG37),
IF($A37="R",(SUMIF(#REF!,DD$17,#REF!)*$CG37),
IF($A37="H",(SUMIF(#REF!,DD$17,#REF!)*$CG37),"")))))),
IF(SUMIF(ProductCodes,"S",$CI:$CI)=$CI$775,(IF($A37="S",(SUMIF(#REF!,DD$17,#REF!)*$CG37)*((SUMIF(ProductCodes,"S",$CI:$CI)-SUMIF(ProductCodes,"H",$CH:$CH)-SUMIF(ProductCodes,"R",$CH:$CH)-SUMIF(ProductCodes,"B",$CH:$CH)-(SUMIF(ProductCodes,"C",$CH:$CH)/4))/SUMIF(ProductCodes,"S",$CH:$CH)),
IF($A37="C",(SUMIF(#REF!,DD$17,#REF!)*$CG37)/4,
IF($A37="B",(SUMIF(#REF!,DD$17,#REF!)*$CG37),
IF($A37="R",(SUMIF(#REF!,DD$17,#REF!)*$CG37),
IF($A37="H",(SUMIF(#REF!,DD$17,#REF!)*$CG37),"")))))),
IF($A37="C",(SUMIF(#REF!,DD$17,#REF!)*$CG37)*(SUMIF(ProductCodes,"C",$CI:$CI)/(SUMIF(ProductCodes,"C",$CH:$CH))),
IF($A37="S",(SUMIF(#REF!,DD$17,#REF!)*$CG37)*(SUMIF(ProductCodes,"S",$CI:$CI)/(SUMIF(ProductCodes,"S",$CH:$CH))),
IF($A37="B",(SUMIF(#REF!,DD$17,#REF!)*$CG37)*(SUMIF(ProductCodes,"B",$CI:$CI)/(SUMIF(ProductCodes,"B",$CH:$CH))),
IF($A37="R",(SUMIF(#REF!,DD$17,#REF!)*$CG37)*(SUMIF(ProductCodes,"R",$CI:$CI)/(SUMIF(ProductCodes,"R",$CH:$CH))),
IF($A37="H",(SUMIF(#REF!,DD$17,#REF!)*$CG37)*(SUMIF(ProductCodes,"H",$CI:$CI)/(SUMIF(ProductCodes,"H",$CH:$CH))),""))))))),"Error")</f>
        <v>Error</v>
      </c>
      <c r="DE37" s="84" t="str">
        <f>IFERROR(
IF(SUMIF(ProductCodes,"C",$CI:$CI)=$CI$775,(IF($A37="C",(SUMIF(#REF!,DE$17,#REF!)*$CG37)*((SUMIF(ProductCodes,"C",$CI:$CI)-SUMIF(ProductCodes,"H",$CH:$CH)-SUMIF(ProductCodes,"R",$CH:$CH)-SUMIF(ProductCodes,"B",$CH:$CH)-(SUMIF(ProductCodes,"S",$CH:$CH)/2))/SUMIF(ProductCodes,"C",$CH:$CH)),IF($A37="S",(SUMIF(#REF!,DE$17,#REF!)*$CG37)/2,
IF($A37="B",(SUMIF(#REF!,DE$17,#REF!)*$CG37),
IF($A37="R",(SUMIF(#REF!,DE$17,#REF!)*$CG37),
IF($A37="H",(SUMIF(#REF!,DE$17,#REF!)*$CG37),"")))))),
IF(SUMIF(ProductCodes,"S",$CI:$CI)=$CI$775,(IF($A37="S",(SUMIF(#REF!,DE$17,#REF!)*$CG37)*((SUMIF(ProductCodes,"S",$CI:$CI)-SUMIF(ProductCodes,"H",$CH:$CH)-SUMIF(ProductCodes,"R",$CH:$CH)-SUMIF(ProductCodes,"B",$CH:$CH)-(SUMIF(ProductCodes,"C",$CH:$CH)/4))/SUMIF(ProductCodes,"S",$CH:$CH)),
IF($A37="C",(SUMIF(#REF!,DE$17,#REF!)*$CG37)/4,
IF($A37="B",(SUMIF(#REF!,DE$17,#REF!)*$CG37),
IF($A37="R",(SUMIF(#REF!,DE$17,#REF!)*$CG37),
IF($A37="H",(SUMIF(#REF!,DE$17,#REF!)*$CG37),"")))))),
IF($A37="C",(SUMIF(#REF!,DE$17,#REF!)*$CG37)*(SUMIF(ProductCodes,"C",$CI:$CI)/(SUMIF(ProductCodes,"C",$CH:$CH))),
IF($A37="S",(SUMIF(#REF!,DE$17,#REF!)*$CG37)*(SUMIF(ProductCodes,"S",$CI:$CI)/(SUMIF(ProductCodes,"S",$CH:$CH))),
IF($A37="B",(SUMIF(#REF!,DE$17,#REF!)*$CG37)*(SUMIF(ProductCodes,"B",$CI:$CI)/(SUMIF(ProductCodes,"B",$CH:$CH))),
IF($A37="R",(SUMIF(#REF!,DE$17,#REF!)*$CG37)*(SUMIF(ProductCodes,"R",$CI:$CI)/(SUMIF(ProductCodes,"R",$CH:$CH))),
IF($A37="H",(SUMIF(#REF!,DE$17,#REF!)*$CG37)*(SUMIF(ProductCodes,"H",$CI:$CI)/(SUMIF(ProductCodes,"H",$CH:$CH))),""))))))),"Error")</f>
        <v>Error</v>
      </c>
      <c r="DF37" s="84" t="str">
        <f>IFERROR(
IF(SUMIF(ProductCodes,"C",$CI:$CI)=$CI$775,(IF($A37="C",(SUMIF(#REF!,DF$17,#REF!)*$CG37)*((SUMIF(ProductCodes,"C",$CI:$CI)-SUMIF(ProductCodes,"H",$CH:$CH)-SUMIF(ProductCodes,"R",$CH:$CH)-SUMIF(ProductCodes,"B",$CH:$CH)-(SUMIF(ProductCodes,"S",$CH:$CH)/2))/SUMIF(ProductCodes,"C",$CH:$CH)),IF($A37="S",(SUMIF(#REF!,DF$17,#REF!)*$CG37)/2,
IF($A37="B",(SUMIF(#REF!,DF$17,#REF!)*$CG37),
IF($A37="R",(SUMIF(#REF!,DF$17,#REF!)*$CG37),
IF($A37="H",(SUMIF(#REF!,DF$17,#REF!)*$CG37),"")))))),
IF(SUMIF(ProductCodes,"S",$CI:$CI)=$CI$775,(IF($A37="S",(SUMIF(#REF!,DF$17,#REF!)*$CG37)*((SUMIF(ProductCodes,"S",$CI:$CI)-SUMIF(ProductCodes,"H",$CH:$CH)-SUMIF(ProductCodes,"R",$CH:$CH)-SUMIF(ProductCodes,"B",$CH:$CH)-(SUMIF(ProductCodes,"C",$CH:$CH)/4))/SUMIF(ProductCodes,"S",$CH:$CH)),
IF($A37="C",(SUMIF(#REF!,DF$17,#REF!)*$CG37)/4,
IF($A37="B",(SUMIF(#REF!,DF$17,#REF!)*$CG37),
IF($A37="R",(SUMIF(#REF!,DF$17,#REF!)*$CG37),
IF($A37="H",(SUMIF(#REF!,DF$17,#REF!)*$CG37),"")))))),
IF($A37="C",(SUMIF(#REF!,DF$17,#REF!)*$CG37)*(SUMIF(ProductCodes,"C",$CI:$CI)/(SUMIF(ProductCodes,"C",$CH:$CH))),
IF($A37="S",(SUMIF(#REF!,DF$17,#REF!)*$CG37)*(SUMIF(ProductCodes,"S",$CI:$CI)/(SUMIF(ProductCodes,"S",$CH:$CH))),
IF($A37="B",(SUMIF(#REF!,DF$17,#REF!)*$CG37)*(SUMIF(ProductCodes,"B",$CI:$CI)/(SUMIF(ProductCodes,"B",$CH:$CH))),
IF($A37="R",(SUMIF(#REF!,DF$17,#REF!)*$CG37)*(SUMIF(ProductCodes,"R",$CI:$CI)/(SUMIF(ProductCodes,"R",$CH:$CH))),
IF($A37="H",(SUMIF(#REF!,DF$17,#REF!)*$CG37)*(SUMIF(ProductCodes,"H",$CI:$CI)/(SUMIF(ProductCodes,"H",$CH:$CH))),""))))))),"Error")</f>
        <v>Error</v>
      </c>
      <c r="DG37" s="84" t="str">
        <f>IFERROR(
IF(SUMIF(ProductCodes,"C",$CI:$CI)=$CI$775,(IF($A37="C",(SUMIF(#REF!,DG$17,#REF!)*$CG37)*((SUMIF(ProductCodes,"C",$CI:$CI)-SUMIF(ProductCodes,"H",$CH:$CH)-SUMIF(ProductCodes,"R",$CH:$CH)-SUMIF(ProductCodes,"B",$CH:$CH)-(SUMIF(ProductCodes,"S",$CH:$CH)/2))/SUMIF(ProductCodes,"C",$CH:$CH)),IF($A37="S",(SUMIF(#REF!,DG$17,#REF!)*$CG37)/2,
IF($A37="B",(SUMIF(#REF!,DG$17,#REF!)*$CG37),
IF($A37="R",(SUMIF(#REF!,DG$17,#REF!)*$CG37),
IF($A37="H",(SUMIF(#REF!,DG$17,#REF!)*$CG37),"")))))),
IF(SUMIF(ProductCodes,"S",$CI:$CI)=$CI$775,(IF($A37="S",(SUMIF(#REF!,DG$17,#REF!)*$CG37)*((SUMIF(ProductCodes,"S",$CI:$CI)-SUMIF(ProductCodes,"H",$CH:$CH)-SUMIF(ProductCodes,"R",$CH:$CH)-SUMIF(ProductCodes,"B",$CH:$CH)-(SUMIF(ProductCodes,"C",$CH:$CH)/4))/SUMIF(ProductCodes,"S",$CH:$CH)),
IF($A37="C",(SUMIF(#REF!,DG$17,#REF!)*$CG37)/4,
IF($A37="B",(SUMIF(#REF!,DG$17,#REF!)*$CG37),
IF($A37="R",(SUMIF(#REF!,DG$17,#REF!)*$CG37),
IF($A37="H",(SUMIF(#REF!,DG$17,#REF!)*$CG37),"")))))),
IF($A37="C",(SUMIF(#REF!,DG$17,#REF!)*$CG37)*(SUMIF(ProductCodes,"C",$CI:$CI)/(SUMIF(ProductCodes,"C",$CH:$CH))),
IF($A37="S",(SUMIF(#REF!,DG$17,#REF!)*$CG37)*(SUMIF(ProductCodes,"S",$CI:$CI)/(SUMIF(ProductCodes,"S",$CH:$CH))),
IF($A37="B",(SUMIF(#REF!,DG$17,#REF!)*$CG37)*(SUMIF(ProductCodes,"B",$CI:$CI)/(SUMIF(ProductCodes,"B",$CH:$CH))),
IF($A37="R",(SUMIF(#REF!,DG$17,#REF!)*$CG37)*(SUMIF(ProductCodes,"R",$CI:$CI)/(SUMIF(ProductCodes,"R",$CH:$CH))),
IF($A37="H",(SUMIF(#REF!,DG$17,#REF!)*$CG37)*(SUMIF(ProductCodes,"H",$CI:$CI)/(SUMIF(ProductCodes,"H",$CH:$CH))),""))))))),"Error")</f>
        <v>Error</v>
      </c>
      <c r="DH37" s="84" t="str">
        <f>IFERROR(
IF(SUMIF(ProductCodes,"C",$CI:$CI)=$CI$775,(IF($A37="C",(SUMIF(#REF!,DH$17,#REF!)*$CG37)*((SUMIF(ProductCodes,"C",$CI:$CI)-SUMIF(ProductCodes,"H",$CH:$CH)-SUMIF(ProductCodes,"R",$CH:$CH)-SUMIF(ProductCodes,"B",$CH:$CH)-(SUMIF(ProductCodes,"S",$CH:$CH)/2))/SUMIF(ProductCodes,"C",$CH:$CH)),IF($A37="S",(SUMIF(#REF!,DH$17,#REF!)*$CG37)/2,
IF($A37="B",(SUMIF(#REF!,DH$17,#REF!)*$CG37),
IF($A37="R",(SUMIF(#REF!,DH$17,#REF!)*$CG37),
IF($A37="H",(SUMIF(#REF!,DH$17,#REF!)*$CG37),"")))))),
IF(SUMIF(ProductCodes,"S",$CI:$CI)=$CI$775,(IF($A37="S",(SUMIF(#REF!,DH$17,#REF!)*$CG37)*((SUMIF(ProductCodes,"S",$CI:$CI)-SUMIF(ProductCodes,"H",$CH:$CH)-SUMIF(ProductCodes,"R",$CH:$CH)-SUMIF(ProductCodes,"B",$CH:$CH)-(SUMIF(ProductCodes,"C",$CH:$CH)/4))/SUMIF(ProductCodes,"S",$CH:$CH)),
IF($A37="C",(SUMIF(#REF!,DH$17,#REF!)*$CG37)/4,
IF($A37="B",(SUMIF(#REF!,DH$17,#REF!)*$CG37),
IF($A37="R",(SUMIF(#REF!,DH$17,#REF!)*$CG37),
IF($A37="H",(SUMIF(#REF!,DH$17,#REF!)*$CG37),"")))))),
IF($A37="C",(SUMIF(#REF!,DH$17,#REF!)*$CG37)*(SUMIF(ProductCodes,"C",$CI:$CI)/(SUMIF(ProductCodes,"C",$CH:$CH))),
IF($A37="S",(SUMIF(#REF!,DH$17,#REF!)*$CG37)*(SUMIF(ProductCodes,"S",$CI:$CI)/(SUMIF(ProductCodes,"S",$CH:$CH))),
IF($A37="B",(SUMIF(#REF!,DH$17,#REF!)*$CG37)*(SUMIF(ProductCodes,"B",$CI:$CI)/(SUMIF(ProductCodes,"B",$CH:$CH))),
IF($A37="R",(SUMIF(#REF!,DH$17,#REF!)*$CG37)*(SUMIF(ProductCodes,"R",$CI:$CI)/(SUMIF(ProductCodes,"R",$CH:$CH))),
IF($A37="H",(SUMIF(#REF!,DH$17,#REF!)*$CG37)*(SUMIF(ProductCodes,"H",$CI:$CI)/(SUMIF(ProductCodes,"H",$CH:$CH))),""))))))),"Error")</f>
        <v>Error</v>
      </c>
      <c r="DI37" s="84" t="str">
        <f>IFERROR(
IF(SUMIF(ProductCodes,"C",$CI:$CI)=$CI$775,(IF($A37="C",(SUMIF(#REF!,DI$17,#REF!)*$CG37)*((SUMIF(ProductCodes,"C",$CI:$CI)-SUMIF(ProductCodes,"H",$CH:$CH)-SUMIF(ProductCodes,"R",$CH:$CH)-SUMIF(ProductCodes,"B",$CH:$CH)-(SUMIF(ProductCodes,"S",$CH:$CH)/2))/SUMIF(ProductCodes,"C",$CH:$CH)),IF($A37="S",(SUMIF(#REF!,DI$17,#REF!)*$CG37)/2,
IF($A37="B",(SUMIF(#REF!,DI$17,#REF!)*$CG37),
IF($A37="R",(SUMIF(#REF!,DI$17,#REF!)*$CG37),
IF($A37="H",(SUMIF(#REF!,DI$17,#REF!)*$CG37),"")))))),
IF(SUMIF(ProductCodes,"S",$CI:$CI)=$CI$775,(IF($A37="S",(SUMIF(#REF!,DI$17,#REF!)*$CG37)*((SUMIF(ProductCodes,"S",$CI:$CI)-SUMIF(ProductCodes,"H",$CH:$CH)-SUMIF(ProductCodes,"R",$CH:$CH)-SUMIF(ProductCodes,"B",$CH:$CH)-(SUMIF(ProductCodes,"C",$CH:$CH)/4))/SUMIF(ProductCodes,"S",$CH:$CH)),
IF($A37="C",(SUMIF(#REF!,DI$17,#REF!)*$CG37)/4,
IF($A37="B",(SUMIF(#REF!,DI$17,#REF!)*$CG37),
IF($A37="R",(SUMIF(#REF!,DI$17,#REF!)*$CG37),
IF($A37="H",(SUMIF(#REF!,DI$17,#REF!)*$CG37),"")))))),
IF($A37="C",(SUMIF(#REF!,DI$17,#REF!)*$CG37)*(SUMIF(ProductCodes,"C",$CI:$CI)/(SUMIF(ProductCodes,"C",$CH:$CH))),
IF($A37="S",(SUMIF(#REF!,DI$17,#REF!)*$CG37)*(SUMIF(ProductCodes,"S",$CI:$CI)/(SUMIF(ProductCodes,"S",$CH:$CH))),
IF($A37="B",(SUMIF(#REF!,DI$17,#REF!)*$CG37)*(SUMIF(ProductCodes,"B",$CI:$CI)/(SUMIF(ProductCodes,"B",$CH:$CH))),
IF($A37="R",(SUMIF(#REF!,DI$17,#REF!)*$CG37)*(SUMIF(ProductCodes,"R",$CI:$CI)/(SUMIF(ProductCodes,"R",$CH:$CH))),
IF($A37="H",(SUMIF(#REF!,DI$17,#REF!)*$CG37)*(SUMIF(ProductCodes,"H",$CI:$CI)/(SUMIF(ProductCodes,"H",$CH:$CH))),""))))))),"Error")</f>
        <v>Error</v>
      </c>
      <c r="DJ37" s="84" t="str">
        <f>IFERROR(
IF(SUMIF(ProductCodes,"C",$CI:$CI)=$CI$775,(IF($A37="C",(SUMIF(#REF!,DJ$17,#REF!)*$CG37)*((SUMIF(ProductCodes,"C",$CI:$CI)-SUMIF(ProductCodes,"H",$CH:$CH)-SUMIF(ProductCodes,"R",$CH:$CH)-SUMIF(ProductCodes,"B",$CH:$CH)-(SUMIF(ProductCodes,"S",$CH:$CH)/2))/SUMIF(ProductCodes,"C",$CH:$CH)),IF($A37="S",(SUMIF(#REF!,DJ$17,#REF!)*$CG37)/2,
IF($A37="B",(SUMIF(#REF!,DJ$17,#REF!)*$CG37),
IF($A37="R",(SUMIF(#REF!,DJ$17,#REF!)*$CG37),
IF($A37="H",(SUMIF(#REF!,DJ$17,#REF!)*$CG37),"")))))),
IF(SUMIF(ProductCodes,"S",$CI:$CI)=$CI$775,(IF($A37="S",(SUMIF(#REF!,DJ$17,#REF!)*$CG37)*((SUMIF(ProductCodes,"S",$CI:$CI)-SUMIF(ProductCodes,"H",$CH:$CH)-SUMIF(ProductCodes,"R",$CH:$CH)-SUMIF(ProductCodes,"B",$CH:$CH)-(SUMIF(ProductCodes,"C",$CH:$CH)/4))/SUMIF(ProductCodes,"S",$CH:$CH)),
IF($A37="C",(SUMIF(#REF!,DJ$17,#REF!)*$CG37)/4,
IF($A37="B",(SUMIF(#REF!,DJ$17,#REF!)*$CG37),
IF($A37="R",(SUMIF(#REF!,DJ$17,#REF!)*$CG37),
IF($A37="H",(SUMIF(#REF!,DJ$17,#REF!)*$CG37),"")))))),
IF($A37="C",(SUMIF(#REF!,DJ$17,#REF!)*$CG37)*(SUMIF(ProductCodes,"C",$CI:$CI)/(SUMIF(ProductCodes,"C",$CH:$CH))),
IF($A37="S",(SUMIF(#REF!,DJ$17,#REF!)*$CG37)*(SUMIF(ProductCodes,"S",$CI:$CI)/(SUMIF(ProductCodes,"S",$CH:$CH))),
IF($A37="B",(SUMIF(#REF!,DJ$17,#REF!)*$CG37)*(SUMIF(ProductCodes,"B",$CI:$CI)/(SUMIF(ProductCodes,"B",$CH:$CH))),
IF($A37="R",(SUMIF(#REF!,DJ$17,#REF!)*$CG37)*(SUMIF(ProductCodes,"R",$CI:$CI)/(SUMIF(ProductCodes,"R",$CH:$CH))),
IF($A37="H",(SUMIF(#REF!,DJ$17,#REF!)*$CG37)*(SUMIF(ProductCodes,"H",$CI:$CI)/(SUMIF(ProductCodes,"H",$CH:$CH))),""))))))),"Error")</f>
        <v>Error</v>
      </c>
      <c r="DK37" s="84" t="str">
        <f>IFERROR(
IF(SUMIF(ProductCodes,"C",$CI:$CI)=$CI$775,(IF($A37="C",(SUMIF(#REF!,DK$17,#REF!)*$CG37)*((SUMIF(ProductCodes,"C",$CI:$CI)-SUMIF(ProductCodes,"H",$CH:$CH)-SUMIF(ProductCodes,"R",$CH:$CH)-SUMIF(ProductCodes,"B",$CH:$CH)-(SUMIF(ProductCodes,"S",$CH:$CH)/2))/SUMIF(ProductCodes,"C",$CH:$CH)),IF($A37="S",(SUMIF(#REF!,DK$17,#REF!)*$CG37)/2,
IF($A37="B",(SUMIF(#REF!,DK$17,#REF!)*$CG37),
IF($A37="R",(SUMIF(#REF!,DK$17,#REF!)*$CG37),
IF($A37="H",(SUMIF(#REF!,DK$17,#REF!)*$CG37),"")))))),
IF(SUMIF(ProductCodes,"S",$CI:$CI)=$CI$775,(IF($A37="S",(SUMIF(#REF!,DK$17,#REF!)*$CG37)*((SUMIF(ProductCodes,"S",$CI:$CI)-SUMIF(ProductCodes,"H",$CH:$CH)-SUMIF(ProductCodes,"R",$CH:$CH)-SUMIF(ProductCodes,"B",$CH:$CH)-(SUMIF(ProductCodes,"C",$CH:$CH)/4))/SUMIF(ProductCodes,"S",$CH:$CH)),
IF($A37="C",(SUMIF(#REF!,DK$17,#REF!)*$CG37)/4,
IF($A37="B",(SUMIF(#REF!,DK$17,#REF!)*$CG37),
IF($A37="R",(SUMIF(#REF!,DK$17,#REF!)*$CG37),
IF($A37="H",(SUMIF(#REF!,DK$17,#REF!)*$CG37),"")))))),
IF($A37="C",(SUMIF(#REF!,DK$17,#REF!)*$CG37)*(SUMIF(ProductCodes,"C",$CI:$CI)/(SUMIF(ProductCodes,"C",$CH:$CH))),
IF($A37="S",(SUMIF(#REF!,DK$17,#REF!)*$CG37)*(SUMIF(ProductCodes,"S",$CI:$CI)/(SUMIF(ProductCodes,"S",$CH:$CH))),
IF($A37="B",(SUMIF(#REF!,DK$17,#REF!)*$CG37)*(SUMIF(ProductCodes,"B",$CI:$CI)/(SUMIF(ProductCodes,"B",$CH:$CH))),
IF($A37="R",(SUMIF(#REF!,DK$17,#REF!)*$CG37)*(SUMIF(ProductCodes,"R",$CI:$CI)/(SUMIF(ProductCodes,"R",$CH:$CH))),
IF($A37="H",(SUMIF(#REF!,DK$17,#REF!)*$CG37)*(SUMIF(ProductCodes,"H",$CI:$CI)/(SUMIF(ProductCodes,"H",$CH:$CH))),""))))))),"Error")</f>
        <v>Error</v>
      </c>
      <c r="DL37" s="84" t="str">
        <f>IFERROR(
IF(SUMIF(ProductCodes,"C",$CI:$CI)=$CI$775,(IF($A37="C",(SUMIF(#REF!,DL$17,#REF!)*$CG37)*((SUMIF(ProductCodes,"C",$CI:$CI)-SUMIF(ProductCodes,"H",$CH:$CH)-SUMIF(ProductCodes,"R",$CH:$CH)-SUMIF(ProductCodes,"B",$CH:$CH)-(SUMIF(ProductCodes,"S",$CH:$CH)/2))/SUMIF(ProductCodes,"C",$CH:$CH)),IF($A37="S",(SUMIF(#REF!,DL$17,#REF!)*$CG37)/2,
IF($A37="B",(SUMIF(#REF!,DL$17,#REF!)*$CG37),
IF($A37="R",(SUMIF(#REF!,DL$17,#REF!)*$CG37),
IF($A37="H",(SUMIF(#REF!,DL$17,#REF!)*$CG37),"")))))),
IF(SUMIF(ProductCodes,"S",$CI:$CI)=$CI$775,(IF($A37="S",(SUMIF(#REF!,DL$17,#REF!)*$CG37)*((SUMIF(ProductCodes,"S",$CI:$CI)-SUMIF(ProductCodes,"H",$CH:$CH)-SUMIF(ProductCodes,"R",$CH:$CH)-SUMIF(ProductCodes,"B",$CH:$CH)-(SUMIF(ProductCodes,"C",$CH:$CH)/4))/SUMIF(ProductCodes,"S",$CH:$CH)),
IF($A37="C",(SUMIF(#REF!,DL$17,#REF!)*$CG37)/4,
IF($A37="B",(SUMIF(#REF!,DL$17,#REF!)*$CG37),
IF($A37="R",(SUMIF(#REF!,DL$17,#REF!)*$CG37),
IF($A37="H",(SUMIF(#REF!,DL$17,#REF!)*$CG37),"")))))),
IF($A37="C",(SUMIF(#REF!,DL$17,#REF!)*$CG37)*(SUMIF(ProductCodes,"C",$CI:$CI)/(SUMIF(ProductCodes,"C",$CH:$CH))),
IF($A37="S",(SUMIF(#REF!,DL$17,#REF!)*$CG37)*(SUMIF(ProductCodes,"S",$CI:$CI)/(SUMIF(ProductCodes,"S",$CH:$CH))),
IF($A37="B",(SUMIF(#REF!,DL$17,#REF!)*$CG37)*(SUMIF(ProductCodes,"B",$CI:$CI)/(SUMIF(ProductCodes,"B",$CH:$CH))),
IF($A37="R",(SUMIF(#REF!,DL$17,#REF!)*$CG37)*(SUMIF(ProductCodes,"R",$CI:$CI)/(SUMIF(ProductCodes,"R",$CH:$CH))),
IF($A37="H",(SUMIF(#REF!,DL$17,#REF!)*$CG37)*(SUMIF(ProductCodes,"H",$CI:$CI)/(SUMIF(ProductCodes,"H",$CH:$CH))),""))))))),"Error")</f>
        <v>Error</v>
      </c>
      <c r="DM37" s="84" t="str">
        <f>IFERROR(
IF(SUMIF(ProductCodes,"C",$CI:$CI)=$CI$775,(IF($A37="C",(SUMIF(#REF!,DM$17,#REF!)*$CG37)*((SUMIF(ProductCodes,"C",$CI:$CI)-SUMIF(ProductCodes,"H",$CH:$CH)-SUMIF(ProductCodes,"R",$CH:$CH)-SUMIF(ProductCodes,"B",$CH:$CH)-(SUMIF(ProductCodes,"S",$CH:$CH)/2))/SUMIF(ProductCodes,"C",$CH:$CH)),IF($A37="S",(SUMIF(#REF!,DM$17,#REF!)*$CG37)/2,
IF($A37="B",(SUMIF(#REF!,DM$17,#REF!)*$CG37),
IF($A37="R",(SUMIF(#REF!,DM$17,#REF!)*$CG37),
IF($A37="H",(SUMIF(#REF!,DM$17,#REF!)*$CG37),"")))))),
IF(SUMIF(ProductCodes,"S",$CI:$CI)=$CI$775,(IF($A37="S",(SUMIF(#REF!,DM$17,#REF!)*$CG37)*((SUMIF(ProductCodes,"S",$CI:$CI)-SUMIF(ProductCodes,"H",$CH:$CH)-SUMIF(ProductCodes,"R",$CH:$CH)-SUMIF(ProductCodes,"B",$CH:$CH)-(SUMIF(ProductCodes,"C",$CH:$CH)/4))/SUMIF(ProductCodes,"S",$CH:$CH)),
IF($A37="C",(SUMIF(#REF!,DM$17,#REF!)*$CG37)/4,
IF($A37="B",(SUMIF(#REF!,DM$17,#REF!)*$CG37),
IF($A37="R",(SUMIF(#REF!,DM$17,#REF!)*$CG37),
IF($A37="H",(SUMIF(#REF!,DM$17,#REF!)*$CG37),"")))))),
IF($A37="C",(SUMIF(#REF!,DM$17,#REF!)*$CG37)*(SUMIF(ProductCodes,"C",$CI:$CI)/(SUMIF(ProductCodes,"C",$CH:$CH))),
IF($A37="S",(SUMIF(#REF!,DM$17,#REF!)*$CG37)*(SUMIF(ProductCodes,"S",$CI:$CI)/(SUMIF(ProductCodes,"S",$CH:$CH))),
IF($A37="B",(SUMIF(#REF!,DM$17,#REF!)*$CG37)*(SUMIF(ProductCodes,"B",$CI:$CI)/(SUMIF(ProductCodes,"B",$CH:$CH))),
IF($A37="R",(SUMIF(#REF!,DM$17,#REF!)*$CG37)*(SUMIF(ProductCodes,"R",$CI:$CI)/(SUMIF(ProductCodes,"R",$CH:$CH))),
IF($A37="H",(SUMIF(#REF!,DM$17,#REF!)*$CG37)*(SUMIF(ProductCodes,"H",$CI:$CI)/(SUMIF(ProductCodes,"H",$CH:$CH))),""))))))),"Error")</f>
        <v>Error</v>
      </c>
      <c r="DN37" s="84" t="str">
        <f>IFERROR(
IF(SUMIF(ProductCodes,"C",$CI:$CI)=$CI$775,(IF($A37="C",(SUMIF(#REF!,DN$17,#REF!)*$CG37)*((SUMIF(ProductCodes,"C",$CI:$CI)-SUMIF(ProductCodes,"H",$CH:$CH)-SUMIF(ProductCodes,"R",$CH:$CH)-SUMIF(ProductCodes,"B",$CH:$CH)-(SUMIF(ProductCodes,"S",$CH:$CH)/2))/SUMIF(ProductCodes,"C",$CH:$CH)),IF($A37="S",(SUMIF(#REF!,DN$17,#REF!)*$CG37)/2,
IF($A37="B",(SUMIF(#REF!,DN$17,#REF!)*$CG37),
IF($A37="R",(SUMIF(#REF!,DN$17,#REF!)*$CG37),
IF($A37="H",(SUMIF(#REF!,DN$17,#REF!)*$CG37),"")))))),
IF(SUMIF(ProductCodes,"S",$CI:$CI)=$CI$775,(IF($A37="S",(SUMIF(#REF!,DN$17,#REF!)*$CG37)*((SUMIF(ProductCodes,"S",$CI:$CI)-SUMIF(ProductCodes,"H",$CH:$CH)-SUMIF(ProductCodes,"R",$CH:$CH)-SUMIF(ProductCodes,"B",$CH:$CH)-(SUMIF(ProductCodes,"C",$CH:$CH)/4))/SUMIF(ProductCodes,"S",$CH:$CH)),
IF($A37="C",(SUMIF(#REF!,DN$17,#REF!)*$CG37)/4,
IF($A37="B",(SUMIF(#REF!,DN$17,#REF!)*$CG37),
IF($A37="R",(SUMIF(#REF!,DN$17,#REF!)*$CG37),
IF($A37="H",(SUMIF(#REF!,DN$17,#REF!)*$CG37),"")))))),
IF($A37="C",(SUMIF(#REF!,DN$17,#REF!)*$CG37)*(SUMIF(ProductCodes,"C",$CI:$CI)/(SUMIF(ProductCodes,"C",$CH:$CH))),
IF($A37="S",(SUMIF(#REF!,DN$17,#REF!)*$CG37)*(SUMIF(ProductCodes,"S",$CI:$CI)/(SUMIF(ProductCodes,"S",$CH:$CH))),
IF($A37="B",(SUMIF(#REF!,DN$17,#REF!)*$CG37)*(SUMIF(ProductCodes,"B",$CI:$CI)/(SUMIF(ProductCodes,"B",$CH:$CH))),
IF($A37="R",(SUMIF(#REF!,DN$17,#REF!)*$CG37)*(SUMIF(ProductCodes,"R",$CI:$CI)/(SUMIF(ProductCodes,"R",$CH:$CH))),
IF($A37="H",(SUMIF(#REF!,DN$17,#REF!)*$CG37)*(SUMIF(ProductCodes,"H",$CI:$CI)/(SUMIF(ProductCodes,"H",$CH:$CH))),""))))))),"Error")</f>
        <v>Error</v>
      </c>
      <c r="DO37" s="84" t="str">
        <f>IFERROR(
IF(SUMIF(ProductCodes,"C",$CI:$CI)=$CI$775,(IF($A37="C",(SUMIF(#REF!,DO$17,#REF!)*$CG37)*((SUMIF(ProductCodes,"C",$CI:$CI)-SUMIF(ProductCodes,"H",$CH:$CH)-SUMIF(ProductCodes,"R",$CH:$CH)-SUMIF(ProductCodes,"B",$CH:$CH)-(SUMIF(ProductCodes,"S",$CH:$CH)/2))/SUMIF(ProductCodes,"C",$CH:$CH)),IF($A37="S",(SUMIF(#REF!,DO$17,#REF!)*$CG37)/2,
IF($A37="B",(SUMIF(#REF!,DO$17,#REF!)*$CG37),
IF($A37="R",(SUMIF(#REF!,DO$17,#REF!)*$CG37),
IF($A37="H",(SUMIF(#REF!,DO$17,#REF!)*$CG37),"")))))),
IF(SUMIF(ProductCodes,"S",$CI:$CI)=$CI$775,(IF($A37="S",(SUMIF(#REF!,DO$17,#REF!)*$CG37)*((SUMIF(ProductCodes,"S",$CI:$CI)-SUMIF(ProductCodes,"H",$CH:$CH)-SUMIF(ProductCodes,"R",$CH:$CH)-SUMIF(ProductCodes,"B",$CH:$CH)-(SUMIF(ProductCodes,"C",$CH:$CH)/4))/SUMIF(ProductCodes,"S",$CH:$CH)),
IF($A37="C",(SUMIF(#REF!,DO$17,#REF!)*$CG37)/4,
IF($A37="B",(SUMIF(#REF!,DO$17,#REF!)*$CG37),
IF($A37="R",(SUMIF(#REF!,DO$17,#REF!)*$CG37),
IF($A37="H",(SUMIF(#REF!,DO$17,#REF!)*$CG37),"")))))),
IF($A37="C",(SUMIF(#REF!,DO$17,#REF!)*$CG37)*(SUMIF(ProductCodes,"C",$CI:$CI)/(SUMIF(ProductCodes,"C",$CH:$CH))),
IF($A37="S",(SUMIF(#REF!,DO$17,#REF!)*$CG37)*(SUMIF(ProductCodes,"S",$CI:$CI)/(SUMIF(ProductCodes,"S",$CH:$CH))),
IF($A37="B",(SUMIF(#REF!,DO$17,#REF!)*$CG37)*(SUMIF(ProductCodes,"B",$CI:$CI)/(SUMIF(ProductCodes,"B",$CH:$CH))),
IF($A37="R",(SUMIF(#REF!,DO$17,#REF!)*$CG37)*(SUMIF(ProductCodes,"R",$CI:$CI)/(SUMIF(ProductCodes,"R",$CH:$CH))),
IF($A37="H",(SUMIF(#REF!,DO$17,#REF!)*$CG37)*(SUMIF(ProductCodes,"H",$CI:$CI)/(SUMIF(ProductCodes,"H",$CH:$CH))),""))))))),"Error")</f>
        <v>Error</v>
      </c>
      <c r="DP37" s="85" t="str">
        <f>IFERROR(
IF(SUMIF(ProductCodes,"C",$CI:$CI)=$CI$775,(IF($A37="C",(SUMIF(#REF!,DP$17,#REF!)*$CG37)*((SUMIF(ProductCodes,"C",$CI:$CI)-SUMIF(ProductCodes,"H",$CH:$CH)-SUMIF(ProductCodes,"R",$CH:$CH)-SUMIF(ProductCodes,"B",$CH:$CH)-(SUMIF(ProductCodes,"S",$CH:$CH)/2))/SUMIF(ProductCodes,"C",$CH:$CH)),IF($A37="S",(SUMIF(#REF!,DP$17,#REF!)*$CG37)/2,
IF($A37="B",(SUMIF(#REF!,DP$17,#REF!)*$CG37),
IF($A37="R",(SUMIF(#REF!,DP$17,#REF!)*$CG37),
IF($A37="H",(SUMIF(#REF!,DP$17,#REF!)*$CG37),"")))))),
IF(SUMIF(ProductCodes,"S",$CI:$CI)=$CI$775,(IF($A37="S",(SUMIF(#REF!,DP$17,#REF!)*$CG37)*((SUMIF(ProductCodes,"S",$CI:$CI)-SUMIF(ProductCodes,"H",$CH:$CH)-SUMIF(ProductCodes,"R",$CH:$CH)-SUMIF(ProductCodes,"B",$CH:$CH)-(SUMIF(ProductCodes,"C",$CH:$CH)/4))/SUMIF(ProductCodes,"S",$CH:$CH)),
IF($A37="C",(SUMIF(#REF!,DP$17,#REF!)*$CG37)/4,
IF($A37="B",(SUMIF(#REF!,DP$17,#REF!)*$CG37),
IF($A37="R",(SUMIF(#REF!,DP$17,#REF!)*$CG37),
IF($A37="H",(SUMIF(#REF!,DP$17,#REF!)*$CG37),"")))))),
IF($A37="C",(SUMIF(#REF!,DP$17,#REF!)*$CG37)*(SUMIF(ProductCodes,"C",$CI:$CI)/(SUMIF(ProductCodes,"C",$CH:$CH))),
IF($A37="S",(SUMIF(#REF!,DP$17,#REF!)*$CG37)*(SUMIF(ProductCodes,"S",$CI:$CI)/(SUMIF(ProductCodes,"S",$CH:$CH))),
IF($A37="B",(SUMIF(#REF!,DP$17,#REF!)*$CG37)*(SUMIF(ProductCodes,"B",$CI:$CI)/(SUMIF(ProductCodes,"B",$CH:$CH))),
IF($A37="R",(SUMIF(#REF!,DP$17,#REF!)*$CG37)*(SUMIF(ProductCodes,"R",$CI:$CI)/(SUMIF(ProductCodes,"R",$CH:$CH))),
IF($A37="H",(SUMIF(#REF!,DP$17,#REF!)*$CG37)*(SUMIF(ProductCodes,"H",$CI:$CI)/(SUMIF(ProductCodes,"H",$CH:$CH))),""))))))),"Error")</f>
        <v>Error</v>
      </c>
      <c r="DQ37" s="9"/>
      <c r="DR37" s="9"/>
      <c r="DS37"/>
      <c r="DT37"/>
      <c r="DU37"/>
      <c r="DV37"/>
      <c r="DW37"/>
      <c r="DX37"/>
      <c r="DY37"/>
      <c r="DZ37"/>
      <c r="EA37"/>
      <c r="EB37"/>
      <c r="EC37"/>
      <c r="ED37"/>
    </row>
    <row r="38" spans="1:135" s="86" customFormat="1" ht="61.5" customHeight="1" thickBot="1" x14ac:dyDescent="0.4">
      <c r="A38" s="112" t="s">
        <v>43</v>
      </c>
      <c r="B38" s="107" t="s">
        <v>82</v>
      </c>
      <c r="C38" s="100" t="s">
        <v>44</v>
      </c>
      <c r="D38" s="101" t="s">
        <v>45</v>
      </c>
      <c r="E38" s="103"/>
      <c r="F38" s="103"/>
      <c r="G38" s="106"/>
      <c r="H38" s="104"/>
      <c r="I38" s="102"/>
      <c r="J38" s="103"/>
      <c r="K38" s="103"/>
      <c r="L38" s="104"/>
      <c r="M38" s="105"/>
      <c r="N38" s="103"/>
      <c r="O38" s="103"/>
      <c r="P38" s="106"/>
      <c r="Q38" s="105"/>
      <c r="R38" s="103"/>
      <c r="S38" s="103"/>
      <c r="T38" s="106"/>
      <c r="U38" s="104"/>
      <c r="V38" s="98"/>
      <c r="W38" s="96"/>
      <c r="X38" s="96"/>
      <c r="Y38" s="97"/>
      <c r="Z38" s="98"/>
      <c r="AA38" s="96"/>
      <c r="AB38" s="96"/>
      <c r="AC38" s="96"/>
      <c r="AD38" s="235">
        <v>10</v>
      </c>
      <c r="AE38" s="236"/>
      <c r="AF38" s="236"/>
      <c r="AG38" s="236"/>
      <c r="AH38" s="237"/>
      <c r="AI38" s="290">
        <v>10</v>
      </c>
      <c r="AJ38" s="236"/>
      <c r="AK38" s="236"/>
      <c r="AL38" s="237"/>
      <c r="AM38" s="290">
        <v>10</v>
      </c>
      <c r="AN38" s="236"/>
      <c r="AO38" s="236"/>
      <c r="AP38" s="236"/>
      <c r="AQ38" s="237"/>
      <c r="AR38" s="290">
        <v>10</v>
      </c>
      <c r="AS38" s="236"/>
      <c r="AT38" s="236"/>
      <c r="AU38" s="237"/>
      <c r="AV38" s="290">
        <v>10</v>
      </c>
      <c r="AW38" s="236"/>
      <c r="AX38" s="236"/>
      <c r="AY38" s="237"/>
      <c r="AZ38" s="290">
        <v>10</v>
      </c>
      <c r="BA38" s="236"/>
      <c r="BB38" s="236"/>
      <c r="BC38" s="236"/>
      <c r="BD38" s="237"/>
      <c r="BE38" s="290">
        <v>10</v>
      </c>
      <c r="BF38" s="236"/>
      <c r="BG38" s="236"/>
      <c r="BH38" s="237"/>
      <c r="BI38" s="290">
        <v>10</v>
      </c>
      <c r="BJ38" s="236"/>
      <c r="BK38" s="236"/>
      <c r="BL38" s="237"/>
      <c r="BM38" s="290">
        <v>10</v>
      </c>
      <c r="BN38" s="236"/>
      <c r="BO38" s="236"/>
      <c r="BP38" s="236"/>
      <c r="BQ38" s="237"/>
      <c r="BR38" s="290">
        <v>10</v>
      </c>
      <c r="BS38" s="236"/>
      <c r="BT38" s="236"/>
      <c r="BU38" s="237"/>
      <c r="BV38" s="290">
        <v>10</v>
      </c>
      <c r="BW38" s="236"/>
      <c r="BX38" s="236"/>
      <c r="BY38" s="237"/>
      <c r="BZ38" s="290">
        <v>10</v>
      </c>
      <c r="CA38" s="236"/>
      <c r="CB38" s="236"/>
      <c r="CC38" s="237"/>
      <c r="CD38" s="198">
        <v>1</v>
      </c>
      <c r="CE38" s="199">
        <f t="shared" si="33"/>
        <v>120</v>
      </c>
      <c r="CF38" s="199">
        <f t="shared" si="31"/>
        <v>120</v>
      </c>
      <c r="CG38" s="190">
        <v>70</v>
      </c>
      <c r="CH38" s="212">
        <f t="shared" si="32"/>
        <v>8400</v>
      </c>
      <c r="CI38" s="240"/>
      <c r="CJ38" s="183"/>
      <c r="CK38" s="183"/>
      <c r="CL38" s="183"/>
      <c r="CM38" s="92"/>
      <c r="CN38" s="92">
        <f>CM38*CE38</f>
        <v>0</v>
      </c>
      <c r="CO38" s="93"/>
      <c r="CP38" s="75"/>
      <c r="CQ38" s="75"/>
      <c r="CR38" s="83"/>
      <c r="CS38" s="84" t="str">
        <f>IFERROR(
IF(SUMIF(ProductCodes,"C",$CI:$CI)=$CI$775,(IF($A38="C",(SUMIF(#REF!,CS$17,#REF!)*$CG38)*((SUMIF(ProductCodes,"C",$CI:$CI)-SUMIF(ProductCodes,"H",$CH:$CH)-SUMIF(ProductCodes,"R",$CH:$CH)-SUMIF(ProductCodes,"B",$CH:$CH)-(SUMIF(ProductCodes,"S",$CH:$CH)/2))/SUMIF(ProductCodes,"C",$CH:$CH)),IF($A38="S",(SUMIF(#REF!,CS$17,#REF!)*$CG38)/2,
IF($A38="B",(SUMIF(#REF!,CS$17,#REF!)*$CG38),
IF($A38="R",(SUMIF(#REF!,CS$17,#REF!)*$CG38),
IF($A38="H",(SUMIF(#REF!,CS$17,#REF!)*$CG38),"")))))),
IF(SUMIF(ProductCodes,"S",$CI:$CI)=$CI$775,(IF($A38="S",(SUMIF(#REF!,CS$17,#REF!)*$CG38)*((SUMIF(ProductCodes,"S",$CI:$CI)-SUMIF(ProductCodes,"H",$CH:$CH)-SUMIF(ProductCodes,"R",$CH:$CH)-SUMIF(ProductCodes,"B",$CH:$CH)-(SUMIF(ProductCodes,"C",$CH:$CH)/4))/SUMIF(ProductCodes,"S",$CH:$CH)),
IF($A38="C",(SUMIF(#REF!,CS$17,#REF!)*$CG38)/4,
IF($A38="B",(SUMIF(#REF!,CS$17,#REF!)*$CG38),
IF($A38="R",(SUMIF(#REF!,CS$17,#REF!)*$CG38),
IF($A38="H",(SUMIF(#REF!,CS$17,#REF!)*$CG38),"")))))),
IF($A38="C",(SUMIF(#REF!,CS$17,#REF!)*$CG38)*(SUMIF(ProductCodes,"C",$CI:$CI)/(SUMIF(ProductCodes,"C",$CH:$CH))),
IF($A38="S",(SUMIF(#REF!,CS$17,#REF!)*$CG38)*(SUMIF(ProductCodes,"S",$CI:$CI)/(SUMIF(ProductCodes,"S",$CH:$CH))),
IF($A38="B",(SUMIF(#REF!,CS$17,#REF!)*$CG38)*(SUMIF(ProductCodes,"B",$CI:$CI)/(SUMIF(ProductCodes,"B",$CH:$CH))),
IF($A38="R",(SUMIF(#REF!,CS$17,#REF!)*$CG38)*(SUMIF(ProductCodes,"R",$CI:$CI)/(SUMIF(ProductCodes,"R",$CH:$CH))),
IF($A38="H",(SUMIF(#REF!,CS$17,#REF!)*$CG38)*(SUMIF(ProductCodes,"H",$CI:$CI)/(SUMIF(ProductCodes,"H",$CH:$CH))),""))))))),"Error")</f>
        <v>Error</v>
      </c>
      <c r="CT38" s="84" t="str">
        <f>IFERROR(
IF(SUMIF(ProductCodes,"C",$CI:$CI)=$CI$775,(IF($A38="C",(SUMIF(#REF!,CT$17,#REF!)*$CG38)*((SUMIF(ProductCodes,"C",$CI:$CI)-SUMIF(ProductCodes,"H",$CH:$CH)-SUMIF(ProductCodes,"R",$CH:$CH)-SUMIF(ProductCodes,"B",$CH:$CH)-(SUMIF(ProductCodes,"S",$CH:$CH)/2))/SUMIF(ProductCodes,"C",$CH:$CH)),IF($A38="S",(SUMIF(#REF!,CT$17,#REF!)*$CG38)/2,
IF($A38="B",(SUMIF(#REF!,CT$17,#REF!)*$CG38),
IF($A38="R",(SUMIF(#REF!,CT$17,#REF!)*$CG38),
IF($A38="H",(SUMIF(#REF!,CT$17,#REF!)*$CG38),"")))))),
IF(SUMIF(ProductCodes,"S",$CI:$CI)=$CI$775,(IF($A38="S",(SUMIF(#REF!,CT$17,#REF!)*$CG38)*((SUMIF(ProductCodes,"S",$CI:$CI)-SUMIF(ProductCodes,"H",$CH:$CH)-SUMIF(ProductCodes,"R",$CH:$CH)-SUMIF(ProductCodes,"B",$CH:$CH)-(SUMIF(ProductCodes,"C",$CH:$CH)/4))/SUMIF(ProductCodes,"S",$CH:$CH)),
IF($A38="C",(SUMIF(#REF!,CT$17,#REF!)*$CG38)/4,
IF($A38="B",(SUMIF(#REF!,CT$17,#REF!)*$CG38),
IF($A38="R",(SUMIF(#REF!,CT$17,#REF!)*$CG38),
IF($A38="H",(SUMIF(#REF!,CT$17,#REF!)*$CG38),"")))))),
IF($A38="C",(SUMIF(#REF!,CT$17,#REF!)*$CG38)*(SUMIF(ProductCodes,"C",$CI:$CI)/(SUMIF(ProductCodes,"C",$CH:$CH))),
IF($A38="S",(SUMIF(#REF!,CT$17,#REF!)*$CG38)*(SUMIF(ProductCodes,"S",$CI:$CI)/(SUMIF(ProductCodes,"S",$CH:$CH))),
IF($A38="B",(SUMIF(#REF!,CT$17,#REF!)*$CG38)*(SUMIF(ProductCodes,"B",$CI:$CI)/(SUMIF(ProductCodes,"B",$CH:$CH))),
IF($A38="R",(SUMIF(#REF!,CT$17,#REF!)*$CG38)*(SUMIF(ProductCodes,"R",$CI:$CI)/(SUMIF(ProductCodes,"R",$CH:$CH))),
IF($A38="H",(SUMIF(#REF!,CT$17,#REF!)*$CG38)*(SUMIF(ProductCodes,"H",$CI:$CI)/(SUMIF(ProductCodes,"H",$CH:$CH))),""))))))),"Error")</f>
        <v>Error</v>
      </c>
      <c r="CU38" s="84" t="str">
        <f>IFERROR(
IF(SUMIF(ProductCodes,"C",$CI:$CI)=$CI$775,(IF($A38="C",(SUMIF(#REF!,CU$17,#REF!)*$CG38)*((SUMIF(ProductCodes,"C",$CI:$CI)-SUMIF(ProductCodes,"H",$CH:$CH)-SUMIF(ProductCodes,"R",$CH:$CH)-SUMIF(ProductCodes,"B",$CH:$CH)-(SUMIF(ProductCodes,"S",$CH:$CH)/2))/SUMIF(ProductCodes,"C",$CH:$CH)),IF($A38="S",(SUMIF(#REF!,CU$17,#REF!)*$CG38)/2,
IF($A38="B",(SUMIF(#REF!,CU$17,#REF!)*$CG38),
IF($A38="R",(SUMIF(#REF!,CU$17,#REF!)*$CG38),
IF($A38="H",(SUMIF(#REF!,CU$17,#REF!)*$CG38),"")))))),
IF(SUMIF(ProductCodes,"S",$CI:$CI)=$CI$775,(IF($A38="S",(SUMIF(#REF!,CU$17,#REF!)*$CG38)*((SUMIF(ProductCodes,"S",$CI:$CI)-SUMIF(ProductCodes,"H",$CH:$CH)-SUMIF(ProductCodes,"R",$CH:$CH)-SUMIF(ProductCodes,"B",$CH:$CH)-(SUMIF(ProductCodes,"C",$CH:$CH)/4))/SUMIF(ProductCodes,"S",$CH:$CH)),
IF($A38="C",(SUMIF(#REF!,CU$17,#REF!)*$CG38)/4,
IF($A38="B",(SUMIF(#REF!,CU$17,#REF!)*$CG38),
IF($A38="R",(SUMIF(#REF!,CU$17,#REF!)*$CG38),
IF($A38="H",(SUMIF(#REF!,CU$17,#REF!)*$CG38),"")))))),
IF($A38="C",(SUMIF(#REF!,CU$17,#REF!)*$CG38)*(SUMIF(ProductCodes,"C",$CI:$CI)/(SUMIF(ProductCodes,"C",$CH:$CH))),
IF($A38="S",(SUMIF(#REF!,CU$17,#REF!)*$CG38)*(SUMIF(ProductCodes,"S",$CI:$CI)/(SUMIF(ProductCodes,"S",$CH:$CH))),
IF($A38="B",(SUMIF(#REF!,CU$17,#REF!)*$CG38)*(SUMIF(ProductCodes,"B",$CI:$CI)/(SUMIF(ProductCodes,"B",$CH:$CH))),
IF($A38="R",(SUMIF(#REF!,CU$17,#REF!)*$CG38)*(SUMIF(ProductCodes,"R",$CI:$CI)/(SUMIF(ProductCodes,"R",$CH:$CH))),
IF($A38="H",(SUMIF(#REF!,CU$17,#REF!)*$CG38)*(SUMIF(ProductCodes,"H",$CI:$CI)/(SUMIF(ProductCodes,"H",$CH:$CH))),""))))))),"Error")</f>
        <v>Error</v>
      </c>
      <c r="CV38" s="84" t="str">
        <f>IFERROR(
IF(SUMIF(ProductCodes,"C",$CI:$CI)=$CI$775,(IF($A38="C",(SUMIF(#REF!,CV$17,#REF!)*$CG38)*((SUMIF(ProductCodes,"C",$CI:$CI)-SUMIF(ProductCodes,"H",$CH:$CH)-SUMIF(ProductCodes,"R",$CH:$CH)-SUMIF(ProductCodes,"B",$CH:$CH)-(SUMIF(ProductCodes,"S",$CH:$CH)/2))/SUMIF(ProductCodes,"C",$CH:$CH)),IF($A38="S",(SUMIF(#REF!,CV$17,#REF!)*$CG38)/2,
IF($A38="B",(SUMIF(#REF!,CV$17,#REF!)*$CG38),
IF($A38="R",(SUMIF(#REF!,CV$17,#REF!)*$CG38),
IF($A38="H",(SUMIF(#REF!,CV$17,#REF!)*$CG38),"")))))),
IF(SUMIF(ProductCodes,"S",$CI:$CI)=$CI$775,(IF($A38="S",(SUMIF(#REF!,CV$17,#REF!)*$CG38)*((SUMIF(ProductCodes,"S",$CI:$CI)-SUMIF(ProductCodes,"H",$CH:$CH)-SUMIF(ProductCodes,"R",$CH:$CH)-SUMIF(ProductCodes,"B",$CH:$CH)-(SUMIF(ProductCodes,"C",$CH:$CH)/4))/SUMIF(ProductCodes,"S",$CH:$CH)),
IF($A38="C",(SUMIF(#REF!,CV$17,#REF!)*$CG38)/4,
IF($A38="B",(SUMIF(#REF!,CV$17,#REF!)*$CG38),
IF($A38="R",(SUMIF(#REF!,CV$17,#REF!)*$CG38),
IF($A38="H",(SUMIF(#REF!,CV$17,#REF!)*$CG38),"")))))),
IF($A38="C",(SUMIF(#REF!,CV$17,#REF!)*$CG38)*(SUMIF(ProductCodes,"C",$CI:$CI)/(SUMIF(ProductCodes,"C",$CH:$CH))),
IF($A38="S",(SUMIF(#REF!,CV$17,#REF!)*$CG38)*(SUMIF(ProductCodes,"S",$CI:$CI)/(SUMIF(ProductCodes,"S",$CH:$CH))),
IF($A38="B",(SUMIF(#REF!,CV$17,#REF!)*$CG38)*(SUMIF(ProductCodes,"B",$CI:$CI)/(SUMIF(ProductCodes,"B",$CH:$CH))),
IF($A38="R",(SUMIF(#REF!,CV$17,#REF!)*$CG38)*(SUMIF(ProductCodes,"R",$CI:$CI)/(SUMIF(ProductCodes,"R",$CH:$CH))),
IF($A38="H",(SUMIF(#REF!,CV$17,#REF!)*$CG38)*(SUMIF(ProductCodes,"H",$CI:$CI)/(SUMIF(ProductCodes,"H",$CH:$CH))),""))))))),"Error")</f>
        <v>Error</v>
      </c>
      <c r="CW38" s="84" t="str">
        <f>IFERROR(
IF(SUMIF(ProductCodes,"C",$CI:$CI)=$CI$775,(IF($A38="C",(SUMIF(#REF!,CW$17,#REF!)*$CG38)*((SUMIF(ProductCodes,"C",$CI:$CI)-SUMIF(ProductCodes,"H",$CH:$CH)-SUMIF(ProductCodes,"R",$CH:$CH)-SUMIF(ProductCodes,"B",$CH:$CH)-(SUMIF(ProductCodes,"S",$CH:$CH)/2))/SUMIF(ProductCodes,"C",$CH:$CH)),IF($A38="S",(SUMIF(#REF!,CW$17,#REF!)*$CG38)/2,
IF($A38="B",(SUMIF(#REF!,CW$17,#REF!)*$CG38),
IF($A38="R",(SUMIF(#REF!,CW$17,#REF!)*$CG38),
IF($A38="H",(SUMIF(#REF!,CW$17,#REF!)*$CG38),"")))))),
IF(SUMIF(ProductCodes,"S",$CI:$CI)=$CI$775,(IF($A38="S",(SUMIF(#REF!,CW$17,#REF!)*$CG38)*((SUMIF(ProductCodes,"S",$CI:$CI)-SUMIF(ProductCodes,"H",$CH:$CH)-SUMIF(ProductCodes,"R",$CH:$CH)-SUMIF(ProductCodes,"B",$CH:$CH)-(SUMIF(ProductCodes,"C",$CH:$CH)/4))/SUMIF(ProductCodes,"S",$CH:$CH)),
IF($A38="C",(SUMIF(#REF!,CW$17,#REF!)*$CG38)/4,
IF($A38="B",(SUMIF(#REF!,CW$17,#REF!)*$CG38),
IF($A38="R",(SUMIF(#REF!,CW$17,#REF!)*$CG38),
IF($A38="H",(SUMIF(#REF!,CW$17,#REF!)*$CG38),"")))))),
IF($A38="C",(SUMIF(#REF!,CW$17,#REF!)*$CG38)*(SUMIF(ProductCodes,"C",$CI:$CI)/(SUMIF(ProductCodes,"C",$CH:$CH))),
IF($A38="S",(SUMIF(#REF!,CW$17,#REF!)*$CG38)*(SUMIF(ProductCodes,"S",$CI:$CI)/(SUMIF(ProductCodes,"S",$CH:$CH))),
IF($A38="B",(SUMIF(#REF!,CW$17,#REF!)*$CG38)*(SUMIF(ProductCodes,"B",$CI:$CI)/(SUMIF(ProductCodes,"B",$CH:$CH))),
IF($A38="R",(SUMIF(#REF!,CW$17,#REF!)*$CG38)*(SUMIF(ProductCodes,"R",$CI:$CI)/(SUMIF(ProductCodes,"R",$CH:$CH))),
IF($A38="H",(SUMIF(#REF!,CW$17,#REF!)*$CG38)*(SUMIF(ProductCodes,"H",$CI:$CI)/(SUMIF(ProductCodes,"H",$CH:$CH))),""))))))),"Error")</f>
        <v>Error</v>
      </c>
      <c r="CX38" s="84" t="str">
        <f>IFERROR(
IF(SUMIF(ProductCodes,"C",$CI:$CI)=$CI$775,(IF($A38="C",(SUMIF(#REF!,CX$17,#REF!)*$CG38)*((SUMIF(ProductCodes,"C",$CI:$CI)-SUMIF(ProductCodes,"H",$CH:$CH)-SUMIF(ProductCodes,"R",$CH:$CH)-SUMIF(ProductCodes,"B",$CH:$CH)-(SUMIF(ProductCodes,"S",$CH:$CH)/2))/SUMIF(ProductCodes,"C",$CH:$CH)),IF($A38="S",(SUMIF(#REF!,CX$17,#REF!)*$CG38)/2,
IF($A38="B",(SUMIF(#REF!,CX$17,#REF!)*$CG38),
IF($A38="R",(SUMIF(#REF!,CX$17,#REF!)*$CG38),
IF($A38="H",(SUMIF(#REF!,CX$17,#REF!)*$CG38),"")))))),
IF(SUMIF(ProductCodes,"S",$CI:$CI)=$CI$775,(IF($A38="S",(SUMIF(#REF!,CX$17,#REF!)*$CG38)*((SUMIF(ProductCodes,"S",$CI:$CI)-SUMIF(ProductCodes,"H",$CH:$CH)-SUMIF(ProductCodes,"R",$CH:$CH)-SUMIF(ProductCodes,"B",$CH:$CH)-(SUMIF(ProductCodes,"C",$CH:$CH)/4))/SUMIF(ProductCodes,"S",$CH:$CH)),
IF($A38="C",(SUMIF(#REF!,CX$17,#REF!)*$CG38)/4,
IF($A38="B",(SUMIF(#REF!,CX$17,#REF!)*$CG38),
IF($A38="R",(SUMIF(#REF!,CX$17,#REF!)*$CG38),
IF($A38="H",(SUMIF(#REF!,CX$17,#REF!)*$CG38),"")))))),
IF($A38="C",(SUMIF(#REF!,CX$17,#REF!)*$CG38)*(SUMIF(ProductCodes,"C",$CI:$CI)/(SUMIF(ProductCodes,"C",$CH:$CH))),
IF($A38="S",(SUMIF(#REF!,CX$17,#REF!)*$CG38)*(SUMIF(ProductCodes,"S",$CI:$CI)/(SUMIF(ProductCodes,"S",$CH:$CH))),
IF($A38="B",(SUMIF(#REF!,CX$17,#REF!)*$CG38)*(SUMIF(ProductCodes,"B",$CI:$CI)/(SUMIF(ProductCodes,"B",$CH:$CH))),
IF($A38="R",(SUMIF(#REF!,CX$17,#REF!)*$CG38)*(SUMIF(ProductCodes,"R",$CI:$CI)/(SUMIF(ProductCodes,"R",$CH:$CH))),
IF($A38="H",(SUMIF(#REF!,CX$17,#REF!)*$CG38)*(SUMIF(ProductCodes,"H",$CI:$CI)/(SUMIF(ProductCodes,"H",$CH:$CH))),""))))))),"Error")</f>
        <v>Error</v>
      </c>
      <c r="CY38" s="84" t="str">
        <f>IFERROR(
IF(SUMIF(ProductCodes,"C",$CI:$CI)=$CI$775,(IF($A38="C",(SUMIF(#REF!,CY$17,#REF!)*$CG38)*((SUMIF(ProductCodes,"C",$CI:$CI)-SUMIF(ProductCodes,"H",$CH:$CH)-SUMIF(ProductCodes,"R",$CH:$CH)-SUMIF(ProductCodes,"B",$CH:$CH)-(SUMIF(ProductCodes,"S",$CH:$CH)/2))/SUMIF(ProductCodes,"C",$CH:$CH)),IF($A38="S",(SUMIF(#REF!,CY$17,#REF!)*$CG38)/2,
IF($A38="B",(SUMIF(#REF!,CY$17,#REF!)*$CG38),
IF($A38="R",(SUMIF(#REF!,CY$17,#REF!)*$CG38),
IF($A38="H",(SUMIF(#REF!,CY$17,#REF!)*$CG38),"")))))),
IF(SUMIF(ProductCodes,"S",$CI:$CI)=$CI$775,(IF($A38="S",(SUMIF(#REF!,CY$17,#REF!)*$CG38)*((SUMIF(ProductCodes,"S",$CI:$CI)-SUMIF(ProductCodes,"H",$CH:$CH)-SUMIF(ProductCodes,"R",$CH:$CH)-SUMIF(ProductCodes,"B",$CH:$CH)-(SUMIF(ProductCodes,"C",$CH:$CH)/4))/SUMIF(ProductCodes,"S",$CH:$CH)),
IF($A38="C",(SUMIF(#REF!,CY$17,#REF!)*$CG38)/4,
IF($A38="B",(SUMIF(#REF!,CY$17,#REF!)*$CG38),
IF($A38="R",(SUMIF(#REF!,CY$17,#REF!)*$CG38),
IF($A38="H",(SUMIF(#REF!,CY$17,#REF!)*$CG38),"")))))),
IF($A38="C",(SUMIF(#REF!,CY$17,#REF!)*$CG38)*(SUMIF(ProductCodes,"C",$CI:$CI)/(SUMIF(ProductCodes,"C",$CH:$CH))),
IF($A38="S",(SUMIF(#REF!,CY$17,#REF!)*$CG38)*(SUMIF(ProductCodes,"S",$CI:$CI)/(SUMIF(ProductCodes,"S",$CH:$CH))),
IF($A38="B",(SUMIF(#REF!,CY$17,#REF!)*$CG38)*(SUMIF(ProductCodes,"B",$CI:$CI)/(SUMIF(ProductCodes,"B",$CH:$CH))),
IF($A38="R",(SUMIF(#REF!,CY$17,#REF!)*$CG38)*(SUMIF(ProductCodes,"R",$CI:$CI)/(SUMIF(ProductCodes,"R",$CH:$CH))),
IF($A38="H",(SUMIF(#REF!,CY$17,#REF!)*$CG38)*(SUMIF(ProductCodes,"H",$CI:$CI)/(SUMIF(ProductCodes,"H",$CH:$CH))),""))))))),"Error")</f>
        <v>Error</v>
      </c>
      <c r="CZ38" s="84" t="str">
        <f>IFERROR(
IF(SUMIF(ProductCodes,"C",$CI:$CI)=$CI$775,(IF($A38="C",(SUMIF(#REF!,CZ$17,#REF!)*$CG38)*((SUMIF(ProductCodes,"C",$CI:$CI)-SUMIF(ProductCodes,"H",$CH:$CH)-SUMIF(ProductCodes,"R",$CH:$CH)-SUMIF(ProductCodes,"B",$CH:$CH)-(SUMIF(ProductCodes,"S",$CH:$CH)/2))/SUMIF(ProductCodes,"C",$CH:$CH)),IF($A38="S",(SUMIF(#REF!,CZ$17,#REF!)*$CG38)/2,
IF($A38="B",(SUMIF(#REF!,CZ$17,#REF!)*$CG38),
IF($A38="R",(SUMIF(#REF!,CZ$17,#REF!)*$CG38),
IF($A38="H",(SUMIF(#REF!,CZ$17,#REF!)*$CG38),"")))))),
IF(SUMIF(ProductCodes,"S",$CI:$CI)=$CI$775,(IF($A38="S",(SUMIF(#REF!,CZ$17,#REF!)*$CG38)*((SUMIF(ProductCodes,"S",$CI:$CI)-SUMIF(ProductCodes,"H",$CH:$CH)-SUMIF(ProductCodes,"R",$CH:$CH)-SUMIF(ProductCodes,"B",$CH:$CH)-(SUMIF(ProductCodes,"C",$CH:$CH)/4))/SUMIF(ProductCodes,"S",$CH:$CH)),
IF($A38="C",(SUMIF(#REF!,CZ$17,#REF!)*$CG38)/4,
IF($A38="B",(SUMIF(#REF!,CZ$17,#REF!)*$CG38),
IF($A38="R",(SUMIF(#REF!,CZ$17,#REF!)*$CG38),
IF($A38="H",(SUMIF(#REF!,CZ$17,#REF!)*$CG38),"")))))),
IF($A38="C",(SUMIF(#REF!,CZ$17,#REF!)*$CG38)*(SUMIF(ProductCodes,"C",$CI:$CI)/(SUMIF(ProductCodes,"C",$CH:$CH))),
IF($A38="S",(SUMIF(#REF!,CZ$17,#REF!)*$CG38)*(SUMIF(ProductCodes,"S",$CI:$CI)/(SUMIF(ProductCodes,"S",$CH:$CH))),
IF($A38="B",(SUMIF(#REF!,CZ$17,#REF!)*$CG38)*(SUMIF(ProductCodes,"B",$CI:$CI)/(SUMIF(ProductCodes,"B",$CH:$CH))),
IF($A38="R",(SUMIF(#REF!,CZ$17,#REF!)*$CG38)*(SUMIF(ProductCodes,"R",$CI:$CI)/(SUMIF(ProductCodes,"R",$CH:$CH))),
IF($A38="H",(SUMIF(#REF!,CZ$17,#REF!)*$CG38)*(SUMIF(ProductCodes,"H",$CI:$CI)/(SUMIF(ProductCodes,"H",$CH:$CH))),""))))))),"Error")</f>
        <v>Error</v>
      </c>
      <c r="DA38" s="84" t="str">
        <f>IFERROR(
IF(SUMIF(ProductCodes,"C",$CI:$CI)=$CI$775,(IF($A38="C",(SUMIF(#REF!,DA$17,#REF!)*$CG38)*((SUMIF(ProductCodes,"C",$CI:$CI)-SUMIF(ProductCodes,"H",$CH:$CH)-SUMIF(ProductCodes,"R",$CH:$CH)-SUMIF(ProductCodes,"B",$CH:$CH)-(SUMIF(ProductCodes,"S",$CH:$CH)/2))/SUMIF(ProductCodes,"C",$CH:$CH)),IF($A38="S",(SUMIF(#REF!,DA$17,#REF!)*$CG38)/2,
IF($A38="B",(SUMIF(#REF!,DA$17,#REF!)*$CG38),
IF($A38="R",(SUMIF(#REF!,DA$17,#REF!)*$CG38),
IF($A38="H",(SUMIF(#REF!,DA$17,#REF!)*$CG38),"")))))),
IF(SUMIF(ProductCodes,"S",$CI:$CI)=$CI$775,(IF($A38="S",(SUMIF(#REF!,DA$17,#REF!)*$CG38)*((SUMIF(ProductCodes,"S",$CI:$CI)-SUMIF(ProductCodes,"H",$CH:$CH)-SUMIF(ProductCodes,"R",$CH:$CH)-SUMIF(ProductCodes,"B",$CH:$CH)-(SUMIF(ProductCodes,"C",$CH:$CH)/4))/SUMIF(ProductCodes,"S",$CH:$CH)),
IF($A38="C",(SUMIF(#REF!,DA$17,#REF!)*$CG38)/4,
IF($A38="B",(SUMIF(#REF!,DA$17,#REF!)*$CG38),
IF($A38="R",(SUMIF(#REF!,DA$17,#REF!)*$CG38),
IF($A38="H",(SUMIF(#REF!,DA$17,#REF!)*$CG38),"")))))),
IF($A38="C",(SUMIF(#REF!,DA$17,#REF!)*$CG38)*(SUMIF(ProductCodes,"C",$CI:$CI)/(SUMIF(ProductCodes,"C",$CH:$CH))),
IF($A38="S",(SUMIF(#REF!,DA$17,#REF!)*$CG38)*(SUMIF(ProductCodes,"S",$CI:$CI)/(SUMIF(ProductCodes,"S",$CH:$CH))),
IF($A38="B",(SUMIF(#REF!,DA$17,#REF!)*$CG38)*(SUMIF(ProductCodes,"B",$CI:$CI)/(SUMIF(ProductCodes,"B",$CH:$CH))),
IF($A38="R",(SUMIF(#REF!,DA$17,#REF!)*$CG38)*(SUMIF(ProductCodes,"R",$CI:$CI)/(SUMIF(ProductCodes,"R",$CH:$CH))),
IF($A38="H",(SUMIF(#REF!,DA$17,#REF!)*$CG38)*(SUMIF(ProductCodes,"H",$CI:$CI)/(SUMIF(ProductCodes,"H",$CH:$CH))),""))))))),"Error")</f>
        <v>Error</v>
      </c>
      <c r="DB38" s="84" t="str">
        <f>IFERROR(
IF(SUMIF(ProductCodes,"C",$CI:$CI)=$CI$775,(IF($A38="C",(SUMIF(#REF!,DB$17,#REF!)*$CG38)*((SUMIF(ProductCodes,"C",$CI:$CI)-SUMIF(ProductCodes,"H",$CH:$CH)-SUMIF(ProductCodes,"R",$CH:$CH)-SUMIF(ProductCodes,"B",$CH:$CH)-(SUMIF(ProductCodes,"S",$CH:$CH)/2))/SUMIF(ProductCodes,"C",$CH:$CH)),IF($A38="S",(SUMIF(#REF!,DB$17,#REF!)*$CG38)/2,
IF($A38="B",(SUMIF(#REF!,DB$17,#REF!)*$CG38),
IF($A38="R",(SUMIF(#REF!,DB$17,#REF!)*$CG38),
IF($A38="H",(SUMIF(#REF!,DB$17,#REF!)*$CG38),"")))))),
IF(SUMIF(ProductCodes,"S",$CI:$CI)=$CI$775,(IF($A38="S",(SUMIF(#REF!,DB$17,#REF!)*$CG38)*((SUMIF(ProductCodes,"S",$CI:$CI)-SUMIF(ProductCodes,"H",$CH:$CH)-SUMIF(ProductCodes,"R",$CH:$CH)-SUMIF(ProductCodes,"B",$CH:$CH)-(SUMIF(ProductCodes,"C",$CH:$CH)/4))/SUMIF(ProductCodes,"S",$CH:$CH)),
IF($A38="C",(SUMIF(#REF!,DB$17,#REF!)*$CG38)/4,
IF($A38="B",(SUMIF(#REF!,DB$17,#REF!)*$CG38),
IF($A38="R",(SUMIF(#REF!,DB$17,#REF!)*$CG38),
IF($A38="H",(SUMIF(#REF!,DB$17,#REF!)*$CG38),"")))))),
IF($A38="C",(SUMIF(#REF!,DB$17,#REF!)*$CG38)*(SUMIF(ProductCodes,"C",$CI:$CI)/(SUMIF(ProductCodes,"C",$CH:$CH))),
IF($A38="S",(SUMIF(#REF!,DB$17,#REF!)*$CG38)*(SUMIF(ProductCodes,"S",$CI:$CI)/(SUMIF(ProductCodes,"S",$CH:$CH))),
IF($A38="B",(SUMIF(#REF!,DB$17,#REF!)*$CG38)*(SUMIF(ProductCodes,"B",$CI:$CI)/(SUMIF(ProductCodes,"B",$CH:$CH))),
IF($A38="R",(SUMIF(#REF!,DB$17,#REF!)*$CG38)*(SUMIF(ProductCodes,"R",$CI:$CI)/(SUMIF(ProductCodes,"R",$CH:$CH))),
IF($A38="H",(SUMIF(#REF!,DB$17,#REF!)*$CG38)*(SUMIF(ProductCodes,"H",$CI:$CI)/(SUMIF(ProductCodes,"H",$CH:$CH))),""))))))),"Error")</f>
        <v>Error</v>
      </c>
      <c r="DC38" s="84" t="str">
        <f>IFERROR(
IF(SUMIF(ProductCodes,"C",$CI:$CI)=$CI$775,(IF($A38="C",(SUMIF(#REF!,DC$17,#REF!)*$CG38)*((SUMIF(ProductCodes,"C",$CI:$CI)-SUMIF(ProductCodes,"H",$CH:$CH)-SUMIF(ProductCodes,"R",$CH:$CH)-SUMIF(ProductCodes,"B",$CH:$CH)-(SUMIF(ProductCodes,"S",$CH:$CH)/2))/SUMIF(ProductCodes,"C",$CH:$CH)),IF($A38="S",(SUMIF(#REF!,DC$17,#REF!)*$CG38)/2,
IF($A38="B",(SUMIF(#REF!,DC$17,#REF!)*$CG38),
IF($A38="R",(SUMIF(#REF!,DC$17,#REF!)*$CG38),
IF($A38="H",(SUMIF(#REF!,DC$17,#REF!)*$CG38),"")))))),
IF(SUMIF(ProductCodes,"S",$CI:$CI)=$CI$775,(IF($A38="S",(SUMIF(#REF!,DC$17,#REF!)*$CG38)*((SUMIF(ProductCodes,"S",$CI:$CI)-SUMIF(ProductCodes,"H",$CH:$CH)-SUMIF(ProductCodes,"R",$CH:$CH)-SUMIF(ProductCodes,"B",$CH:$CH)-(SUMIF(ProductCodes,"C",$CH:$CH)/4))/SUMIF(ProductCodes,"S",$CH:$CH)),
IF($A38="C",(SUMIF(#REF!,DC$17,#REF!)*$CG38)/4,
IF($A38="B",(SUMIF(#REF!,DC$17,#REF!)*$CG38),
IF($A38="R",(SUMIF(#REF!,DC$17,#REF!)*$CG38),
IF($A38="H",(SUMIF(#REF!,DC$17,#REF!)*$CG38),"")))))),
IF($A38="C",(SUMIF(#REF!,DC$17,#REF!)*$CG38)*(SUMIF(ProductCodes,"C",$CI:$CI)/(SUMIF(ProductCodes,"C",$CH:$CH))),
IF($A38="S",(SUMIF(#REF!,DC$17,#REF!)*$CG38)*(SUMIF(ProductCodes,"S",$CI:$CI)/(SUMIF(ProductCodes,"S",$CH:$CH))),
IF($A38="B",(SUMIF(#REF!,DC$17,#REF!)*$CG38)*(SUMIF(ProductCodes,"B",$CI:$CI)/(SUMIF(ProductCodes,"B",$CH:$CH))),
IF($A38="R",(SUMIF(#REF!,DC$17,#REF!)*$CG38)*(SUMIF(ProductCodes,"R",$CI:$CI)/(SUMIF(ProductCodes,"R",$CH:$CH))),
IF($A38="H",(SUMIF(#REF!,DC$17,#REF!)*$CG38)*(SUMIF(ProductCodes,"H",$CI:$CI)/(SUMIF(ProductCodes,"H",$CH:$CH))),""))))))),"Error")</f>
        <v>Error</v>
      </c>
      <c r="DD38" s="84" t="str">
        <f>IFERROR(
IF(SUMIF(ProductCodes,"C",$CI:$CI)=$CI$775,(IF($A38="C",(SUMIF(#REF!,DD$17,#REF!)*$CG38)*((SUMIF(ProductCodes,"C",$CI:$CI)-SUMIF(ProductCodes,"H",$CH:$CH)-SUMIF(ProductCodes,"R",$CH:$CH)-SUMIF(ProductCodes,"B",$CH:$CH)-(SUMIF(ProductCodes,"S",$CH:$CH)/2))/SUMIF(ProductCodes,"C",$CH:$CH)),IF($A38="S",(SUMIF(#REF!,DD$17,#REF!)*$CG38)/2,
IF($A38="B",(SUMIF(#REF!,DD$17,#REF!)*$CG38),
IF($A38="R",(SUMIF(#REF!,DD$17,#REF!)*$CG38),
IF($A38="H",(SUMIF(#REF!,DD$17,#REF!)*$CG38),"")))))),
IF(SUMIF(ProductCodes,"S",$CI:$CI)=$CI$775,(IF($A38="S",(SUMIF(#REF!,DD$17,#REF!)*$CG38)*((SUMIF(ProductCodes,"S",$CI:$CI)-SUMIF(ProductCodes,"H",$CH:$CH)-SUMIF(ProductCodes,"R",$CH:$CH)-SUMIF(ProductCodes,"B",$CH:$CH)-(SUMIF(ProductCodes,"C",$CH:$CH)/4))/SUMIF(ProductCodes,"S",$CH:$CH)),
IF($A38="C",(SUMIF(#REF!,DD$17,#REF!)*$CG38)/4,
IF($A38="B",(SUMIF(#REF!,DD$17,#REF!)*$CG38),
IF($A38="R",(SUMIF(#REF!,DD$17,#REF!)*$CG38),
IF($A38="H",(SUMIF(#REF!,DD$17,#REF!)*$CG38),"")))))),
IF($A38="C",(SUMIF(#REF!,DD$17,#REF!)*$CG38)*(SUMIF(ProductCodes,"C",$CI:$CI)/(SUMIF(ProductCodes,"C",$CH:$CH))),
IF($A38="S",(SUMIF(#REF!,DD$17,#REF!)*$CG38)*(SUMIF(ProductCodes,"S",$CI:$CI)/(SUMIF(ProductCodes,"S",$CH:$CH))),
IF($A38="B",(SUMIF(#REF!,DD$17,#REF!)*$CG38)*(SUMIF(ProductCodes,"B",$CI:$CI)/(SUMIF(ProductCodes,"B",$CH:$CH))),
IF($A38="R",(SUMIF(#REF!,DD$17,#REF!)*$CG38)*(SUMIF(ProductCodes,"R",$CI:$CI)/(SUMIF(ProductCodes,"R",$CH:$CH))),
IF($A38="H",(SUMIF(#REF!,DD$17,#REF!)*$CG38)*(SUMIF(ProductCodes,"H",$CI:$CI)/(SUMIF(ProductCodes,"H",$CH:$CH))),""))))))),"Error")</f>
        <v>Error</v>
      </c>
      <c r="DE38" s="84" t="str">
        <f>IFERROR(
IF(SUMIF(ProductCodes,"C",$CI:$CI)=$CI$775,(IF($A38="C",(SUMIF(#REF!,DE$17,#REF!)*$CG38)*((SUMIF(ProductCodes,"C",$CI:$CI)-SUMIF(ProductCodes,"H",$CH:$CH)-SUMIF(ProductCodes,"R",$CH:$CH)-SUMIF(ProductCodes,"B",$CH:$CH)-(SUMIF(ProductCodes,"S",$CH:$CH)/2))/SUMIF(ProductCodes,"C",$CH:$CH)),IF($A38="S",(SUMIF(#REF!,DE$17,#REF!)*$CG38)/2,
IF($A38="B",(SUMIF(#REF!,DE$17,#REF!)*$CG38),
IF($A38="R",(SUMIF(#REF!,DE$17,#REF!)*$CG38),
IF($A38="H",(SUMIF(#REF!,DE$17,#REF!)*$CG38),"")))))),
IF(SUMIF(ProductCodes,"S",$CI:$CI)=$CI$775,(IF($A38="S",(SUMIF(#REF!,DE$17,#REF!)*$CG38)*((SUMIF(ProductCodes,"S",$CI:$CI)-SUMIF(ProductCodes,"H",$CH:$CH)-SUMIF(ProductCodes,"R",$CH:$CH)-SUMIF(ProductCodes,"B",$CH:$CH)-(SUMIF(ProductCodes,"C",$CH:$CH)/4))/SUMIF(ProductCodes,"S",$CH:$CH)),
IF($A38="C",(SUMIF(#REF!,DE$17,#REF!)*$CG38)/4,
IF($A38="B",(SUMIF(#REF!,DE$17,#REF!)*$CG38),
IF($A38="R",(SUMIF(#REF!,DE$17,#REF!)*$CG38),
IF($A38="H",(SUMIF(#REF!,DE$17,#REF!)*$CG38),"")))))),
IF($A38="C",(SUMIF(#REF!,DE$17,#REF!)*$CG38)*(SUMIF(ProductCodes,"C",$CI:$CI)/(SUMIF(ProductCodes,"C",$CH:$CH))),
IF($A38="S",(SUMIF(#REF!,DE$17,#REF!)*$CG38)*(SUMIF(ProductCodes,"S",$CI:$CI)/(SUMIF(ProductCodes,"S",$CH:$CH))),
IF($A38="B",(SUMIF(#REF!,DE$17,#REF!)*$CG38)*(SUMIF(ProductCodes,"B",$CI:$CI)/(SUMIF(ProductCodes,"B",$CH:$CH))),
IF($A38="R",(SUMIF(#REF!,DE$17,#REF!)*$CG38)*(SUMIF(ProductCodes,"R",$CI:$CI)/(SUMIF(ProductCodes,"R",$CH:$CH))),
IF($A38="H",(SUMIF(#REF!,DE$17,#REF!)*$CG38)*(SUMIF(ProductCodes,"H",$CI:$CI)/(SUMIF(ProductCodes,"H",$CH:$CH))),""))))))),"Error")</f>
        <v>Error</v>
      </c>
      <c r="DF38" s="84" t="str">
        <f>IFERROR(
IF(SUMIF(ProductCodes,"C",$CI:$CI)=$CI$775,(IF($A38="C",(SUMIF(#REF!,DF$17,#REF!)*$CG38)*((SUMIF(ProductCodes,"C",$CI:$CI)-SUMIF(ProductCodes,"H",$CH:$CH)-SUMIF(ProductCodes,"R",$CH:$CH)-SUMIF(ProductCodes,"B",$CH:$CH)-(SUMIF(ProductCodes,"S",$CH:$CH)/2))/SUMIF(ProductCodes,"C",$CH:$CH)),IF($A38="S",(SUMIF(#REF!,DF$17,#REF!)*$CG38)/2,
IF($A38="B",(SUMIF(#REF!,DF$17,#REF!)*$CG38),
IF($A38="R",(SUMIF(#REF!,DF$17,#REF!)*$CG38),
IF($A38="H",(SUMIF(#REF!,DF$17,#REF!)*$CG38),"")))))),
IF(SUMIF(ProductCodes,"S",$CI:$CI)=$CI$775,(IF($A38="S",(SUMIF(#REF!,DF$17,#REF!)*$CG38)*((SUMIF(ProductCodes,"S",$CI:$CI)-SUMIF(ProductCodes,"H",$CH:$CH)-SUMIF(ProductCodes,"R",$CH:$CH)-SUMIF(ProductCodes,"B",$CH:$CH)-(SUMIF(ProductCodes,"C",$CH:$CH)/4))/SUMIF(ProductCodes,"S",$CH:$CH)),
IF($A38="C",(SUMIF(#REF!,DF$17,#REF!)*$CG38)/4,
IF($A38="B",(SUMIF(#REF!,DF$17,#REF!)*$CG38),
IF($A38="R",(SUMIF(#REF!,DF$17,#REF!)*$CG38),
IF($A38="H",(SUMIF(#REF!,DF$17,#REF!)*$CG38),"")))))),
IF($A38="C",(SUMIF(#REF!,DF$17,#REF!)*$CG38)*(SUMIF(ProductCodes,"C",$CI:$CI)/(SUMIF(ProductCodes,"C",$CH:$CH))),
IF($A38="S",(SUMIF(#REF!,DF$17,#REF!)*$CG38)*(SUMIF(ProductCodes,"S",$CI:$CI)/(SUMIF(ProductCodes,"S",$CH:$CH))),
IF($A38="B",(SUMIF(#REF!,DF$17,#REF!)*$CG38)*(SUMIF(ProductCodes,"B",$CI:$CI)/(SUMIF(ProductCodes,"B",$CH:$CH))),
IF($A38="R",(SUMIF(#REF!,DF$17,#REF!)*$CG38)*(SUMIF(ProductCodes,"R",$CI:$CI)/(SUMIF(ProductCodes,"R",$CH:$CH))),
IF($A38="H",(SUMIF(#REF!,DF$17,#REF!)*$CG38)*(SUMIF(ProductCodes,"H",$CI:$CI)/(SUMIF(ProductCodes,"H",$CH:$CH))),""))))))),"Error")</f>
        <v>Error</v>
      </c>
      <c r="DG38" s="84" t="str">
        <f>IFERROR(
IF(SUMIF(ProductCodes,"C",$CI:$CI)=$CI$775,(IF($A38="C",(SUMIF(#REF!,DG$17,#REF!)*$CG38)*((SUMIF(ProductCodes,"C",$CI:$CI)-SUMIF(ProductCodes,"H",$CH:$CH)-SUMIF(ProductCodes,"R",$CH:$CH)-SUMIF(ProductCodes,"B",$CH:$CH)-(SUMIF(ProductCodes,"S",$CH:$CH)/2))/SUMIF(ProductCodes,"C",$CH:$CH)),IF($A38="S",(SUMIF(#REF!,DG$17,#REF!)*$CG38)/2,
IF($A38="B",(SUMIF(#REF!,DG$17,#REF!)*$CG38),
IF($A38="R",(SUMIF(#REF!,DG$17,#REF!)*$CG38),
IF($A38="H",(SUMIF(#REF!,DG$17,#REF!)*$CG38),"")))))),
IF(SUMIF(ProductCodes,"S",$CI:$CI)=$CI$775,(IF($A38="S",(SUMIF(#REF!,DG$17,#REF!)*$CG38)*((SUMIF(ProductCodes,"S",$CI:$CI)-SUMIF(ProductCodes,"H",$CH:$CH)-SUMIF(ProductCodes,"R",$CH:$CH)-SUMIF(ProductCodes,"B",$CH:$CH)-(SUMIF(ProductCodes,"C",$CH:$CH)/4))/SUMIF(ProductCodes,"S",$CH:$CH)),
IF($A38="C",(SUMIF(#REF!,DG$17,#REF!)*$CG38)/4,
IF($A38="B",(SUMIF(#REF!,DG$17,#REF!)*$CG38),
IF($A38="R",(SUMIF(#REF!,DG$17,#REF!)*$CG38),
IF($A38="H",(SUMIF(#REF!,DG$17,#REF!)*$CG38),"")))))),
IF($A38="C",(SUMIF(#REF!,DG$17,#REF!)*$CG38)*(SUMIF(ProductCodes,"C",$CI:$CI)/(SUMIF(ProductCodes,"C",$CH:$CH))),
IF($A38="S",(SUMIF(#REF!,DG$17,#REF!)*$CG38)*(SUMIF(ProductCodes,"S",$CI:$CI)/(SUMIF(ProductCodes,"S",$CH:$CH))),
IF($A38="B",(SUMIF(#REF!,DG$17,#REF!)*$CG38)*(SUMIF(ProductCodes,"B",$CI:$CI)/(SUMIF(ProductCodes,"B",$CH:$CH))),
IF($A38="R",(SUMIF(#REF!,DG$17,#REF!)*$CG38)*(SUMIF(ProductCodes,"R",$CI:$CI)/(SUMIF(ProductCodes,"R",$CH:$CH))),
IF($A38="H",(SUMIF(#REF!,DG$17,#REF!)*$CG38)*(SUMIF(ProductCodes,"H",$CI:$CI)/(SUMIF(ProductCodes,"H",$CH:$CH))),""))))))),"Error")</f>
        <v>Error</v>
      </c>
      <c r="DH38" s="84" t="str">
        <f>IFERROR(
IF(SUMIF(ProductCodes,"C",$CI:$CI)=$CI$775,(IF($A38="C",(SUMIF(#REF!,DH$17,#REF!)*$CG38)*((SUMIF(ProductCodes,"C",$CI:$CI)-SUMIF(ProductCodes,"H",$CH:$CH)-SUMIF(ProductCodes,"R",$CH:$CH)-SUMIF(ProductCodes,"B",$CH:$CH)-(SUMIF(ProductCodes,"S",$CH:$CH)/2))/SUMIF(ProductCodes,"C",$CH:$CH)),IF($A38="S",(SUMIF(#REF!,DH$17,#REF!)*$CG38)/2,
IF($A38="B",(SUMIF(#REF!,DH$17,#REF!)*$CG38),
IF($A38="R",(SUMIF(#REF!,DH$17,#REF!)*$CG38),
IF($A38="H",(SUMIF(#REF!,DH$17,#REF!)*$CG38),"")))))),
IF(SUMIF(ProductCodes,"S",$CI:$CI)=$CI$775,(IF($A38="S",(SUMIF(#REF!,DH$17,#REF!)*$CG38)*((SUMIF(ProductCodes,"S",$CI:$CI)-SUMIF(ProductCodes,"H",$CH:$CH)-SUMIF(ProductCodes,"R",$CH:$CH)-SUMIF(ProductCodes,"B",$CH:$CH)-(SUMIF(ProductCodes,"C",$CH:$CH)/4))/SUMIF(ProductCodes,"S",$CH:$CH)),
IF($A38="C",(SUMIF(#REF!,DH$17,#REF!)*$CG38)/4,
IF($A38="B",(SUMIF(#REF!,DH$17,#REF!)*$CG38),
IF($A38="R",(SUMIF(#REF!,DH$17,#REF!)*$CG38),
IF($A38="H",(SUMIF(#REF!,DH$17,#REF!)*$CG38),"")))))),
IF($A38="C",(SUMIF(#REF!,DH$17,#REF!)*$CG38)*(SUMIF(ProductCodes,"C",$CI:$CI)/(SUMIF(ProductCodes,"C",$CH:$CH))),
IF($A38="S",(SUMIF(#REF!,DH$17,#REF!)*$CG38)*(SUMIF(ProductCodes,"S",$CI:$CI)/(SUMIF(ProductCodes,"S",$CH:$CH))),
IF($A38="B",(SUMIF(#REF!,DH$17,#REF!)*$CG38)*(SUMIF(ProductCodes,"B",$CI:$CI)/(SUMIF(ProductCodes,"B",$CH:$CH))),
IF($A38="R",(SUMIF(#REF!,DH$17,#REF!)*$CG38)*(SUMIF(ProductCodes,"R",$CI:$CI)/(SUMIF(ProductCodes,"R",$CH:$CH))),
IF($A38="H",(SUMIF(#REF!,DH$17,#REF!)*$CG38)*(SUMIF(ProductCodes,"H",$CI:$CI)/(SUMIF(ProductCodes,"H",$CH:$CH))),""))))))),"Error")</f>
        <v>Error</v>
      </c>
      <c r="DI38" s="84" t="str">
        <f>IFERROR(
IF(SUMIF(ProductCodes,"C",$CI:$CI)=$CI$775,(IF($A38="C",(SUMIF(#REF!,DI$17,#REF!)*$CG38)*((SUMIF(ProductCodes,"C",$CI:$CI)-SUMIF(ProductCodes,"H",$CH:$CH)-SUMIF(ProductCodes,"R",$CH:$CH)-SUMIF(ProductCodes,"B",$CH:$CH)-(SUMIF(ProductCodes,"S",$CH:$CH)/2))/SUMIF(ProductCodes,"C",$CH:$CH)),IF($A38="S",(SUMIF(#REF!,DI$17,#REF!)*$CG38)/2,
IF($A38="B",(SUMIF(#REF!,DI$17,#REF!)*$CG38),
IF($A38="R",(SUMIF(#REF!,DI$17,#REF!)*$CG38),
IF($A38="H",(SUMIF(#REF!,DI$17,#REF!)*$CG38),"")))))),
IF(SUMIF(ProductCodes,"S",$CI:$CI)=$CI$775,(IF($A38="S",(SUMIF(#REF!,DI$17,#REF!)*$CG38)*((SUMIF(ProductCodes,"S",$CI:$CI)-SUMIF(ProductCodes,"H",$CH:$CH)-SUMIF(ProductCodes,"R",$CH:$CH)-SUMIF(ProductCodes,"B",$CH:$CH)-(SUMIF(ProductCodes,"C",$CH:$CH)/4))/SUMIF(ProductCodes,"S",$CH:$CH)),
IF($A38="C",(SUMIF(#REF!,DI$17,#REF!)*$CG38)/4,
IF($A38="B",(SUMIF(#REF!,DI$17,#REF!)*$CG38),
IF($A38="R",(SUMIF(#REF!,DI$17,#REF!)*$CG38),
IF($A38="H",(SUMIF(#REF!,DI$17,#REF!)*$CG38),"")))))),
IF($A38="C",(SUMIF(#REF!,DI$17,#REF!)*$CG38)*(SUMIF(ProductCodes,"C",$CI:$CI)/(SUMIF(ProductCodes,"C",$CH:$CH))),
IF($A38="S",(SUMIF(#REF!,DI$17,#REF!)*$CG38)*(SUMIF(ProductCodes,"S",$CI:$CI)/(SUMIF(ProductCodes,"S",$CH:$CH))),
IF($A38="B",(SUMIF(#REF!,DI$17,#REF!)*$CG38)*(SUMIF(ProductCodes,"B",$CI:$CI)/(SUMIF(ProductCodes,"B",$CH:$CH))),
IF($A38="R",(SUMIF(#REF!,DI$17,#REF!)*$CG38)*(SUMIF(ProductCodes,"R",$CI:$CI)/(SUMIF(ProductCodes,"R",$CH:$CH))),
IF($A38="H",(SUMIF(#REF!,DI$17,#REF!)*$CG38)*(SUMIF(ProductCodes,"H",$CI:$CI)/(SUMIF(ProductCodes,"H",$CH:$CH))),""))))))),"Error")</f>
        <v>Error</v>
      </c>
      <c r="DJ38" s="84" t="str">
        <f>IFERROR(
IF(SUMIF(ProductCodes,"C",$CI:$CI)=$CI$775,(IF($A38="C",(SUMIF(#REF!,DJ$17,#REF!)*$CG38)*((SUMIF(ProductCodes,"C",$CI:$CI)-SUMIF(ProductCodes,"H",$CH:$CH)-SUMIF(ProductCodes,"R",$CH:$CH)-SUMIF(ProductCodes,"B",$CH:$CH)-(SUMIF(ProductCodes,"S",$CH:$CH)/2))/SUMIF(ProductCodes,"C",$CH:$CH)),IF($A38="S",(SUMIF(#REF!,DJ$17,#REF!)*$CG38)/2,
IF($A38="B",(SUMIF(#REF!,DJ$17,#REF!)*$CG38),
IF($A38="R",(SUMIF(#REF!,DJ$17,#REF!)*$CG38),
IF($A38="H",(SUMIF(#REF!,DJ$17,#REF!)*$CG38),"")))))),
IF(SUMIF(ProductCodes,"S",$CI:$CI)=$CI$775,(IF($A38="S",(SUMIF(#REF!,DJ$17,#REF!)*$CG38)*((SUMIF(ProductCodes,"S",$CI:$CI)-SUMIF(ProductCodes,"H",$CH:$CH)-SUMIF(ProductCodes,"R",$CH:$CH)-SUMIF(ProductCodes,"B",$CH:$CH)-(SUMIF(ProductCodes,"C",$CH:$CH)/4))/SUMIF(ProductCodes,"S",$CH:$CH)),
IF($A38="C",(SUMIF(#REF!,DJ$17,#REF!)*$CG38)/4,
IF($A38="B",(SUMIF(#REF!,DJ$17,#REF!)*$CG38),
IF($A38="R",(SUMIF(#REF!,DJ$17,#REF!)*$CG38),
IF($A38="H",(SUMIF(#REF!,DJ$17,#REF!)*$CG38),"")))))),
IF($A38="C",(SUMIF(#REF!,DJ$17,#REF!)*$CG38)*(SUMIF(ProductCodes,"C",$CI:$CI)/(SUMIF(ProductCodes,"C",$CH:$CH))),
IF($A38="S",(SUMIF(#REF!,DJ$17,#REF!)*$CG38)*(SUMIF(ProductCodes,"S",$CI:$CI)/(SUMIF(ProductCodes,"S",$CH:$CH))),
IF($A38="B",(SUMIF(#REF!,DJ$17,#REF!)*$CG38)*(SUMIF(ProductCodes,"B",$CI:$CI)/(SUMIF(ProductCodes,"B",$CH:$CH))),
IF($A38="R",(SUMIF(#REF!,DJ$17,#REF!)*$CG38)*(SUMIF(ProductCodes,"R",$CI:$CI)/(SUMIF(ProductCodes,"R",$CH:$CH))),
IF($A38="H",(SUMIF(#REF!,DJ$17,#REF!)*$CG38)*(SUMIF(ProductCodes,"H",$CI:$CI)/(SUMIF(ProductCodes,"H",$CH:$CH))),""))))))),"Error")</f>
        <v>Error</v>
      </c>
      <c r="DK38" s="84" t="str">
        <f>IFERROR(
IF(SUMIF(ProductCodes,"C",$CI:$CI)=$CI$775,(IF($A38="C",(SUMIF(#REF!,DK$17,#REF!)*$CG38)*((SUMIF(ProductCodes,"C",$CI:$CI)-SUMIF(ProductCodes,"H",$CH:$CH)-SUMIF(ProductCodes,"R",$CH:$CH)-SUMIF(ProductCodes,"B",$CH:$CH)-(SUMIF(ProductCodes,"S",$CH:$CH)/2))/SUMIF(ProductCodes,"C",$CH:$CH)),IF($A38="S",(SUMIF(#REF!,DK$17,#REF!)*$CG38)/2,
IF($A38="B",(SUMIF(#REF!,DK$17,#REF!)*$CG38),
IF($A38="R",(SUMIF(#REF!,DK$17,#REF!)*$CG38),
IF($A38="H",(SUMIF(#REF!,DK$17,#REF!)*$CG38),"")))))),
IF(SUMIF(ProductCodes,"S",$CI:$CI)=$CI$775,(IF($A38="S",(SUMIF(#REF!,DK$17,#REF!)*$CG38)*((SUMIF(ProductCodes,"S",$CI:$CI)-SUMIF(ProductCodes,"H",$CH:$CH)-SUMIF(ProductCodes,"R",$CH:$CH)-SUMIF(ProductCodes,"B",$CH:$CH)-(SUMIF(ProductCodes,"C",$CH:$CH)/4))/SUMIF(ProductCodes,"S",$CH:$CH)),
IF($A38="C",(SUMIF(#REF!,DK$17,#REF!)*$CG38)/4,
IF($A38="B",(SUMIF(#REF!,DK$17,#REF!)*$CG38),
IF($A38="R",(SUMIF(#REF!,DK$17,#REF!)*$CG38),
IF($A38="H",(SUMIF(#REF!,DK$17,#REF!)*$CG38),"")))))),
IF($A38="C",(SUMIF(#REF!,DK$17,#REF!)*$CG38)*(SUMIF(ProductCodes,"C",$CI:$CI)/(SUMIF(ProductCodes,"C",$CH:$CH))),
IF($A38="S",(SUMIF(#REF!,DK$17,#REF!)*$CG38)*(SUMIF(ProductCodes,"S",$CI:$CI)/(SUMIF(ProductCodes,"S",$CH:$CH))),
IF($A38="B",(SUMIF(#REF!,DK$17,#REF!)*$CG38)*(SUMIF(ProductCodes,"B",$CI:$CI)/(SUMIF(ProductCodes,"B",$CH:$CH))),
IF($A38="R",(SUMIF(#REF!,DK$17,#REF!)*$CG38)*(SUMIF(ProductCodes,"R",$CI:$CI)/(SUMIF(ProductCodes,"R",$CH:$CH))),
IF($A38="H",(SUMIF(#REF!,DK$17,#REF!)*$CG38)*(SUMIF(ProductCodes,"H",$CI:$CI)/(SUMIF(ProductCodes,"H",$CH:$CH))),""))))))),"Error")</f>
        <v>Error</v>
      </c>
      <c r="DL38" s="84" t="str">
        <f>IFERROR(
IF(SUMIF(ProductCodes,"C",$CI:$CI)=$CI$775,(IF($A38="C",(SUMIF(#REF!,DL$17,#REF!)*$CG38)*((SUMIF(ProductCodes,"C",$CI:$CI)-SUMIF(ProductCodes,"H",$CH:$CH)-SUMIF(ProductCodes,"R",$CH:$CH)-SUMIF(ProductCodes,"B",$CH:$CH)-(SUMIF(ProductCodes,"S",$CH:$CH)/2))/SUMIF(ProductCodes,"C",$CH:$CH)),IF($A38="S",(SUMIF(#REF!,DL$17,#REF!)*$CG38)/2,
IF($A38="B",(SUMIF(#REF!,DL$17,#REF!)*$CG38),
IF($A38="R",(SUMIF(#REF!,DL$17,#REF!)*$CG38),
IF($A38="H",(SUMIF(#REF!,DL$17,#REF!)*$CG38),"")))))),
IF(SUMIF(ProductCodes,"S",$CI:$CI)=$CI$775,(IF($A38="S",(SUMIF(#REF!,DL$17,#REF!)*$CG38)*((SUMIF(ProductCodes,"S",$CI:$CI)-SUMIF(ProductCodes,"H",$CH:$CH)-SUMIF(ProductCodes,"R",$CH:$CH)-SUMIF(ProductCodes,"B",$CH:$CH)-(SUMIF(ProductCodes,"C",$CH:$CH)/4))/SUMIF(ProductCodes,"S",$CH:$CH)),
IF($A38="C",(SUMIF(#REF!,DL$17,#REF!)*$CG38)/4,
IF($A38="B",(SUMIF(#REF!,DL$17,#REF!)*$CG38),
IF($A38="R",(SUMIF(#REF!,DL$17,#REF!)*$CG38),
IF($A38="H",(SUMIF(#REF!,DL$17,#REF!)*$CG38),"")))))),
IF($A38="C",(SUMIF(#REF!,DL$17,#REF!)*$CG38)*(SUMIF(ProductCodes,"C",$CI:$CI)/(SUMIF(ProductCodes,"C",$CH:$CH))),
IF($A38="S",(SUMIF(#REF!,DL$17,#REF!)*$CG38)*(SUMIF(ProductCodes,"S",$CI:$CI)/(SUMIF(ProductCodes,"S",$CH:$CH))),
IF($A38="B",(SUMIF(#REF!,DL$17,#REF!)*$CG38)*(SUMIF(ProductCodes,"B",$CI:$CI)/(SUMIF(ProductCodes,"B",$CH:$CH))),
IF($A38="R",(SUMIF(#REF!,DL$17,#REF!)*$CG38)*(SUMIF(ProductCodes,"R",$CI:$CI)/(SUMIF(ProductCodes,"R",$CH:$CH))),
IF($A38="H",(SUMIF(#REF!,DL$17,#REF!)*$CG38)*(SUMIF(ProductCodes,"H",$CI:$CI)/(SUMIF(ProductCodes,"H",$CH:$CH))),""))))))),"Error")</f>
        <v>Error</v>
      </c>
      <c r="DM38" s="84" t="str">
        <f>IFERROR(
IF(SUMIF(ProductCodes,"C",$CI:$CI)=$CI$775,(IF($A38="C",(SUMIF(#REF!,DM$17,#REF!)*$CG38)*((SUMIF(ProductCodes,"C",$CI:$CI)-SUMIF(ProductCodes,"H",$CH:$CH)-SUMIF(ProductCodes,"R",$CH:$CH)-SUMIF(ProductCodes,"B",$CH:$CH)-(SUMIF(ProductCodes,"S",$CH:$CH)/2))/SUMIF(ProductCodes,"C",$CH:$CH)),IF($A38="S",(SUMIF(#REF!,DM$17,#REF!)*$CG38)/2,
IF($A38="B",(SUMIF(#REF!,DM$17,#REF!)*$CG38),
IF($A38="R",(SUMIF(#REF!,DM$17,#REF!)*$CG38),
IF($A38="H",(SUMIF(#REF!,DM$17,#REF!)*$CG38),"")))))),
IF(SUMIF(ProductCodes,"S",$CI:$CI)=$CI$775,(IF($A38="S",(SUMIF(#REF!,DM$17,#REF!)*$CG38)*((SUMIF(ProductCodes,"S",$CI:$CI)-SUMIF(ProductCodes,"H",$CH:$CH)-SUMIF(ProductCodes,"R",$CH:$CH)-SUMIF(ProductCodes,"B",$CH:$CH)-(SUMIF(ProductCodes,"C",$CH:$CH)/4))/SUMIF(ProductCodes,"S",$CH:$CH)),
IF($A38="C",(SUMIF(#REF!,DM$17,#REF!)*$CG38)/4,
IF($A38="B",(SUMIF(#REF!,DM$17,#REF!)*$CG38),
IF($A38="R",(SUMIF(#REF!,DM$17,#REF!)*$CG38),
IF($A38="H",(SUMIF(#REF!,DM$17,#REF!)*$CG38),"")))))),
IF($A38="C",(SUMIF(#REF!,DM$17,#REF!)*$CG38)*(SUMIF(ProductCodes,"C",$CI:$CI)/(SUMIF(ProductCodes,"C",$CH:$CH))),
IF($A38="S",(SUMIF(#REF!,DM$17,#REF!)*$CG38)*(SUMIF(ProductCodes,"S",$CI:$CI)/(SUMIF(ProductCodes,"S",$CH:$CH))),
IF($A38="B",(SUMIF(#REF!,DM$17,#REF!)*$CG38)*(SUMIF(ProductCodes,"B",$CI:$CI)/(SUMIF(ProductCodes,"B",$CH:$CH))),
IF($A38="R",(SUMIF(#REF!,DM$17,#REF!)*$CG38)*(SUMIF(ProductCodes,"R",$CI:$CI)/(SUMIF(ProductCodes,"R",$CH:$CH))),
IF($A38="H",(SUMIF(#REF!,DM$17,#REF!)*$CG38)*(SUMIF(ProductCodes,"H",$CI:$CI)/(SUMIF(ProductCodes,"H",$CH:$CH))),""))))))),"Error")</f>
        <v>Error</v>
      </c>
      <c r="DN38" s="84" t="str">
        <f>IFERROR(
IF(SUMIF(ProductCodes,"C",$CI:$CI)=$CI$775,(IF($A38="C",(SUMIF(#REF!,DN$17,#REF!)*$CG38)*((SUMIF(ProductCodes,"C",$CI:$CI)-SUMIF(ProductCodes,"H",$CH:$CH)-SUMIF(ProductCodes,"R",$CH:$CH)-SUMIF(ProductCodes,"B",$CH:$CH)-(SUMIF(ProductCodes,"S",$CH:$CH)/2))/SUMIF(ProductCodes,"C",$CH:$CH)),IF($A38="S",(SUMIF(#REF!,DN$17,#REF!)*$CG38)/2,
IF($A38="B",(SUMIF(#REF!,DN$17,#REF!)*$CG38),
IF($A38="R",(SUMIF(#REF!,DN$17,#REF!)*$CG38),
IF($A38="H",(SUMIF(#REF!,DN$17,#REF!)*$CG38),"")))))),
IF(SUMIF(ProductCodes,"S",$CI:$CI)=$CI$775,(IF($A38="S",(SUMIF(#REF!,DN$17,#REF!)*$CG38)*((SUMIF(ProductCodes,"S",$CI:$CI)-SUMIF(ProductCodes,"H",$CH:$CH)-SUMIF(ProductCodes,"R",$CH:$CH)-SUMIF(ProductCodes,"B",$CH:$CH)-(SUMIF(ProductCodes,"C",$CH:$CH)/4))/SUMIF(ProductCodes,"S",$CH:$CH)),
IF($A38="C",(SUMIF(#REF!,DN$17,#REF!)*$CG38)/4,
IF($A38="B",(SUMIF(#REF!,DN$17,#REF!)*$CG38),
IF($A38="R",(SUMIF(#REF!,DN$17,#REF!)*$CG38),
IF($A38="H",(SUMIF(#REF!,DN$17,#REF!)*$CG38),"")))))),
IF($A38="C",(SUMIF(#REF!,DN$17,#REF!)*$CG38)*(SUMIF(ProductCodes,"C",$CI:$CI)/(SUMIF(ProductCodes,"C",$CH:$CH))),
IF($A38="S",(SUMIF(#REF!,DN$17,#REF!)*$CG38)*(SUMIF(ProductCodes,"S",$CI:$CI)/(SUMIF(ProductCodes,"S",$CH:$CH))),
IF($A38="B",(SUMIF(#REF!,DN$17,#REF!)*$CG38)*(SUMIF(ProductCodes,"B",$CI:$CI)/(SUMIF(ProductCodes,"B",$CH:$CH))),
IF($A38="R",(SUMIF(#REF!,DN$17,#REF!)*$CG38)*(SUMIF(ProductCodes,"R",$CI:$CI)/(SUMIF(ProductCodes,"R",$CH:$CH))),
IF($A38="H",(SUMIF(#REF!,DN$17,#REF!)*$CG38)*(SUMIF(ProductCodes,"H",$CI:$CI)/(SUMIF(ProductCodes,"H",$CH:$CH))),""))))))),"Error")</f>
        <v>Error</v>
      </c>
      <c r="DO38" s="84" t="str">
        <f>IFERROR(
IF(SUMIF(ProductCodes,"C",$CI:$CI)=$CI$775,(IF($A38="C",(SUMIF(#REF!,DO$17,#REF!)*$CG38)*((SUMIF(ProductCodes,"C",$CI:$CI)-SUMIF(ProductCodes,"H",$CH:$CH)-SUMIF(ProductCodes,"R",$CH:$CH)-SUMIF(ProductCodes,"B",$CH:$CH)-(SUMIF(ProductCodes,"S",$CH:$CH)/2))/SUMIF(ProductCodes,"C",$CH:$CH)),IF($A38="S",(SUMIF(#REF!,DO$17,#REF!)*$CG38)/2,
IF($A38="B",(SUMIF(#REF!,DO$17,#REF!)*$CG38),
IF($A38="R",(SUMIF(#REF!,DO$17,#REF!)*$CG38),
IF($A38="H",(SUMIF(#REF!,DO$17,#REF!)*$CG38),"")))))),
IF(SUMIF(ProductCodes,"S",$CI:$CI)=$CI$775,(IF($A38="S",(SUMIF(#REF!,DO$17,#REF!)*$CG38)*((SUMIF(ProductCodes,"S",$CI:$CI)-SUMIF(ProductCodes,"H",$CH:$CH)-SUMIF(ProductCodes,"R",$CH:$CH)-SUMIF(ProductCodes,"B",$CH:$CH)-(SUMIF(ProductCodes,"C",$CH:$CH)/4))/SUMIF(ProductCodes,"S",$CH:$CH)),
IF($A38="C",(SUMIF(#REF!,DO$17,#REF!)*$CG38)/4,
IF($A38="B",(SUMIF(#REF!,DO$17,#REF!)*$CG38),
IF($A38="R",(SUMIF(#REF!,DO$17,#REF!)*$CG38),
IF($A38="H",(SUMIF(#REF!,DO$17,#REF!)*$CG38),"")))))),
IF($A38="C",(SUMIF(#REF!,DO$17,#REF!)*$CG38)*(SUMIF(ProductCodes,"C",$CI:$CI)/(SUMIF(ProductCodes,"C",$CH:$CH))),
IF($A38="S",(SUMIF(#REF!,DO$17,#REF!)*$CG38)*(SUMIF(ProductCodes,"S",$CI:$CI)/(SUMIF(ProductCodes,"S",$CH:$CH))),
IF($A38="B",(SUMIF(#REF!,DO$17,#REF!)*$CG38)*(SUMIF(ProductCodes,"B",$CI:$CI)/(SUMIF(ProductCodes,"B",$CH:$CH))),
IF($A38="R",(SUMIF(#REF!,DO$17,#REF!)*$CG38)*(SUMIF(ProductCodes,"R",$CI:$CI)/(SUMIF(ProductCodes,"R",$CH:$CH))),
IF($A38="H",(SUMIF(#REF!,DO$17,#REF!)*$CG38)*(SUMIF(ProductCodes,"H",$CI:$CI)/(SUMIF(ProductCodes,"H",$CH:$CH))),""))))))),"Error")</f>
        <v>Error</v>
      </c>
      <c r="DP38" s="85" t="str">
        <f>IFERROR(
IF(SUMIF(ProductCodes,"C",$CI:$CI)=$CI$775,(IF($A38="C",(SUMIF(#REF!,DP$17,#REF!)*$CG38)*((SUMIF(ProductCodes,"C",$CI:$CI)-SUMIF(ProductCodes,"H",$CH:$CH)-SUMIF(ProductCodes,"R",$CH:$CH)-SUMIF(ProductCodes,"B",$CH:$CH)-(SUMIF(ProductCodes,"S",$CH:$CH)/2))/SUMIF(ProductCodes,"C",$CH:$CH)),IF($A38="S",(SUMIF(#REF!,DP$17,#REF!)*$CG38)/2,
IF($A38="B",(SUMIF(#REF!,DP$17,#REF!)*$CG38),
IF($A38="R",(SUMIF(#REF!,DP$17,#REF!)*$CG38),
IF($A38="H",(SUMIF(#REF!,DP$17,#REF!)*$CG38),"")))))),
IF(SUMIF(ProductCodes,"S",$CI:$CI)=$CI$775,(IF($A38="S",(SUMIF(#REF!,DP$17,#REF!)*$CG38)*((SUMIF(ProductCodes,"S",$CI:$CI)-SUMIF(ProductCodes,"H",$CH:$CH)-SUMIF(ProductCodes,"R",$CH:$CH)-SUMIF(ProductCodes,"B",$CH:$CH)-(SUMIF(ProductCodes,"C",$CH:$CH)/4))/SUMIF(ProductCodes,"S",$CH:$CH)),
IF($A38="C",(SUMIF(#REF!,DP$17,#REF!)*$CG38)/4,
IF($A38="B",(SUMIF(#REF!,DP$17,#REF!)*$CG38),
IF($A38="R",(SUMIF(#REF!,DP$17,#REF!)*$CG38),
IF($A38="H",(SUMIF(#REF!,DP$17,#REF!)*$CG38),"")))))),
IF($A38="C",(SUMIF(#REF!,DP$17,#REF!)*$CG38)*(SUMIF(ProductCodes,"C",$CI:$CI)/(SUMIF(ProductCodes,"C",$CH:$CH))),
IF($A38="S",(SUMIF(#REF!,DP$17,#REF!)*$CG38)*(SUMIF(ProductCodes,"S",$CI:$CI)/(SUMIF(ProductCodes,"S",$CH:$CH))),
IF($A38="B",(SUMIF(#REF!,DP$17,#REF!)*$CG38)*(SUMIF(ProductCodes,"B",$CI:$CI)/(SUMIF(ProductCodes,"B",$CH:$CH))),
IF($A38="R",(SUMIF(#REF!,DP$17,#REF!)*$CG38)*(SUMIF(ProductCodes,"R",$CI:$CI)/(SUMIF(ProductCodes,"R",$CH:$CH))),
IF($A38="H",(SUMIF(#REF!,DP$17,#REF!)*$CG38)*(SUMIF(ProductCodes,"H",$CI:$CI)/(SUMIF(ProductCodes,"H",$CH:$CH))),""))))))),"Error")</f>
        <v>Error</v>
      </c>
      <c r="DQ38" s="9"/>
      <c r="DR38" s="9"/>
      <c r="DS38"/>
      <c r="DT38"/>
      <c r="DU38"/>
      <c r="DV38"/>
      <c r="DW38"/>
      <c r="DX38"/>
      <c r="DY38"/>
      <c r="DZ38"/>
      <c r="EA38"/>
      <c r="EB38"/>
      <c r="EC38"/>
      <c r="ED38"/>
    </row>
    <row r="39" spans="1:135" s="86" customFormat="1" ht="61.5" customHeight="1" thickBot="1" x14ac:dyDescent="0.4">
      <c r="A39" s="112" t="s">
        <v>43</v>
      </c>
      <c r="B39" s="107" t="s">
        <v>83</v>
      </c>
      <c r="C39" s="100" t="s">
        <v>44</v>
      </c>
      <c r="D39" s="101" t="s">
        <v>45</v>
      </c>
      <c r="E39" s="103"/>
      <c r="F39" s="103"/>
      <c r="G39" s="106"/>
      <c r="H39" s="104"/>
      <c r="I39" s="102"/>
      <c r="J39" s="103"/>
      <c r="K39" s="103"/>
      <c r="L39" s="104"/>
      <c r="M39" s="105"/>
      <c r="N39" s="103"/>
      <c r="O39" s="103"/>
      <c r="P39" s="106"/>
      <c r="Q39" s="105"/>
      <c r="R39" s="103"/>
      <c r="S39" s="103"/>
      <c r="T39" s="106"/>
      <c r="U39" s="104"/>
      <c r="V39" s="98"/>
      <c r="W39" s="96"/>
      <c r="X39" s="96"/>
      <c r="Y39" s="97"/>
      <c r="Z39" s="98"/>
      <c r="AA39" s="96"/>
      <c r="AB39" s="96"/>
      <c r="AC39" s="96"/>
      <c r="AD39" s="235">
        <v>10</v>
      </c>
      <c r="AE39" s="236"/>
      <c r="AF39" s="236"/>
      <c r="AG39" s="236"/>
      <c r="AH39" s="237"/>
      <c r="AI39" s="290">
        <v>10</v>
      </c>
      <c r="AJ39" s="236"/>
      <c r="AK39" s="236"/>
      <c r="AL39" s="237"/>
      <c r="AM39" s="290">
        <v>10</v>
      </c>
      <c r="AN39" s="236"/>
      <c r="AO39" s="236"/>
      <c r="AP39" s="236"/>
      <c r="AQ39" s="237"/>
      <c r="AR39" s="290">
        <v>10</v>
      </c>
      <c r="AS39" s="236"/>
      <c r="AT39" s="236"/>
      <c r="AU39" s="237"/>
      <c r="AV39" s="290">
        <v>10</v>
      </c>
      <c r="AW39" s="236"/>
      <c r="AX39" s="236"/>
      <c r="AY39" s="237"/>
      <c r="AZ39" s="290">
        <v>10</v>
      </c>
      <c r="BA39" s="236"/>
      <c r="BB39" s="236"/>
      <c r="BC39" s="236"/>
      <c r="BD39" s="237"/>
      <c r="BE39" s="290">
        <v>10</v>
      </c>
      <c r="BF39" s="236"/>
      <c r="BG39" s="236"/>
      <c r="BH39" s="237"/>
      <c r="BI39" s="290">
        <v>10</v>
      </c>
      <c r="BJ39" s="236"/>
      <c r="BK39" s="236"/>
      <c r="BL39" s="237"/>
      <c r="BM39" s="290">
        <v>10</v>
      </c>
      <c r="BN39" s="236"/>
      <c r="BO39" s="236"/>
      <c r="BP39" s="236"/>
      <c r="BQ39" s="237"/>
      <c r="BR39" s="290">
        <v>10</v>
      </c>
      <c r="BS39" s="236"/>
      <c r="BT39" s="236"/>
      <c r="BU39" s="237"/>
      <c r="BV39" s="290">
        <v>10</v>
      </c>
      <c r="BW39" s="236"/>
      <c r="BX39" s="236"/>
      <c r="BY39" s="237"/>
      <c r="BZ39" s="290">
        <v>10</v>
      </c>
      <c r="CA39" s="236"/>
      <c r="CB39" s="236"/>
      <c r="CC39" s="237"/>
      <c r="CD39" s="198">
        <v>1</v>
      </c>
      <c r="CE39" s="199">
        <f t="shared" si="33"/>
        <v>120</v>
      </c>
      <c r="CF39" s="199">
        <f t="shared" si="31"/>
        <v>120</v>
      </c>
      <c r="CG39" s="190">
        <v>70</v>
      </c>
      <c r="CH39" s="212">
        <f t="shared" si="32"/>
        <v>8400</v>
      </c>
      <c r="CI39" s="240"/>
      <c r="CJ39" s="183"/>
      <c r="CK39" s="183"/>
      <c r="CL39" s="183"/>
      <c r="CM39" s="92"/>
      <c r="CN39" s="92">
        <f>CM39*CE39</f>
        <v>0</v>
      </c>
      <c r="CO39" s="93"/>
      <c r="CP39" s="75"/>
      <c r="CQ39" s="75"/>
      <c r="CR39" s="83"/>
      <c r="CS39" s="84" t="str">
        <f>IFERROR(
IF(SUMIF(ProductCodes,"C",$CI:$CI)=$CI$775,(IF($A39="C",(SUMIF(#REF!,CS$17,#REF!)*$CG39)*((SUMIF(ProductCodes,"C",$CI:$CI)-SUMIF(ProductCodes,"H",$CH:$CH)-SUMIF(ProductCodes,"R",$CH:$CH)-SUMIF(ProductCodes,"B",$CH:$CH)-(SUMIF(ProductCodes,"S",$CH:$CH)/2))/SUMIF(ProductCodes,"C",$CH:$CH)),IF($A39="S",(SUMIF(#REF!,CS$17,#REF!)*$CG39)/2,
IF($A39="B",(SUMIF(#REF!,CS$17,#REF!)*$CG39),
IF($A39="R",(SUMIF(#REF!,CS$17,#REF!)*$CG39),
IF($A39="H",(SUMIF(#REF!,CS$17,#REF!)*$CG39),"")))))),
IF(SUMIF(ProductCodes,"S",$CI:$CI)=$CI$775,(IF($A39="S",(SUMIF(#REF!,CS$17,#REF!)*$CG39)*((SUMIF(ProductCodes,"S",$CI:$CI)-SUMIF(ProductCodes,"H",$CH:$CH)-SUMIF(ProductCodes,"R",$CH:$CH)-SUMIF(ProductCodes,"B",$CH:$CH)-(SUMIF(ProductCodes,"C",$CH:$CH)/4))/SUMIF(ProductCodes,"S",$CH:$CH)),
IF($A39="C",(SUMIF(#REF!,CS$17,#REF!)*$CG39)/4,
IF($A39="B",(SUMIF(#REF!,CS$17,#REF!)*$CG39),
IF($A39="R",(SUMIF(#REF!,CS$17,#REF!)*$CG39),
IF($A39="H",(SUMIF(#REF!,CS$17,#REF!)*$CG39),"")))))),
IF($A39="C",(SUMIF(#REF!,CS$17,#REF!)*$CG39)*(SUMIF(ProductCodes,"C",$CI:$CI)/(SUMIF(ProductCodes,"C",$CH:$CH))),
IF($A39="S",(SUMIF(#REF!,CS$17,#REF!)*$CG39)*(SUMIF(ProductCodes,"S",$CI:$CI)/(SUMIF(ProductCodes,"S",$CH:$CH))),
IF($A39="B",(SUMIF(#REF!,CS$17,#REF!)*$CG39)*(SUMIF(ProductCodes,"B",$CI:$CI)/(SUMIF(ProductCodes,"B",$CH:$CH))),
IF($A39="R",(SUMIF(#REF!,CS$17,#REF!)*$CG39)*(SUMIF(ProductCodes,"R",$CI:$CI)/(SUMIF(ProductCodes,"R",$CH:$CH))),
IF($A39="H",(SUMIF(#REF!,CS$17,#REF!)*$CG39)*(SUMIF(ProductCodes,"H",$CI:$CI)/(SUMIF(ProductCodes,"H",$CH:$CH))),""))))))),"Error")</f>
        <v>Error</v>
      </c>
      <c r="CT39" s="84" t="str">
        <f>IFERROR(
IF(SUMIF(ProductCodes,"C",$CI:$CI)=$CI$775,(IF($A39="C",(SUMIF(#REF!,CT$17,#REF!)*$CG39)*((SUMIF(ProductCodes,"C",$CI:$CI)-SUMIF(ProductCodes,"H",$CH:$CH)-SUMIF(ProductCodes,"R",$CH:$CH)-SUMIF(ProductCodes,"B",$CH:$CH)-(SUMIF(ProductCodes,"S",$CH:$CH)/2))/SUMIF(ProductCodes,"C",$CH:$CH)),IF($A39="S",(SUMIF(#REF!,CT$17,#REF!)*$CG39)/2,
IF($A39="B",(SUMIF(#REF!,CT$17,#REF!)*$CG39),
IF($A39="R",(SUMIF(#REF!,CT$17,#REF!)*$CG39),
IF($A39="H",(SUMIF(#REF!,CT$17,#REF!)*$CG39),"")))))),
IF(SUMIF(ProductCodes,"S",$CI:$CI)=$CI$775,(IF($A39="S",(SUMIF(#REF!,CT$17,#REF!)*$CG39)*((SUMIF(ProductCodes,"S",$CI:$CI)-SUMIF(ProductCodes,"H",$CH:$CH)-SUMIF(ProductCodes,"R",$CH:$CH)-SUMIF(ProductCodes,"B",$CH:$CH)-(SUMIF(ProductCodes,"C",$CH:$CH)/4))/SUMIF(ProductCodes,"S",$CH:$CH)),
IF($A39="C",(SUMIF(#REF!,CT$17,#REF!)*$CG39)/4,
IF($A39="B",(SUMIF(#REF!,CT$17,#REF!)*$CG39),
IF($A39="R",(SUMIF(#REF!,CT$17,#REF!)*$CG39),
IF($A39="H",(SUMIF(#REF!,CT$17,#REF!)*$CG39),"")))))),
IF($A39="C",(SUMIF(#REF!,CT$17,#REF!)*$CG39)*(SUMIF(ProductCodes,"C",$CI:$CI)/(SUMIF(ProductCodes,"C",$CH:$CH))),
IF($A39="S",(SUMIF(#REF!,CT$17,#REF!)*$CG39)*(SUMIF(ProductCodes,"S",$CI:$CI)/(SUMIF(ProductCodes,"S",$CH:$CH))),
IF($A39="B",(SUMIF(#REF!,CT$17,#REF!)*$CG39)*(SUMIF(ProductCodes,"B",$CI:$CI)/(SUMIF(ProductCodes,"B",$CH:$CH))),
IF($A39="R",(SUMIF(#REF!,CT$17,#REF!)*$CG39)*(SUMIF(ProductCodes,"R",$CI:$CI)/(SUMIF(ProductCodes,"R",$CH:$CH))),
IF($A39="H",(SUMIF(#REF!,CT$17,#REF!)*$CG39)*(SUMIF(ProductCodes,"H",$CI:$CI)/(SUMIF(ProductCodes,"H",$CH:$CH))),""))))))),"Error")</f>
        <v>Error</v>
      </c>
      <c r="CU39" s="84" t="str">
        <f>IFERROR(
IF(SUMIF(ProductCodes,"C",$CI:$CI)=$CI$775,(IF($A39="C",(SUMIF(#REF!,CU$17,#REF!)*$CG39)*((SUMIF(ProductCodes,"C",$CI:$CI)-SUMIF(ProductCodes,"H",$CH:$CH)-SUMIF(ProductCodes,"R",$CH:$CH)-SUMIF(ProductCodes,"B",$CH:$CH)-(SUMIF(ProductCodes,"S",$CH:$CH)/2))/SUMIF(ProductCodes,"C",$CH:$CH)),IF($A39="S",(SUMIF(#REF!,CU$17,#REF!)*$CG39)/2,
IF($A39="B",(SUMIF(#REF!,CU$17,#REF!)*$CG39),
IF($A39="R",(SUMIF(#REF!,CU$17,#REF!)*$CG39),
IF($A39="H",(SUMIF(#REF!,CU$17,#REF!)*$CG39),"")))))),
IF(SUMIF(ProductCodes,"S",$CI:$CI)=$CI$775,(IF($A39="S",(SUMIF(#REF!,CU$17,#REF!)*$CG39)*((SUMIF(ProductCodes,"S",$CI:$CI)-SUMIF(ProductCodes,"H",$CH:$CH)-SUMIF(ProductCodes,"R",$CH:$CH)-SUMIF(ProductCodes,"B",$CH:$CH)-(SUMIF(ProductCodes,"C",$CH:$CH)/4))/SUMIF(ProductCodes,"S",$CH:$CH)),
IF($A39="C",(SUMIF(#REF!,CU$17,#REF!)*$CG39)/4,
IF($A39="B",(SUMIF(#REF!,CU$17,#REF!)*$CG39),
IF($A39="R",(SUMIF(#REF!,CU$17,#REF!)*$CG39),
IF($A39="H",(SUMIF(#REF!,CU$17,#REF!)*$CG39),"")))))),
IF($A39="C",(SUMIF(#REF!,CU$17,#REF!)*$CG39)*(SUMIF(ProductCodes,"C",$CI:$CI)/(SUMIF(ProductCodes,"C",$CH:$CH))),
IF($A39="S",(SUMIF(#REF!,CU$17,#REF!)*$CG39)*(SUMIF(ProductCodes,"S",$CI:$CI)/(SUMIF(ProductCodes,"S",$CH:$CH))),
IF($A39="B",(SUMIF(#REF!,CU$17,#REF!)*$CG39)*(SUMIF(ProductCodes,"B",$CI:$CI)/(SUMIF(ProductCodes,"B",$CH:$CH))),
IF($A39="R",(SUMIF(#REF!,CU$17,#REF!)*$CG39)*(SUMIF(ProductCodes,"R",$CI:$CI)/(SUMIF(ProductCodes,"R",$CH:$CH))),
IF($A39="H",(SUMIF(#REF!,CU$17,#REF!)*$CG39)*(SUMIF(ProductCodes,"H",$CI:$CI)/(SUMIF(ProductCodes,"H",$CH:$CH))),""))))))),"Error")</f>
        <v>Error</v>
      </c>
      <c r="CV39" s="84" t="str">
        <f>IFERROR(
IF(SUMIF(ProductCodes,"C",$CI:$CI)=$CI$775,(IF($A39="C",(SUMIF(#REF!,CV$17,#REF!)*$CG39)*((SUMIF(ProductCodes,"C",$CI:$CI)-SUMIF(ProductCodes,"H",$CH:$CH)-SUMIF(ProductCodes,"R",$CH:$CH)-SUMIF(ProductCodes,"B",$CH:$CH)-(SUMIF(ProductCodes,"S",$CH:$CH)/2))/SUMIF(ProductCodes,"C",$CH:$CH)),IF($A39="S",(SUMIF(#REF!,CV$17,#REF!)*$CG39)/2,
IF($A39="B",(SUMIF(#REF!,CV$17,#REF!)*$CG39),
IF($A39="R",(SUMIF(#REF!,CV$17,#REF!)*$CG39),
IF($A39="H",(SUMIF(#REF!,CV$17,#REF!)*$CG39),"")))))),
IF(SUMIF(ProductCodes,"S",$CI:$CI)=$CI$775,(IF($A39="S",(SUMIF(#REF!,CV$17,#REF!)*$CG39)*((SUMIF(ProductCodes,"S",$CI:$CI)-SUMIF(ProductCodes,"H",$CH:$CH)-SUMIF(ProductCodes,"R",$CH:$CH)-SUMIF(ProductCodes,"B",$CH:$CH)-(SUMIF(ProductCodes,"C",$CH:$CH)/4))/SUMIF(ProductCodes,"S",$CH:$CH)),
IF($A39="C",(SUMIF(#REF!,CV$17,#REF!)*$CG39)/4,
IF($A39="B",(SUMIF(#REF!,CV$17,#REF!)*$CG39),
IF($A39="R",(SUMIF(#REF!,CV$17,#REF!)*$CG39),
IF($A39="H",(SUMIF(#REF!,CV$17,#REF!)*$CG39),"")))))),
IF($A39="C",(SUMIF(#REF!,CV$17,#REF!)*$CG39)*(SUMIF(ProductCodes,"C",$CI:$CI)/(SUMIF(ProductCodes,"C",$CH:$CH))),
IF($A39="S",(SUMIF(#REF!,CV$17,#REF!)*$CG39)*(SUMIF(ProductCodes,"S",$CI:$CI)/(SUMIF(ProductCodes,"S",$CH:$CH))),
IF($A39="B",(SUMIF(#REF!,CV$17,#REF!)*$CG39)*(SUMIF(ProductCodes,"B",$CI:$CI)/(SUMIF(ProductCodes,"B",$CH:$CH))),
IF($A39="R",(SUMIF(#REF!,CV$17,#REF!)*$CG39)*(SUMIF(ProductCodes,"R",$CI:$CI)/(SUMIF(ProductCodes,"R",$CH:$CH))),
IF($A39="H",(SUMIF(#REF!,CV$17,#REF!)*$CG39)*(SUMIF(ProductCodes,"H",$CI:$CI)/(SUMIF(ProductCodes,"H",$CH:$CH))),""))))))),"Error")</f>
        <v>Error</v>
      </c>
      <c r="CW39" s="84" t="str">
        <f>IFERROR(
IF(SUMIF(ProductCodes,"C",$CI:$CI)=$CI$775,(IF($A39="C",(SUMIF(#REF!,CW$17,#REF!)*$CG39)*((SUMIF(ProductCodes,"C",$CI:$CI)-SUMIF(ProductCodes,"H",$CH:$CH)-SUMIF(ProductCodes,"R",$CH:$CH)-SUMIF(ProductCodes,"B",$CH:$CH)-(SUMIF(ProductCodes,"S",$CH:$CH)/2))/SUMIF(ProductCodes,"C",$CH:$CH)),IF($A39="S",(SUMIF(#REF!,CW$17,#REF!)*$CG39)/2,
IF($A39="B",(SUMIF(#REF!,CW$17,#REF!)*$CG39),
IF($A39="R",(SUMIF(#REF!,CW$17,#REF!)*$CG39),
IF($A39="H",(SUMIF(#REF!,CW$17,#REF!)*$CG39),"")))))),
IF(SUMIF(ProductCodes,"S",$CI:$CI)=$CI$775,(IF($A39="S",(SUMIF(#REF!,CW$17,#REF!)*$CG39)*((SUMIF(ProductCodes,"S",$CI:$CI)-SUMIF(ProductCodes,"H",$CH:$CH)-SUMIF(ProductCodes,"R",$CH:$CH)-SUMIF(ProductCodes,"B",$CH:$CH)-(SUMIF(ProductCodes,"C",$CH:$CH)/4))/SUMIF(ProductCodes,"S",$CH:$CH)),
IF($A39="C",(SUMIF(#REF!,CW$17,#REF!)*$CG39)/4,
IF($A39="B",(SUMIF(#REF!,CW$17,#REF!)*$CG39),
IF($A39="R",(SUMIF(#REF!,CW$17,#REF!)*$CG39),
IF($A39="H",(SUMIF(#REF!,CW$17,#REF!)*$CG39),"")))))),
IF($A39="C",(SUMIF(#REF!,CW$17,#REF!)*$CG39)*(SUMIF(ProductCodes,"C",$CI:$CI)/(SUMIF(ProductCodes,"C",$CH:$CH))),
IF($A39="S",(SUMIF(#REF!,CW$17,#REF!)*$CG39)*(SUMIF(ProductCodes,"S",$CI:$CI)/(SUMIF(ProductCodes,"S",$CH:$CH))),
IF($A39="B",(SUMIF(#REF!,CW$17,#REF!)*$CG39)*(SUMIF(ProductCodes,"B",$CI:$CI)/(SUMIF(ProductCodes,"B",$CH:$CH))),
IF($A39="R",(SUMIF(#REF!,CW$17,#REF!)*$CG39)*(SUMIF(ProductCodes,"R",$CI:$CI)/(SUMIF(ProductCodes,"R",$CH:$CH))),
IF($A39="H",(SUMIF(#REF!,CW$17,#REF!)*$CG39)*(SUMIF(ProductCodes,"H",$CI:$CI)/(SUMIF(ProductCodes,"H",$CH:$CH))),""))))))),"Error")</f>
        <v>Error</v>
      </c>
      <c r="CX39" s="84" t="str">
        <f>IFERROR(
IF(SUMIF(ProductCodes,"C",$CI:$CI)=$CI$775,(IF($A39="C",(SUMIF(#REF!,CX$17,#REF!)*$CG39)*((SUMIF(ProductCodes,"C",$CI:$CI)-SUMIF(ProductCodes,"H",$CH:$CH)-SUMIF(ProductCodes,"R",$CH:$CH)-SUMIF(ProductCodes,"B",$CH:$CH)-(SUMIF(ProductCodes,"S",$CH:$CH)/2))/SUMIF(ProductCodes,"C",$CH:$CH)),IF($A39="S",(SUMIF(#REF!,CX$17,#REF!)*$CG39)/2,
IF($A39="B",(SUMIF(#REF!,CX$17,#REF!)*$CG39),
IF($A39="R",(SUMIF(#REF!,CX$17,#REF!)*$CG39),
IF($A39="H",(SUMIF(#REF!,CX$17,#REF!)*$CG39),"")))))),
IF(SUMIF(ProductCodes,"S",$CI:$CI)=$CI$775,(IF($A39="S",(SUMIF(#REF!,CX$17,#REF!)*$CG39)*((SUMIF(ProductCodes,"S",$CI:$CI)-SUMIF(ProductCodes,"H",$CH:$CH)-SUMIF(ProductCodes,"R",$CH:$CH)-SUMIF(ProductCodes,"B",$CH:$CH)-(SUMIF(ProductCodes,"C",$CH:$CH)/4))/SUMIF(ProductCodes,"S",$CH:$CH)),
IF($A39="C",(SUMIF(#REF!,CX$17,#REF!)*$CG39)/4,
IF($A39="B",(SUMIF(#REF!,CX$17,#REF!)*$CG39),
IF($A39="R",(SUMIF(#REF!,CX$17,#REF!)*$CG39),
IF($A39="H",(SUMIF(#REF!,CX$17,#REF!)*$CG39),"")))))),
IF($A39="C",(SUMIF(#REF!,CX$17,#REF!)*$CG39)*(SUMIF(ProductCodes,"C",$CI:$CI)/(SUMIF(ProductCodes,"C",$CH:$CH))),
IF($A39="S",(SUMIF(#REF!,CX$17,#REF!)*$CG39)*(SUMIF(ProductCodes,"S",$CI:$CI)/(SUMIF(ProductCodes,"S",$CH:$CH))),
IF($A39="B",(SUMIF(#REF!,CX$17,#REF!)*$CG39)*(SUMIF(ProductCodes,"B",$CI:$CI)/(SUMIF(ProductCodes,"B",$CH:$CH))),
IF($A39="R",(SUMIF(#REF!,CX$17,#REF!)*$CG39)*(SUMIF(ProductCodes,"R",$CI:$CI)/(SUMIF(ProductCodes,"R",$CH:$CH))),
IF($A39="H",(SUMIF(#REF!,CX$17,#REF!)*$CG39)*(SUMIF(ProductCodes,"H",$CI:$CI)/(SUMIF(ProductCodes,"H",$CH:$CH))),""))))))),"Error")</f>
        <v>Error</v>
      </c>
      <c r="CY39" s="84" t="str">
        <f>IFERROR(
IF(SUMIF(ProductCodes,"C",$CI:$CI)=$CI$775,(IF($A39="C",(SUMIF(#REF!,CY$17,#REF!)*$CG39)*((SUMIF(ProductCodes,"C",$CI:$CI)-SUMIF(ProductCodes,"H",$CH:$CH)-SUMIF(ProductCodes,"R",$CH:$CH)-SUMIF(ProductCodes,"B",$CH:$CH)-(SUMIF(ProductCodes,"S",$CH:$CH)/2))/SUMIF(ProductCodes,"C",$CH:$CH)),IF($A39="S",(SUMIF(#REF!,CY$17,#REF!)*$CG39)/2,
IF($A39="B",(SUMIF(#REF!,CY$17,#REF!)*$CG39),
IF($A39="R",(SUMIF(#REF!,CY$17,#REF!)*$CG39),
IF($A39="H",(SUMIF(#REF!,CY$17,#REF!)*$CG39),"")))))),
IF(SUMIF(ProductCodes,"S",$CI:$CI)=$CI$775,(IF($A39="S",(SUMIF(#REF!,CY$17,#REF!)*$CG39)*((SUMIF(ProductCodes,"S",$CI:$CI)-SUMIF(ProductCodes,"H",$CH:$CH)-SUMIF(ProductCodes,"R",$CH:$CH)-SUMIF(ProductCodes,"B",$CH:$CH)-(SUMIF(ProductCodes,"C",$CH:$CH)/4))/SUMIF(ProductCodes,"S",$CH:$CH)),
IF($A39="C",(SUMIF(#REF!,CY$17,#REF!)*$CG39)/4,
IF($A39="B",(SUMIF(#REF!,CY$17,#REF!)*$CG39),
IF($A39="R",(SUMIF(#REF!,CY$17,#REF!)*$CG39),
IF($A39="H",(SUMIF(#REF!,CY$17,#REF!)*$CG39),"")))))),
IF($A39="C",(SUMIF(#REF!,CY$17,#REF!)*$CG39)*(SUMIF(ProductCodes,"C",$CI:$CI)/(SUMIF(ProductCodes,"C",$CH:$CH))),
IF($A39="S",(SUMIF(#REF!,CY$17,#REF!)*$CG39)*(SUMIF(ProductCodes,"S",$CI:$CI)/(SUMIF(ProductCodes,"S",$CH:$CH))),
IF($A39="B",(SUMIF(#REF!,CY$17,#REF!)*$CG39)*(SUMIF(ProductCodes,"B",$CI:$CI)/(SUMIF(ProductCodes,"B",$CH:$CH))),
IF($A39="R",(SUMIF(#REF!,CY$17,#REF!)*$CG39)*(SUMIF(ProductCodes,"R",$CI:$CI)/(SUMIF(ProductCodes,"R",$CH:$CH))),
IF($A39="H",(SUMIF(#REF!,CY$17,#REF!)*$CG39)*(SUMIF(ProductCodes,"H",$CI:$CI)/(SUMIF(ProductCodes,"H",$CH:$CH))),""))))))),"Error")</f>
        <v>Error</v>
      </c>
      <c r="CZ39" s="84" t="str">
        <f>IFERROR(
IF(SUMIF(ProductCodes,"C",$CI:$CI)=$CI$775,(IF($A39="C",(SUMIF(#REF!,CZ$17,#REF!)*$CG39)*((SUMIF(ProductCodes,"C",$CI:$CI)-SUMIF(ProductCodes,"H",$CH:$CH)-SUMIF(ProductCodes,"R",$CH:$CH)-SUMIF(ProductCodes,"B",$CH:$CH)-(SUMIF(ProductCodes,"S",$CH:$CH)/2))/SUMIF(ProductCodes,"C",$CH:$CH)),IF($A39="S",(SUMIF(#REF!,CZ$17,#REF!)*$CG39)/2,
IF($A39="B",(SUMIF(#REF!,CZ$17,#REF!)*$CG39),
IF($A39="R",(SUMIF(#REF!,CZ$17,#REF!)*$CG39),
IF($A39="H",(SUMIF(#REF!,CZ$17,#REF!)*$CG39),"")))))),
IF(SUMIF(ProductCodes,"S",$CI:$CI)=$CI$775,(IF($A39="S",(SUMIF(#REF!,CZ$17,#REF!)*$CG39)*((SUMIF(ProductCodes,"S",$CI:$CI)-SUMIF(ProductCodes,"H",$CH:$CH)-SUMIF(ProductCodes,"R",$CH:$CH)-SUMIF(ProductCodes,"B",$CH:$CH)-(SUMIF(ProductCodes,"C",$CH:$CH)/4))/SUMIF(ProductCodes,"S",$CH:$CH)),
IF($A39="C",(SUMIF(#REF!,CZ$17,#REF!)*$CG39)/4,
IF($A39="B",(SUMIF(#REF!,CZ$17,#REF!)*$CG39),
IF($A39="R",(SUMIF(#REF!,CZ$17,#REF!)*$CG39),
IF($A39="H",(SUMIF(#REF!,CZ$17,#REF!)*$CG39),"")))))),
IF($A39="C",(SUMIF(#REF!,CZ$17,#REF!)*$CG39)*(SUMIF(ProductCodes,"C",$CI:$CI)/(SUMIF(ProductCodes,"C",$CH:$CH))),
IF($A39="S",(SUMIF(#REF!,CZ$17,#REF!)*$CG39)*(SUMIF(ProductCodes,"S",$CI:$CI)/(SUMIF(ProductCodes,"S",$CH:$CH))),
IF($A39="B",(SUMIF(#REF!,CZ$17,#REF!)*$CG39)*(SUMIF(ProductCodes,"B",$CI:$CI)/(SUMIF(ProductCodes,"B",$CH:$CH))),
IF($A39="R",(SUMIF(#REF!,CZ$17,#REF!)*$CG39)*(SUMIF(ProductCodes,"R",$CI:$CI)/(SUMIF(ProductCodes,"R",$CH:$CH))),
IF($A39="H",(SUMIF(#REF!,CZ$17,#REF!)*$CG39)*(SUMIF(ProductCodes,"H",$CI:$CI)/(SUMIF(ProductCodes,"H",$CH:$CH))),""))))))),"Error")</f>
        <v>Error</v>
      </c>
      <c r="DA39" s="84" t="str">
        <f>IFERROR(
IF(SUMIF(ProductCodes,"C",$CI:$CI)=$CI$775,(IF($A39="C",(SUMIF(#REF!,DA$17,#REF!)*$CG39)*((SUMIF(ProductCodes,"C",$CI:$CI)-SUMIF(ProductCodes,"H",$CH:$CH)-SUMIF(ProductCodes,"R",$CH:$CH)-SUMIF(ProductCodes,"B",$CH:$CH)-(SUMIF(ProductCodes,"S",$CH:$CH)/2))/SUMIF(ProductCodes,"C",$CH:$CH)),IF($A39="S",(SUMIF(#REF!,DA$17,#REF!)*$CG39)/2,
IF($A39="B",(SUMIF(#REF!,DA$17,#REF!)*$CG39),
IF($A39="R",(SUMIF(#REF!,DA$17,#REF!)*$CG39),
IF($A39="H",(SUMIF(#REF!,DA$17,#REF!)*$CG39),"")))))),
IF(SUMIF(ProductCodes,"S",$CI:$CI)=$CI$775,(IF($A39="S",(SUMIF(#REF!,DA$17,#REF!)*$CG39)*((SUMIF(ProductCodes,"S",$CI:$CI)-SUMIF(ProductCodes,"H",$CH:$CH)-SUMIF(ProductCodes,"R",$CH:$CH)-SUMIF(ProductCodes,"B",$CH:$CH)-(SUMIF(ProductCodes,"C",$CH:$CH)/4))/SUMIF(ProductCodes,"S",$CH:$CH)),
IF($A39="C",(SUMIF(#REF!,DA$17,#REF!)*$CG39)/4,
IF($A39="B",(SUMIF(#REF!,DA$17,#REF!)*$CG39),
IF($A39="R",(SUMIF(#REF!,DA$17,#REF!)*$CG39),
IF($A39="H",(SUMIF(#REF!,DA$17,#REF!)*$CG39),"")))))),
IF($A39="C",(SUMIF(#REF!,DA$17,#REF!)*$CG39)*(SUMIF(ProductCodes,"C",$CI:$CI)/(SUMIF(ProductCodes,"C",$CH:$CH))),
IF($A39="S",(SUMIF(#REF!,DA$17,#REF!)*$CG39)*(SUMIF(ProductCodes,"S",$CI:$CI)/(SUMIF(ProductCodes,"S",$CH:$CH))),
IF($A39="B",(SUMIF(#REF!,DA$17,#REF!)*$CG39)*(SUMIF(ProductCodes,"B",$CI:$CI)/(SUMIF(ProductCodes,"B",$CH:$CH))),
IF($A39="R",(SUMIF(#REF!,DA$17,#REF!)*$CG39)*(SUMIF(ProductCodes,"R",$CI:$CI)/(SUMIF(ProductCodes,"R",$CH:$CH))),
IF($A39="H",(SUMIF(#REF!,DA$17,#REF!)*$CG39)*(SUMIF(ProductCodes,"H",$CI:$CI)/(SUMIF(ProductCodes,"H",$CH:$CH))),""))))))),"Error")</f>
        <v>Error</v>
      </c>
      <c r="DB39" s="84" t="str">
        <f>IFERROR(
IF(SUMIF(ProductCodes,"C",$CI:$CI)=$CI$775,(IF($A39="C",(SUMIF(#REF!,DB$17,#REF!)*$CG39)*((SUMIF(ProductCodes,"C",$CI:$CI)-SUMIF(ProductCodes,"H",$CH:$CH)-SUMIF(ProductCodes,"R",$CH:$CH)-SUMIF(ProductCodes,"B",$CH:$CH)-(SUMIF(ProductCodes,"S",$CH:$CH)/2))/SUMIF(ProductCodes,"C",$CH:$CH)),IF($A39="S",(SUMIF(#REF!,DB$17,#REF!)*$CG39)/2,
IF($A39="B",(SUMIF(#REF!,DB$17,#REF!)*$CG39),
IF($A39="R",(SUMIF(#REF!,DB$17,#REF!)*$CG39),
IF($A39="H",(SUMIF(#REF!,DB$17,#REF!)*$CG39),"")))))),
IF(SUMIF(ProductCodes,"S",$CI:$CI)=$CI$775,(IF($A39="S",(SUMIF(#REF!,DB$17,#REF!)*$CG39)*((SUMIF(ProductCodes,"S",$CI:$CI)-SUMIF(ProductCodes,"H",$CH:$CH)-SUMIF(ProductCodes,"R",$CH:$CH)-SUMIF(ProductCodes,"B",$CH:$CH)-(SUMIF(ProductCodes,"C",$CH:$CH)/4))/SUMIF(ProductCodes,"S",$CH:$CH)),
IF($A39="C",(SUMIF(#REF!,DB$17,#REF!)*$CG39)/4,
IF($A39="B",(SUMIF(#REF!,DB$17,#REF!)*$CG39),
IF($A39="R",(SUMIF(#REF!,DB$17,#REF!)*$CG39),
IF($A39="H",(SUMIF(#REF!,DB$17,#REF!)*$CG39),"")))))),
IF($A39="C",(SUMIF(#REF!,DB$17,#REF!)*$CG39)*(SUMIF(ProductCodes,"C",$CI:$CI)/(SUMIF(ProductCodes,"C",$CH:$CH))),
IF($A39="S",(SUMIF(#REF!,DB$17,#REF!)*$CG39)*(SUMIF(ProductCodes,"S",$CI:$CI)/(SUMIF(ProductCodes,"S",$CH:$CH))),
IF($A39="B",(SUMIF(#REF!,DB$17,#REF!)*$CG39)*(SUMIF(ProductCodes,"B",$CI:$CI)/(SUMIF(ProductCodes,"B",$CH:$CH))),
IF($A39="R",(SUMIF(#REF!,DB$17,#REF!)*$CG39)*(SUMIF(ProductCodes,"R",$CI:$CI)/(SUMIF(ProductCodes,"R",$CH:$CH))),
IF($A39="H",(SUMIF(#REF!,DB$17,#REF!)*$CG39)*(SUMIF(ProductCodes,"H",$CI:$CI)/(SUMIF(ProductCodes,"H",$CH:$CH))),""))))))),"Error")</f>
        <v>Error</v>
      </c>
      <c r="DC39" s="84" t="str">
        <f>IFERROR(
IF(SUMIF(ProductCodes,"C",$CI:$CI)=$CI$775,(IF($A39="C",(SUMIF(#REF!,DC$17,#REF!)*$CG39)*((SUMIF(ProductCodes,"C",$CI:$CI)-SUMIF(ProductCodes,"H",$CH:$CH)-SUMIF(ProductCodes,"R",$CH:$CH)-SUMIF(ProductCodes,"B",$CH:$CH)-(SUMIF(ProductCodes,"S",$CH:$CH)/2))/SUMIF(ProductCodes,"C",$CH:$CH)),IF($A39="S",(SUMIF(#REF!,DC$17,#REF!)*$CG39)/2,
IF($A39="B",(SUMIF(#REF!,DC$17,#REF!)*$CG39),
IF($A39="R",(SUMIF(#REF!,DC$17,#REF!)*$CG39),
IF($A39="H",(SUMIF(#REF!,DC$17,#REF!)*$CG39),"")))))),
IF(SUMIF(ProductCodes,"S",$CI:$CI)=$CI$775,(IF($A39="S",(SUMIF(#REF!,DC$17,#REF!)*$CG39)*((SUMIF(ProductCodes,"S",$CI:$CI)-SUMIF(ProductCodes,"H",$CH:$CH)-SUMIF(ProductCodes,"R",$CH:$CH)-SUMIF(ProductCodes,"B",$CH:$CH)-(SUMIF(ProductCodes,"C",$CH:$CH)/4))/SUMIF(ProductCodes,"S",$CH:$CH)),
IF($A39="C",(SUMIF(#REF!,DC$17,#REF!)*$CG39)/4,
IF($A39="B",(SUMIF(#REF!,DC$17,#REF!)*$CG39),
IF($A39="R",(SUMIF(#REF!,DC$17,#REF!)*$CG39),
IF($A39="H",(SUMIF(#REF!,DC$17,#REF!)*$CG39),"")))))),
IF($A39="C",(SUMIF(#REF!,DC$17,#REF!)*$CG39)*(SUMIF(ProductCodes,"C",$CI:$CI)/(SUMIF(ProductCodes,"C",$CH:$CH))),
IF($A39="S",(SUMIF(#REF!,DC$17,#REF!)*$CG39)*(SUMIF(ProductCodes,"S",$CI:$CI)/(SUMIF(ProductCodes,"S",$CH:$CH))),
IF($A39="B",(SUMIF(#REF!,DC$17,#REF!)*$CG39)*(SUMIF(ProductCodes,"B",$CI:$CI)/(SUMIF(ProductCodes,"B",$CH:$CH))),
IF($A39="R",(SUMIF(#REF!,DC$17,#REF!)*$CG39)*(SUMIF(ProductCodes,"R",$CI:$CI)/(SUMIF(ProductCodes,"R",$CH:$CH))),
IF($A39="H",(SUMIF(#REF!,DC$17,#REF!)*$CG39)*(SUMIF(ProductCodes,"H",$CI:$CI)/(SUMIF(ProductCodes,"H",$CH:$CH))),""))))))),"Error")</f>
        <v>Error</v>
      </c>
      <c r="DD39" s="84" t="str">
        <f>IFERROR(
IF(SUMIF(ProductCodes,"C",$CI:$CI)=$CI$775,(IF($A39="C",(SUMIF(#REF!,DD$17,#REF!)*$CG39)*((SUMIF(ProductCodes,"C",$CI:$CI)-SUMIF(ProductCodes,"H",$CH:$CH)-SUMIF(ProductCodes,"R",$CH:$CH)-SUMIF(ProductCodes,"B",$CH:$CH)-(SUMIF(ProductCodes,"S",$CH:$CH)/2))/SUMIF(ProductCodes,"C",$CH:$CH)),IF($A39="S",(SUMIF(#REF!,DD$17,#REF!)*$CG39)/2,
IF($A39="B",(SUMIF(#REF!,DD$17,#REF!)*$CG39),
IF($A39="R",(SUMIF(#REF!,DD$17,#REF!)*$CG39),
IF($A39="H",(SUMIF(#REF!,DD$17,#REF!)*$CG39),"")))))),
IF(SUMIF(ProductCodes,"S",$CI:$CI)=$CI$775,(IF($A39="S",(SUMIF(#REF!,DD$17,#REF!)*$CG39)*((SUMIF(ProductCodes,"S",$CI:$CI)-SUMIF(ProductCodes,"H",$CH:$CH)-SUMIF(ProductCodes,"R",$CH:$CH)-SUMIF(ProductCodes,"B",$CH:$CH)-(SUMIF(ProductCodes,"C",$CH:$CH)/4))/SUMIF(ProductCodes,"S",$CH:$CH)),
IF($A39="C",(SUMIF(#REF!,DD$17,#REF!)*$CG39)/4,
IF($A39="B",(SUMIF(#REF!,DD$17,#REF!)*$CG39),
IF($A39="R",(SUMIF(#REF!,DD$17,#REF!)*$CG39),
IF($A39="H",(SUMIF(#REF!,DD$17,#REF!)*$CG39),"")))))),
IF($A39="C",(SUMIF(#REF!,DD$17,#REF!)*$CG39)*(SUMIF(ProductCodes,"C",$CI:$CI)/(SUMIF(ProductCodes,"C",$CH:$CH))),
IF($A39="S",(SUMIF(#REF!,DD$17,#REF!)*$CG39)*(SUMIF(ProductCodes,"S",$CI:$CI)/(SUMIF(ProductCodes,"S",$CH:$CH))),
IF($A39="B",(SUMIF(#REF!,DD$17,#REF!)*$CG39)*(SUMIF(ProductCodes,"B",$CI:$CI)/(SUMIF(ProductCodes,"B",$CH:$CH))),
IF($A39="R",(SUMIF(#REF!,DD$17,#REF!)*$CG39)*(SUMIF(ProductCodes,"R",$CI:$CI)/(SUMIF(ProductCodes,"R",$CH:$CH))),
IF($A39="H",(SUMIF(#REF!,DD$17,#REF!)*$CG39)*(SUMIF(ProductCodes,"H",$CI:$CI)/(SUMIF(ProductCodes,"H",$CH:$CH))),""))))))),"Error")</f>
        <v>Error</v>
      </c>
      <c r="DE39" s="84" t="str">
        <f>IFERROR(
IF(SUMIF(ProductCodes,"C",$CI:$CI)=$CI$775,(IF($A39="C",(SUMIF(#REF!,DE$17,#REF!)*$CG39)*((SUMIF(ProductCodes,"C",$CI:$CI)-SUMIF(ProductCodes,"H",$CH:$CH)-SUMIF(ProductCodes,"R",$CH:$CH)-SUMIF(ProductCodes,"B",$CH:$CH)-(SUMIF(ProductCodes,"S",$CH:$CH)/2))/SUMIF(ProductCodes,"C",$CH:$CH)),IF($A39="S",(SUMIF(#REF!,DE$17,#REF!)*$CG39)/2,
IF($A39="B",(SUMIF(#REF!,DE$17,#REF!)*$CG39),
IF($A39="R",(SUMIF(#REF!,DE$17,#REF!)*$CG39),
IF($A39="H",(SUMIF(#REF!,DE$17,#REF!)*$CG39),"")))))),
IF(SUMIF(ProductCodes,"S",$CI:$CI)=$CI$775,(IF($A39="S",(SUMIF(#REF!,DE$17,#REF!)*$CG39)*((SUMIF(ProductCodes,"S",$CI:$CI)-SUMIF(ProductCodes,"H",$CH:$CH)-SUMIF(ProductCodes,"R",$CH:$CH)-SUMIF(ProductCodes,"B",$CH:$CH)-(SUMIF(ProductCodes,"C",$CH:$CH)/4))/SUMIF(ProductCodes,"S",$CH:$CH)),
IF($A39="C",(SUMIF(#REF!,DE$17,#REF!)*$CG39)/4,
IF($A39="B",(SUMIF(#REF!,DE$17,#REF!)*$CG39),
IF($A39="R",(SUMIF(#REF!,DE$17,#REF!)*$CG39),
IF($A39="H",(SUMIF(#REF!,DE$17,#REF!)*$CG39),"")))))),
IF($A39="C",(SUMIF(#REF!,DE$17,#REF!)*$CG39)*(SUMIF(ProductCodes,"C",$CI:$CI)/(SUMIF(ProductCodes,"C",$CH:$CH))),
IF($A39="S",(SUMIF(#REF!,DE$17,#REF!)*$CG39)*(SUMIF(ProductCodes,"S",$CI:$CI)/(SUMIF(ProductCodes,"S",$CH:$CH))),
IF($A39="B",(SUMIF(#REF!,DE$17,#REF!)*$CG39)*(SUMIF(ProductCodes,"B",$CI:$CI)/(SUMIF(ProductCodes,"B",$CH:$CH))),
IF($A39="R",(SUMIF(#REF!,DE$17,#REF!)*$CG39)*(SUMIF(ProductCodes,"R",$CI:$CI)/(SUMIF(ProductCodes,"R",$CH:$CH))),
IF($A39="H",(SUMIF(#REF!,DE$17,#REF!)*$CG39)*(SUMIF(ProductCodes,"H",$CI:$CI)/(SUMIF(ProductCodes,"H",$CH:$CH))),""))))))),"Error")</f>
        <v>Error</v>
      </c>
      <c r="DF39" s="84" t="str">
        <f>IFERROR(
IF(SUMIF(ProductCodes,"C",$CI:$CI)=$CI$775,(IF($A39="C",(SUMIF(#REF!,DF$17,#REF!)*$CG39)*((SUMIF(ProductCodes,"C",$CI:$CI)-SUMIF(ProductCodes,"H",$CH:$CH)-SUMIF(ProductCodes,"R",$CH:$CH)-SUMIF(ProductCodes,"B",$CH:$CH)-(SUMIF(ProductCodes,"S",$CH:$CH)/2))/SUMIF(ProductCodes,"C",$CH:$CH)),IF($A39="S",(SUMIF(#REF!,DF$17,#REF!)*$CG39)/2,
IF($A39="B",(SUMIF(#REF!,DF$17,#REF!)*$CG39),
IF($A39="R",(SUMIF(#REF!,DF$17,#REF!)*$CG39),
IF($A39="H",(SUMIF(#REF!,DF$17,#REF!)*$CG39),"")))))),
IF(SUMIF(ProductCodes,"S",$CI:$CI)=$CI$775,(IF($A39="S",(SUMIF(#REF!,DF$17,#REF!)*$CG39)*((SUMIF(ProductCodes,"S",$CI:$CI)-SUMIF(ProductCodes,"H",$CH:$CH)-SUMIF(ProductCodes,"R",$CH:$CH)-SUMIF(ProductCodes,"B",$CH:$CH)-(SUMIF(ProductCodes,"C",$CH:$CH)/4))/SUMIF(ProductCodes,"S",$CH:$CH)),
IF($A39="C",(SUMIF(#REF!,DF$17,#REF!)*$CG39)/4,
IF($A39="B",(SUMIF(#REF!,DF$17,#REF!)*$CG39),
IF($A39="R",(SUMIF(#REF!,DF$17,#REF!)*$CG39),
IF($A39="H",(SUMIF(#REF!,DF$17,#REF!)*$CG39),"")))))),
IF($A39="C",(SUMIF(#REF!,DF$17,#REF!)*$CG39)*(SUMIF(ProductCodes,"C",$CI:$CI)/(SUMIF(ProductCodes,"C",$CH:$CH))),
IF($A39="S",(SUMIF(#REF!,DF$17,#REF!)*$CG39)*(SUMIF(ProductCodes,"S",$CI:$CI)/(SUMIF(ProductCodes,"S",$CH:$CH))),
IF($A39="B",(SUMIF(#REF!,DF$17,#REF!)*$CG39)*(SUMIF(ProductCodes,"B",$CI:$CI)/(SUMIF(ProductCodes,"B",$CH:$CH))),
IF($A39="R",(SUMIF(#REF!,DF$17,#REF!)*$CG39)*(SUMIF(ProductCodes,"R",$CI:$CI)/(SUMIF(ProductCodes,"R",$CH:$CH))),
IF($A39="H",(SUMIF(#REF!,DF$17,#REF!)*$CG39)*(SUMIF(ProductCodes,"H",$CI:$CI)/(SUMIF(ProductCodes,"H",$CH:$CH))),""))))))),"Error")</f>
        <v>Error</v>
      </c>
      <c r="DG39" s="84" t="str">
        <f>IFERROR(
IF(SUMIF(ProductCodes,"C",$CI:$CI)=$CI$775,(IF($A39="C",(SUMIF(#REF!,DG$17,#REF!)*$CG39)*((SUMIF(ProductCodes,"C",$CI:$CI)-SUMIF(ProductCodes,"H",$CH:$CH)-SUMIF(ProductCodes,"R",$CH:$CH)-SUMIF(ProductCodes,"B",$CH:$CH)-(SUMIF(ProductCodes,"S",$CH:$CH)/2))/SUMIF(ProductCodes,"C",$CH:$CH)),IF($A39="S",(SUMIF(#REF!,DG$17,#REF!)*$CG39)/2,
IF($A39="B",(SUMIF(#REF!,DG$17,#REF!)*$CG39),
IF($A39="R",(SUMIF(#REF!,DG$17,#REF!)*$CG39),
IF($A39="H",(SUMIF(#REF!,DG$17,#REF!)*$CG39),"")))))),
IF(SUMIF(ProductCodes,"S",$CI:$CI)=$CI$775,(IF($A39="S",(SUMIF(#REF!,DG$17,#REF!)*$CG39)*((SUMIF(ProductCodes,"S",$CI:$CI)-SUMIF(ProductCodes,"H",$CH:$CH)-SUMIF(ProductCodes,"R",$CH:$CH)-SUMIF(ProductCodes,"B",$CH:$CH)-(SUMIF(ProductCodes,"C",$CH:$CH)/4))/SUMIF(ProductCodes,"S",$CH:$CH)),
IF($A39="C",(SUMIF(#REF!,DG$17,#REF!)*$CG39)/4,
IF($A39="B",(SUMIF(#REF!,DG$17,#REF!)*$CG39),
IF($A39="R",(SUMIF(#REF!,DG$17,#REF!)*$CG39),
IF($A39="H",(SUMIF(#REF!,DG$17,#REF!)*$CG39),"")))))),
IF($A39="C",(SUMIF(#REF!,DG$17,#REF!)*$CG39)*(SUMIF(ProductCodes,"C",$CI:$CI)/(SUMIF(ProductCodes,"C",$CH:$CH))),
IF($A39="S",(SUMIF(#REF!,DG$17,#REF!)*$CG39)*(SUMIF(ProductCodes,"S",$CI:$CI)/(SUMIF(ProductCodes,"S",$CH:$CH))),
IF($A39="B",(SUMIF(#REF!,DG$17,#REF!)*$CG39)*(SUMIF(ProductCodes,"B",$CI:$CI)/(SUMIF(ProductCodes,"B",$CH:$CH))),
IF($A39="R",(SUMIF(#REF!,DG$17,#REF!)*$CG39)*(SUMIF(ProductCodes,"R",$CI:$CI)/(SUMIF(ProductCodes,"R",$CH:$CH))),
IF($A39="H",(SUMIF(#REF!,DG$17,#REF!)*$CG39)*(SUMIF(ProductCodes,"H",$CI:$CI)/(SUMIF(ProductCodes,"H",$CH:$CH))),""))))))),"Error")</f>
        <v>Error</v>
      </c>
      <c r="DH39" s="84" t="str">
        <f>IFERROR(
IF(SUMIF(ProductCodes,"C",$CI:$CI)=$CI$775,(IF($A39="C",(SUMIF(#REF!,DH$17,#REF!)*$CG39)*((SUMIF(ProductCodes,"C",$CI:$CI)-SUMIF(ProductCodes,"H",$CH:$CH)-SUMIF(ProductCodes,"R",$CH:$CH)-SUMIF(ProductCodes,"B",$CH:$CH)-(SUMIF(ProductCodes,"S",$CH:$CH)/2))/SUMIF(ProductCodes,"C",$CH:$CH)),IF($A39="S",(SUMIF(#REF!,DH$17,#REF!)*$CG39)/2,
IF($A39="B",(SUMIF(#REF!,DH$17,#REF!)*$CG39),
IF($A39="R",(SUMIF(#REF!,DH$17,#REF!)*$CG39),
IF($A39="H",(SUMIF(#REF!,DH$17,#REF!)*$CG39),"")))))),
IF(SUMIF(ProductCodes,"S",$CI:$CI)=$CI$775,(IF($A39="S",(SUMIF(#REF!,DH$17,#REF!)*$CG39)*((SUMIF(ProductCodes,"S",$CI:$CI)-SUMIF(ProductCodes,"H",$CH:$CH)-SUMIF(ProductCodes,"R",$CH:$CH)-SUMIF(ProductCodes,"B",$CH:$CH)-(SUMIF(ProductCodes,"C",$CH:$CH)/4))/SUMIF(ProductCodes,"S",$CH:$CH)),
IF($A39="C",(SUMIF(#REF!,DH$17,#REF!)*$CG39)/4,
IF($A39="B",(SUMIF(#REF!,DH$17,#REF!)*$CG39),
IF($A39="R",(SUMIF(#REF!,DH$17,#REF!)*$CG39),
IF($A39="H",(SUMIF(#REF!,DH$17,#REF!)*$CG39),"")))))),
IF($A39="C",(SUMIF(#REF!,DH$17,#REF!)*$CG39)*(SUMIF(ProductCodes,"C",$CI:$CI)/(SUMIF(ProductCodes,"C",$CH:$CH))),
IF($A39="S",(SUMIF(#REF!,DH$17,#REF!)*$CG39)*(SUMIF(ProductCodes,"S",$CI:$CI)/(SUMIF(ProductCodes,"S",$CH:$CH))),
IF($A39="B",(SUMIF(#REF!,DH$17,#REF!)*$CG39)*(SUMIF(ProductCodes,"B",$CI:$CI)/(SUMIF(ProductCodes,"B",$CH:$CH))),
IF($A39="R",(SUMIF(#REF!,DH$17,#REF!)*$CG39)*(SUMIF(ProductCodes,"R",$CI:$CI)/(SUMIF(ProductCodes,"R",$CH:$CH))),
IF($A39="H",(SUMIF(#REF!,DH$17,#REF!)*$CG39)*(SUMIF(ProductCodes,"H",$CI:$CI)/(SUMIF(ProductCodes,"H",$CH:$CH))),""))))))),"Error")</f>
        <v>Error</v>
      </c>
      <c r="DI39" s="84" t="str">
        <f>IFERROR(
IF(SUMIF(ProductCodes,"C",$CI:$CI)=$CI$775,(IF($A39="C",(SUMIF(#REF!,DI$17,#REF!)*$CG39)*((SUMIF(ProductCodes,"C",$CI:$CI)-SUMIF(ProductCodes,"H",$CH:$CH)-SUMIF(ProductCodes,"R",$CH:$CH)-SUMIF(ProductCodes,"B",$CH:$CH)-(SUMIF(ProductCodes,"S",$CH:$CH)/2))/SUMIF(ProductCodes,"C",$CH:$CH)),IF($A39="S",(SUMIF(#REF!,DI$17,#REF!)*$CG39)/2,
IF($A39="B",(SUMIF(#REF!,DI$17,#REF!)*$CG39),
IF($A39="R",(SUMIF(#REF!,DI$17,#REF!)*$CG39),
IF($A39="H",(SUMIF(#REF!,DI$17,#REF!)*$CG39),"")))))),
IF(SUMIF(ProductCodes,"S",$CI:$CI)=$CI$775,(IF($A39="S",(SUMIF(#REF!,DI$17,#REF!)*$CG39)*((SUMIF(ProductCodes,"S",$CI:$CI)-SUMIF(ProductCodes,"H",$CH:$CH)-SUMIF(ProductCodes,"R",$CH:$CH)-SUMIF(ProductCodes,"B",$CH:$CH)-(SUMIF(ProductCodes,"C",$CH:$CH)/4))/SUMIF(ProductCodes,"S",$CH:$CH)),
IF($A39="C",(SUMIF(#REF!,DI$17,#REF!)*$CG39)/4,
IF($A39="B",(SUMIF(#REF!,DI$17,#REF!)*$CG39),
IF($A39="R",(SUMIF(#REF!,DI$17,#REF!)*$CG39),
IF($A39="H",(SUMIF(#REF!,DI$17,#REF!)*$CG39),"")))))),
IF($A39="C",(SUMIF(#REF!,DI$17,#REF!)*$CG39)*(SUMIF(ProductCodes,"C",$CI:$CI)/(SUMIF(ProductCodes,"C",$CH:$CH))),
IF($A39="S",(SUMIF(#REF!,DI$17,#REF!)*$CG39)*(SUMIF(ProductCodes,"S",$CI:$CI)/(SUMIF(ProductCodes,"S",$CH:$CH))),
IF($A39="B",(SUMIF(#REF!,DI$17,#REF!)*$CG39)*(SUMIF(ProductCodes,"B",$CI:$CI)/(SUMIF(ProductCodes,"B",$CH:$CH))),
IF($A39="R",(SUMIF(#REF!,DI$17,#REF!)*$CG39)*(SUMIF(ProductCodes,"R",$CI:$CI)/(SUMIF(ProductCodes,"R",$CH:$CH))),
IF($A39="H",(SUMIF(#REF!,DI$17,#REF!)*$CG39)*(SUMIF(ProductCodes,"H",$CI:$CI)/(SUMIF(ProductCodes,"H",$CH:$CH))),""))))))),"Error")</f>
        <v>Error</v>
      </c>
      <c r="DJ39" s="84" t="str">
        <f>IFERROR(
IF(SUMIF(ProductCodes,"C",$CI:$CI)=$CI$775,(IF($A39="C",(SUMIF(#REF!,DJ$17,#REF!)*$CG39)*((SUMIF(ProductCodes,"C",$CI:$CI)-SUMIF(ProductCodes,"H",$CH:$CH)-SUMIF(ProductCodes,"R",$CH:$CH)-SUMIF(ProductCodes,"B",$CH:$CH)-(SUMIF(ProductCodes,"S",$CH:$CH)/2))/SUMIF(ProductCodes,"C",$CH:$CH)),IF($A39="S",(SUMIF(#REF!,DJ$17,#REF!)*$CG39)/2,
IF($A39="B",(SUMIF(#REF!,DJ$17,#REF!)*$CG39),
IF($A39="R",(SUMIF(#REF!,DJ$17,#REF!)*$CG39),
IF($A39="H",(SUMIF(#REF!,DJ$17,#REF!)*$CG39),"")))))),
IF(SUMIF(ProductCodes,"S",$CI:$CI)=$CI$775,(IF($A39="S",(SUMIF(#REF!,DJ$17,#REF!)*$CG39)*((SUMIF(ProductCodes,"S",$CI:$CI)-SUMIF(ProductCodes,"H",$CH:$CH)-SUMIF(ProductCodes,"R",$CH:$CH)-SUMIF(ProductCodes,"B",$CH:$CH)-(SUMIF(ProductCodes,"C",$CH:$CH)/4))/SUMIF(ProductCodes,"S",$CH:$CH)),
IF($A39="C",(SUMIF(#REF!,DJ$17,#REF!)*$CG39)/4,
IF($A39="B",(SUMIF(#REF!,DJ$17,#REF!)*$CG39),
IF($A39="R",(SUMIF(#REF!,DJ$17,#REF!)*$CG39),
IF($A39="H",(SUMIF(#REF!,DJ$17,#REF!)*$CG39),"")))))),
IF($A39="C",(SUMIF(#REF!,DJ$17,#REF!)*$CG39)*(SUMIF(ProductCodes,"C",$CI:$CI)/(SUMIF(ProductCodes,"C",$CH:$CH))),
IF($A39="S",(SUMIF(#REF!,DJ$17,#REF!)*$CG39)*(SUMIF(ProductCodes,"S",$CI:$CI)/(SUMIF(ProductCodes,"S",$CH:$CH))),
IF($A39="B",(SUMIF(#REF!,DJ$17,#REF!)*$CG39)*(SUMIF(ProductCodes,"B",$CI:$CI)/(SUMIF(ProductCodes,"B",$CH:$CH))),
IF($A39="R",(SUMIF(#REF!,DJ$17,#REF!)*$CG39)*(SUMIF(ProductCodes,"R",$CI:$CI)/(SUMIF(ProductCodes,"R",$CH:$CH))),
IF($A39="H",(SUMIF(#REF!,DJ$17,#REF!)*$CG39)*(SUMIF(ProductCodes,"H",$CI:$CI)/(SUMIF(ProductCodes,"H",$CH:$CH))),""))))))),"Error")</f>
        <v>Error</v>
      </c>
      <c r="DK39" s="84" t="str">
        <f>IFERROR(
IF(SUMIF(ProductCodes,"C",$CI:$CI)=$CI$775,(IF($A39="C",(SUMIF(#REF!,DK$17,#REF!)*$CG39)*((SUMIF(ProductCodes,"C",$CI:$CI)-SUMIF(ProductCodes,"H",$CH:$CH)-SUMIF(ProductCodes,"R",$CH:$CH)-SUMIF(ProductCodes,"B",$CH:$CH)-(SUMIF(ProductCodes,"S",$CH:$CH)/2))/SUMIF(ProductCodes,"C",$CH:$CH)),IF($A39="S",(SUMIF(#REF!,DK$17,#REF!)*$CG39)/2,
IF($A39="B",(SUMIF(#REF!,DK$17,#REF!)*$CG39),
IF($A39="R",(SUMIF(#REF!,DK$17,#REF!)*$CG39),
IF($A39="H",(SUMIF(#REF!,DK$17,#REF!)*$CG39),"")))))),
IF(SUMIF(ProductCodes,"S",$CI:$CI)=$CI$775,(IF($A39="S",(SUMIF(#REF!,DK$17,#REF!)*$CG39)*((SUMIF(ProductCodes,"S",$CI:$CI)-SUMIF(ProductCodes,"H",$CH:$CH)-SUMIF(ProductCodes,"R",$CH:$CH)-SUMIF(ProductCodes,"B",$CH:$CH)-(SUMIF(ProductCodes,"C",$CH:$CH)/4))/SUMIF(ProductCodes,"S",$CH:$CH)),
IF($A39="C",(SUMIF(#REF!,DK$17,#REF!)*$CG39)/4,
IF($A39="B",(SUMIF(#REF!,DK$17,#REF!)*$CG39),
IF($A39="R",(SUMIF(#REF!,DK$17,#REF!)*$CG39),
IF($A39="H",(SUMIF(#REF!,DK$17,#REF!)*$CG39),"")))))),
IF($A39="C",(SUMIF(#REF!,DK$17,#REF!)*$CG39)*(SUMIF(ProductCodes,"C",$CI:$CI)/(SUMIF(ProductCodes,"C",$CH:$CH))),
IF($A39="S",(SUMIF(#REF!,DK$17,#REF!)*$CG39)*(SUMIF(ProductCodes,"S",$CI:$CI)/(SUMIF(ProductCodes,"S",$CH:$CH))),
IF($A39="B",(SUMIF(#REF!,DK$17,#REF!)*$CG39)*(SUMIF(ProductCodes,"B",$CI:$CI)/(SUMIF(ProductCodes,"B",$CH:$CH))),
IF($A39="R",(SUMIF(#REF!,DK$17,#REF!)*$CG39)*(SUMIF(ProductCodes,"R",$CI:$CI)/(SUMIF(ProductCodes,"R",$CH:$CH))),
IF($A39="H",(SUMIF(#REF!,DK$17,#REF!)*$CG39)*(SUMIF(ProductCodes,"H",$CI:$CI)/(SUMIF(ProductCodes,"H",$CH:$CH))),""))))))),"Error")</f>
        <v>Error</v>
      </c>
      <c r="DL39" s="84" t="str">
        <f>IFERROR(
IF(SUMIF(ProductCodes,"C",$CI:$CI)=$CI$775,(IF($A39="C",(SUMIF(#REF!,DL$17,#REF!)*$CG39)*((SUMIF(ProductCodes,"C",$CI:$CI)-SUMIF(ProductCodes,"H",$CH:$CH)-SUMIF(ProductCodes,"R",$CH:$CH)-SUMIF(ProductCodes,"B",$CH:$CH)-(SUMIF(ProductCodes,"S",$CH:$CH)/2))/SUMIF(ProductCodes,"C",$CH:$CH)),IF($A39="S",(SUMIF(#REF!,DL$17,#REF!)*$CG39)/2,
IF($A39="B",(SUMIF(#REF!,DL$17,#REF!)*$CG39),
IF($A39="R",(SUMIF(#REF!,DL$17,#REF!)*$CG39),
IF($A39="H",(SUMIF(#REF!,DL$17,#REF!)*$CG39),"")))))),
IF(SUMIF(ProductCodes,"S",$CI:$CI)=$CI$775,(IF($A39="S",(SUMIF(#REF!,DL$17,#REF!)*$CG39)*((SUMIF(ProductCodes,"S",$CI:$CI)-SUMIF(ProductCodes,"H",$CH:$CH)-SUMIF(ProductCodes,"R",$CH:$CH)-SUMIF(ProductCodes,"B",$CH:$CH)-(SUMIF(ProductCodes,"C",$CH:$CH)/4))/SUMIF(ProductCodes,"S",$CH:$CH)),
IF($A39="C",(SUMIF(#REF!,DL$17,#REF!)*$CG39)/4,
IF($A39="B",(SUMIF(#REF!,DL$17,#REF!)*$CG39),
IF($A39="R",(SUMIF(#REF!,DL$17,#REF!)*$CG39),
IF($A39="H",(SUMIF(#REF!,DL$17,#REF!)*$CG39),"")))))),
IF($A39="C",(SUMIF(#REF!,DL$17,#REF!)*$CG39)*(SUMIF(ProductCodes,"C",$CI:$CI)/(SUMIF(ProductCodes,"C",$CH:$CH))),
IF($A39="S",(SUMIF(#REF!,DL$17,#REF!)*$CG39)*(SUMIF(ProductCodes,"S",$CI:$CI)/(SUMIF(ProductCodes,"S",$CH:$CH))),
IF($A39="B",(SUMIF(#REF!,DL$17,#REF!)*$CG39)*(SUMIF(ProductCodes,"B",$CI:$CI)/(SUMIF(ProductCodes,"B",$CH:$CH))),
IF($A39="R",(SUMIF(#REF!,DL$17,#REF!)*$CG39)*(SUMIF(ProductCodes,"R",$CI:$CI)/(SUMIF(ProductCodes,"R",$CH:$CH))),
IF($A39="H",(SUMIF(#REF!,DL$17,#REF!)*$CG39)*(SUMIF(ProductCodes,"H",$CI:$CI)/(SUMIF(ProductCodes,"H",$CH:$CH))),""))))))),"Error")</f>
        <v>Error</v>
      </c>
      <c r="DM39" s="84" t="str">
        <f>IFERROR(
IF(SUMIF(ProductCodes,"C",$CI:$CI)=$CI$775,(IF($A39="C",(SUMIF(#REF!,DM$17,#REF!)*$CG39)*((SUMIF(ProductCodes,"C",$CI:$CI)-SUMIF(ProductCodes,"H",$CH:$CH)-SUMIF(ProductCodes,"R",$CH:$CH)-SUMIF(ProductCodes,"B",$CH:$CH)-(SUMIF(ProductCodes,"S",$CH:$CH)/2))/SUMIF(ProductCodes,"C",$CH:$CH)),IF($A39="S",(SUMIF(#REF!,DM$17,#REF!)*$CG39)/2,
IF($A39="B",(SUMIF(#REF!,DM$17,#REF!)*$CG39),
IF($A39="R",(SUMIF(#REF!,DM$17,#REF!)*$CG39),
IF($A39="H",(SUMIF(#REF!,DM$17,#REF!)*$CG39),"")))))),
IF(SUMIF(ProductCodes,"S",$CI:$CI)=$CI$775,(IF($A39="S",(SUMIF(#REF!,DM$17,#REF!)*$CG39)*((SUMIF(ProductCodes,"S",$CI:$CI)-SUMIF(ProductCodes,"H",$CH:$CH)-SUMIF(ProductCodes,"R",$CH:$CH)-SUMIF(ProductCodes,"B",$CH:$CH)-(SUMIF(ProductCodes,"C",$CH:$CH)/4))/SUMIF(ProductCodes,"S",$CH:$CH)),
IF($A39="C",(SUMIF(#REF!,DM$17,#REF!)*$CG39)/4,
IF($A39="B",(SUMIF(#REF!,DM$17,#REF!)*$CG39),
IF($A39="R",(SUMIF(#REF!,DM$17,#REF!)*$CG39),
IF($A39="H",(SUMIF(#REF!,DM$17,#REF!)*$CG39),"")))))),
IF($A39="C",(SUMIF(#REF!,DM$17,#REF!)*$CG39)*(SUMIF(ProductCodes,"C",$CI:$CI)/(SUMIF(ProductCodes,"C",$CH:$CH))),
IF($A39="S",(SUMIF(#REF!,DM$17,#REF!)*$CG39)*(SUMIF(ProductCodes,"S",$CI:$CI)/(SUMIF(ProductCodes,"S",$CH:$CH))),
IF($A39="B",(SUMIF(#REF!,DM$17,#REF!)*$CG39)*(SUMIF(ProductCodes,"B",$CI:$CI)/(SUMIF(ProductCodes,"B",$CH:$CH))),
IF($A39="R",(SUMIF(#REF!,DM$17,#REF!)*$CG39)*(SUMIF(ProductCodes,"R",$CI:$CI)/(SUMIF(ProductCodes,"R",$CH:$CH))),
IF($A39="H",(SUMIF(#REF!,DM$17,#REF!)*$CG39)*(SUMIF(ProductCodes,"H",$CI:$CI)/(SUMIF(ProductCodes,"H",$CH:$CH))),""))))))),"Error")</f>
        <v>Error</v>
      </c>
      <c r="DN39" s="84" t="str">
        <f>IFERROR(
IF(SUMIF(ProductCodes,"C",$CI:$CI)=$CI$775,(IF($A39="C",(SUMIF(#REF!,DN$17,#REF!)*$CG39)*((SUMIF(ProductCodes,"C",$CI:$CI)-SUMIF(ProductCodes,"H",$CH:$CH)-SUMIF(ProductCodes,"R",$CH:$CH)-SUMIF(ProductCodes,"B",$CH:$CH)-(SUMIF(ProductCodes,"S",$CH:$CH)/2))/SUMIF(ProductCodes,"C",$CH:$CH)),IF($A39="S",(SUMIF(#REF!,DN$17,#REF!)*$CG39)/2,
IF($A39="B",(SUMIF(#REF!,DN$17,#REF!)*$CG39),
IF($A39="R",(SUMIF(#REF!,DN$17,#REF!)*$CG39),
IF($A39="H",(SUMIF(#REF!,DN$17,#REF!)*$CG39),"")))))),
IF(SUMIF(ProductCodes,"S",$CI:$CI)=$CI$775,(IF($A39="S",(SUMIF(#REF!,DN$17,#REF!)*$CG39)*((SUMIF(ProductCodes,"S",$CI:$CI)-SUMIF(ProductCodes,"H",$CH:$CH)-SUMIF(ProductCodes,"R",$CH:$CH)-SUMIF(ProductCodes,"B",$CH:$CH)-(SUMIF(ProductCodes,"C",$CH:$CH)/4))/SUMIF(ProductCodes,"S",$CH:$CH)),
IF($A39="C",(SUMIF(#REF!,DN$17,#REF!)*$CG39)/4,
IF($A39="B",(SUMIF(#REF!,DN$17,#REF!)*$CG39),
IF($A39="R",(SUMIF(#REF!,DN$17,#REF!)*$CG39),
IF($A39="H",(SUMIF(#REF!,DN$17,#REF!)*$CG39),"")))))),
IF($A39="C",(SUMIF(#REF!,DN$17,#REF!)*$CG39)*(SUMIF(ProductCodes,"C",$CI:$CI)/(SUMIF(ProductCodes,"C",$CH:$CH))),
IF($A39="S",(SUMIF(#REF!,DN$17,#REF!)*$CG39)*(SUMIF(ProductCodes,"S",$CI:$CI)/(SUMIF(ProductCodes,"S",$CH:$CH))),
IF($A39="B",(SUMIF(#REF!,DN$17,#REF!)*$CG39)*(SUMIF(ProductCodes,"B",$CI:$CI)/(SUMIF(ProductCodes,"B",$CH:$CH))),
IF($A39="R",(SUMIF(#REF!,DN$17,#REF!)*$CG39)*(SUMIF(ProductCodes,"R",$CI:$CI)/(SUMIF(ProductCodes,"R",$CH:$CH))),
IF($A39="H",(SUMIF(#REF!,DN$17,#REF!)*$CG39)*(SUMIF(ProductCodes,"H",$CI:$CI)/(SUMIF(ProductCodes,"H",$CH:$CH))),""))))))),"Error")</f>
        <v>Error</v>
      </c>
      <c r="DO39" s="84" t="str">
        <f>IFERROR(
IF(SUMIF(ProductCodes,"C",$CI:$CI)=$CI$775,(IF($A39="C",(SUMIF(#REF!,DO$17,#REF!)*$CG39)*((SUMIF(ProductCodes,"C",$CI:$CI)-SUMIF(ProductCodes,"H",$CH:$CH)-SUMIF(ProductCodes,"R",$CH:$CH)-SUMIF(ProductCodes,"B",$CH:$CH)-(SUMIF(ProductCodes,"S",$CH:$CH)/2))/SUMIF(ProductCodes,"C",$CH:$CH)),IF($A39="S",(SUMIF(#REF!,DO$17,#REF!)*$CG39)/2,
IF($A39="B",(SUMIF(#REF!,DO$17,#REF!)*$CG39),
IF($A39="R",(SUMIF(#REF!,DO$17,#REF!)*$CG39),
IF($A39="H",(SUMIF(#REF!,DO$17,#REF!)*$CG39),"")))))),
IF(SUMIF(ProductCodes,"S",$CI:$CI)=$CI$775,(IF($A39="S",(SUMIF(#REF!,DO$17,#REF!)*$CG39)*((SUMIF(ProductCodes,"S",$CI:$CI)-SUMIF(ProductCodes,"H",$CH:$CH)-SUMIF(ProductCodes,"R",$CH:$CH)-SUMIF(ProductCodes,"B",$CH:$CH)-(SUMIF(ProductCodes,"C",$CH:$CH)/4))/SUMIF(ProductCodes,"S",$CH:$CH)),
IF($A39="C",(SUMIF(#REF!,DO$17,#REF!)*$CG39)/4,
IF($A39="B",(SUMIF(#REF!,DO$17,#REF!)*$CG39),
IF($A39="R",(SUMIF(#REF!,DO$17,#REF!)*$CG39),
IF($A39="H",(SUMIF(#REF!,DO$17,#REF!)*$CG39),"")))))),
IF($A39="C",(SUMIF(#REF!,DO$17,#REF!)*$CG39)*(SUMIF(ProductCodes,"C",$CI:$CI)/(SUMIF(ProductCodes,"C",$CH:$CH))),
IF($A39="S",(SUMIF(#REF!,DO$17,#REF!)*$CG39)*(SUMIF(ProductCodes,"S",$CI:$CI)/(SUMIF(ProductCodes,"S",$CH:$CH))),
IF($A39="B",(SUMIF(#REF!,DO$17,#REF!)*$CG39)*(SUMIF(ProductCodes,"B",$CI:$CI)/(SUMIF(ProductCodes,"B",$CH:$CH))),
IF($A39="R",(SUMIF(#REF!,DO$17,#REF!)*$CG39)*(SUMIF(ProductCodes,"R",$CI:$CI)/(SUMIF(ProductCodes,"R",$CH:$CH))),
IF($A39="H",(SUMIF(#REF!,DO$17,#REF!)*$CG39)*(SUMIF(ProductCodes,"H",$CI:$CI)/(SUMIF(ProductCodes,"H",$CH:$CH))),""))))))),"Error")</f>
        <v>Error</v>
      </c>
      <c r="DP39" s="85" t="str">
        <f>IFERROR(
IF(SUMIF(ProductCodes,"C",$CI:$CI)=$CI$775,(IF($A39="C",(SUMIF(#REF!,DP$17,#REF!)*$CG39)*((SUMIF(ProductCodes,"C",$CI:$CI)-SUMIF(ProductCodes,"H",$CH:$CH)-SUMIF(ProductCodes,"R",$CH:$CH)-SUMIF(ProductCodes,"B",$CH:$CH)-(SUMIF(ProductCodes,"S",$CH:$CH)/2))/SUMIF(ProductCodes,"C",$CH:$CH)),IF($A39="S",(SUMIF(#REF!,DP$17,#REF!)*$CG39)/2,
IF($A39="B",(SUMIF(#REF!,DP$17,#REF!)*$CG39),
IF($A39="R",(SUMIF(#REF!,DP$17,#REF!)*$CG39),
IF($A39="H",(SUMIF(#REF!,DP$17,#REF!)*$CG39),"")))))),
IF(SUMIF(ProductCodes,"S",$CI:$CI)=$CI$775,(IF($A39="S",(SUMIF(#REF!,DP$17,#REF!)*$CG39)*((SUMIF(ProductCodes,"S",$CI:$CI)-SUMIF(ProductCodes,"H",$CH:$CH)-SUMIF(ProductCodes,"R",$CH:$CH)-SUMIF(ProductCodes,"B",$CH:$CH)-(SUMIF(ProductCodes,"C",$CH:$CH)/4))/SUMIF(ProductCodes,"S",$CH:$CH)),
IF($A39="C",(SUMIF(#REF!,DP$17,#REF!)*$CG39)/4,
IF($A39="B",(SUMIF(#REF!,DP$17,#REF!)*$CG39),
IF($A39="R",(SUMIF(#REF!,DP$17,#REF!)*$CG39),
IF($A39="H",(SUMIF(#REF!,DP$17,#REF!)*$CG39),"")))))),
IF($A39="C",(SUMIF(#REF!,DP$17,#REF!)*$CG39)*(SUMIF(ProductCodes,"C",$CI:$CI)/(SUMIF(ProductCodes,"C",$CH:$CH))),
IF($A39="S",(SUMIF(#REF!,DP$17,#REF!)*$CG39)*(SUMIF(ProductCodes,"S",$CI:$CI)/(SUMIF(ProductCodes,"S",$CH:$CH))),
IF($A39="B",(SUMIF(#REF!,DP$17,#REF!)*$CG39)*(SUMIF(ProductCodes,"B",$CI:$CI)/(SUMIF(ProductCodes,"B",$CH:$CH))),
IF($A39="R",(SUMIF(#REF!,DP$17,#REF!)*$CG39)*(SUMIF(ProductCodes,"R",$CI:$CI)/(SUMIF(ProductCodes,"R",$CH:$CH))),
IF($A39="H",(SUMIF(#REF!,DP$17,#REF!)*$CG39)*(SUMIF(ProductCodes,"H",$CI:$CI)/(SUMIF(ProductCodes,"H",$CH:$CH))),""))))))),"Error")</f>
        <v>Error</v>
      </c>
      <c r="DQ39" s="9"/>
      <c r="DR39" s="9"/>
      <c r="DS39"/>
      <c r="DT39"/>
      <c r="DU39"/>
      <c r="DV39"/>
      <c r="DW39"/>
      <c r="DX39"/>
      <c r="DY39"/>
      <c r="DZ39"/>
      <c r="EA39"/>
      <c r="EB39"/>
      <c r="EC39"/>
      <c r="ED39"/>
    </row>
    <row r="40" spans="1:135" s="86" customFormat="1" ht="61.5" customHeight="1" thickBot="1" x14ac:dyDescent="0.4">
      <c r="A40" s="112" t="s">
        <v>43</v>
      </c>
      <c r="B40" s="107" t="s">
        <v>84</v>
      </c>
      <c r="C40" s="100" t="s">
        <v>44</v>
      </c>
      <c r="D40" s="101" t="s">
        <v>45</v>
      </c>
      <c r="E40" s="103"/>
      <c r="F40" s="103"/>
      <c r="G40" s="106"/>
      <c r="H40" s="104"/>
      <c r="I40" s="102"/>
      <c r="J40" s="103"/>
      <c r="K40" s="103"/>
      <c r="L40" s="104"/>
      <c r="M40" s="105"/>
      <c r="N40" s="103"/>
      <c r="O40" s="103"/>
      <c r="P40" s="106"/>
      <c r="Q40" s="105"/>
      <c r="R40" s="103"/>
      <c r="S40" s="103"/>
      <c r="T40" s="106"/>
      <c r="U40" s="104"/>
      <c r="V40" s="105"/>
      <c r="W40" s="103"/>
      <c r="X40" s="103"/>
      <c r="Y40" s="104"/>
      <c r="Z40" s="105"/>
      <c r="AA40" s="103"/>
      <c r="AB40" s="103"/>
      <c r="AC40" s="103"/>
      <c r="AD40" s="235">
        <v>10</v>
      </c>
      <c r="AE40" s="236"/>
      <c r="AF40" s="236"/>
      <c r="AG40" s="236"/>
      <c r="AH40" s="237"/>
      <c r="AI40" s="290">
        <v>10</v>
      </c>
      <c r="AJ40" s="236"/>
      <c r="AK40" s="236"/>
      <c r="AL40" s="237"/>
      <c r="AM40" s="290">
        <v>10</v>
      </c>
      <c r="AN40" s="236"/>
      <c r="AO40" s="236"/>
      <c r="AP40" s="236"/>
      <c r="AQ40" s="237"/>
      <c r="AR40" s="290">
        <v>10</v>
      </c>
      <c r="AS40" s="236"/>
      <c r="AT40" s="236"/>
      <c r="AU40" s="237"/>
      <c r="AV40" s="290">
        <v>10</v>
      </c>
      <c r="AW40" s="236"/>
      <c r="AX40" s="236"/>
      <c r="AY40" s="237"/>
      <c r="AZ40" s="290">
        <v>10</v>
      </c>
      <c r="BA40" s="236"/>
      <c r="BB40" s="236"/>
      <c r="BC40" s="236"/>
      <c r="BD40" s="237"/>
      <c r="BE40" s="290">
        <v>10</v>
      </c>
      <c r="BF40" s="236"/>
      <c r="BG40" s="236"/>
      <c r="BH40" s="237"/>
      <c r="BI40" s="290">
        <v>10</v>
      </c>
      <c r="BJ40" s="236"/>
      <c r="BK40" s="236"/>
      <c r="BL40" s="237"/>
      <c r="BM40" s="290">
        <v>10</v>
      </c>
      <c r="BN40" s="236"/>
      <c r="BO40" s="236"/>
      <c r="BP40" s="236"/>
      <c r="BQ40" s="237"/>
      <c r="BR40" s="290">
        <v>10</v>
      </c>
      <c r="BS40" s="236"/>
      <c r="BT40" s="236"/>
      <c r="BU40" s="237"/>
      <c r="BV40" s="290">
        <v>10</v>
      </c>
      <c r="BW40" s="236"/>
      <c r="BX40" s="236"/>
      <c r="BY40" s="237"/>
      <c r="BZ40" s="290">
        <v>10</v>
      </c>
      <c r="CA40" s="236"/>
      <c r="CB40" s="236"/>
      <c r="CC40" s="237"/>
      <c r="CD40" s="198">
        <v>1</v>
      </c>
      <c r="CE40" s="199">
        <f t="shared" si="33"/>
        <v>120</v>
      </c>
      <c r="CF40" s="199">
        <f t="shared" ref="CF40" si="41">CD40*CE40</f>
        <v>120</v>
      </c>
      <c r="CG40" s="190">
        <v>70</v>
      </c>
      <c r="CH40" s="190">
        <f t="shared" ref="CH40" si="42">CG40*CE40</f>
        <v>8400</v>
      </c>
      <c r="CI40" s="240"/>
      <c r="CJ40" s="183"/>
      <c r="CK40" s="183"/>
      <c r="CL40" s="183"/>
      <c r="CM40" s="92"/>
      <c r="CN40" s="92">
        <f>CM40*CE40</f>
        <v>0</v>
      </c>
      <c r="CO40" s="93"/>
      <c r="CP40" s="75"/>
      <c r="CQ40" s="75"/>
      <c r="CR40" s="83"/>
      <c r="CS40" s="84" t="str">
        <f>IFERROR(
IF(SUMIF(ProductCodes,"C",$CI:$CI)=$CI$775,(IF($A40="C",(SUMIF(#REF!,CS$17,#REF!)*$CG40)*((SUMIF(ProductCodes,"C",$CI:$CI)-SUMIF(ProductCodes,"H",$CH:$CH)-SUMIF(ProductCodes,"R",$CH:$CH)-SUMIF(ProductCodes,"B",$CH:$CH)-(SUMIF(ProductCodes,"S",$CH:$CH)/2))/SUMIF(ProductCodes,"C",$CH:$CH)),IF($A40="S",(SUMIF(#REF!,CS$17,#REF!)*$CG40)/2,
IF($A40="B",(SUMIF(#REF!,CS$17,#REF!)*$CG40),
IF($A40="R",(SUMIF(#REF!,CS$17,#REF!)*$CG40),
IF($A40="H",(SUMIF(#REF!,CS$17,#REF!)*$CG40),"")))))),
IF(SUMIF(ProductCodes,"S",$CI:$CI)=$CI$775,(IF($A40="S",(SUMIF(#REF!,CS$17,#REF!)*$CG40)*((SUMIF(ProductCodes,"S",$CI:$CI)-SUMIF(ProductCodes,"H",$CH:$CH)-SUMIF(ProductCodes,"R",$CH:$CH)-SUMIF(ProductCodes,"B",$CH:$CH)-(SUMIF(ProductCodes,"C",$CH:$CH)/4))/SUMIF(ProductCodes,"S",$CH:$CH)),
IF($A40="C",(SUMIF(#REF!,CS$17,#REF!)*$CG40)/4,
IF($A40="B",(SUMIF(#REF!,CS$17,#REF!)*$CG40),
IF($A40="R",(SUMIF(#REF!,CS$17,#REF!)*$CG40),
IF($A40="H",(SUMIF(#REF!,CS$17,#REF!)*$CG40),"")))))),
IF($A40="C",(SUMIF(#REF!,CS$17,#REF!)*$CG40)*(SUMIF(ProductCodes,"C",$CI:$CI)/(SUMIF(ProductCodes,"C",$CH:$CH))),
IF($A40="S",(SUMIF(#REF!,CS$17,#REF!)*$CG40)*(SUMIF(ProductCodes,"S",$CI:$CI)/(SUMIF(ProductCodes,"S",$CH:$CH))),
IF($A40="B",(SUMIF(#REF!,CS$17,#REF!)*$CG40)*(SUMIF(ProductCodes,"B",$CI:$CI)/(SUMIF(ProductCodes,"B",$CH:$CH))),
IF($A40="R",(SUMIF(#REF!,CS$17,#REF!)*$CG40)*(SUMIF(ProductCodes,"R",$CI:$CI)/(SUMIF(ProductCodes,"R",$CH:$CH))),
IF($A40="H",(SUMIF(#REF!,CS$17,#REF!)*$CG40)*(SUMIF(ProductCodes,"H",$CI:$CI)/(SUMIF(ProductCodes,"H",$CH:$CH))),""))))))),"Error")</f>
        <v>Error</v>
      </c>
      <c r="CT40" s="84" t="str">
        <f>IFERROR(
IF(SUMIF(ProductCodes,"C",$CI:$CI)=$CI$775,(IF($A40="C",(SUMIF(#REF!,CT$17,#REF!)*$CG40)*((SUMIF(ProductCodes,"C",$CI:$CI)-SUMIF(ProductCodes,"H",$CH:$CH)-SUMIF(ProductCodes,"R",$CH:$CH)-SUMIF(ProductCodes,"B",$CH:$CH)-(SUMIF(ProductCodes,"S",$CH:$CH)/2))/SUMIF(ProductCodes,"C",$CH:$CH)),IF($A40="S",(SUMIF(#REF!,CT$17,#REF!)*$CG40)/2,
IF($A40="B",(SUMIF(#REF!,CT$17,#REF!)*$CG40),
IF($A40="R",(SUMIF(#REF!,CT$17,#REF!)*$CG40),
IF($A40="H",(SUMIF(#REF!,CT$17,#REF!)*$CG40),"")))))),
IF(SUMIF(ProductCodes,"S",$CI:$CI)=$CI$775,(IF($A40="S",(SUMIF(#REF!,CT$17,#REF!)*$CG40)*((SUMIF(ProductCodes,"S",$CI:$CI)-SUMIF(ProductCodes,"H",$CH:$CH)-SUMIF(ProductCodes,"R",$CH:$CH)-SUMIF(ProductCodes,"B",$CH:$CH)-(SUMIF(ProductCodes,"C",$CH:$CH)/4))/SUMIF(ProductCodes,"S",$CH:$CH)),
IF($A40="C",(SUMIF(#REF!,CT$17,#REF!)*$CG40)/4,
IF($A40="B",(SUMIF(#REF!,CT$17,#REF!)*$CG40),
IF($A40="R",(SUMIF(#REF!,CT$17,#REF!)*$CG40),
IF($A40="H",(SUMIF(#REF!,CT$17,#REF!)*$CG40),"")))))),
IF($A40="C",(SUMIF(#REF!,CT$17,#REF!)*$CG40)*(SUMIF(ProductCodes,"C",$CI:$CI)/(SUMIF(ProductCodes,"C",$CH:$CH))),
IF($A40="S",(SUMIF(#REF!,CT$17,#REF!)*$CG40)*(SUMIF(ProductCodes,"S",$CI:$CI)/(SUMIF(ProductCodes,"S",$CH:$CH))),
IF($A40="B",(SUMIF(#REF!,CT$17,#REF!)*$CG40)*(SUMIF(ProductCodes,"B",$CI:$CI)/(SUMIF(ProductCodes,"B",$CH:$CH))),
IF($A40="R",(SUMIF(#REF!,CT$17,#REF!)*$CG40)*(SUMIF(ProductCodes,"R",$CI:$CI)/(SUMIF(ProductCodes,"R",$CH:$CH))),
IF($A40="H",(SUMIF(#REF!,CT$17,#REF!)*$CG40)*(SUMIF(ProductCodes,"H",$CI:$CI)/(SUMIF(ProductCodes,"H",$CH:$CH))),""))))))),"Error")</f>
        <v>Error</v>
      </c>
      <c r="CU40" s="84" t="str">
        <f>IFERROR(
IF(SUMIF(ProductCodes,"C",$CI:$CI)=$CI$775,(IF($A40="C",(SUMIF(#REF!,CU$17,#REF!)*$CG40)*((SUMIF(ProductCodes,"C",$CI:$CI)-SUMIF(ProductCodes,"H",$CH:$CH)-SUMIF(ProductCodes,"R",$CH:$CH)-SUMIF(ProductCodes,"B",$CH:$CH)-(SUMIF(ProductCodes,"S",$CH:$CH)/2))/SUMIF(ProductCodes,"C",$CH:$CH)),IF($A40="S",(SUMIF(#REF!,CU$17,#REF!)*$CG40)/2,
IF($A40="B",(SUMIF(#REF!,CU$17,#REF!)*$CG40),
IF($A40="R",(SUMIF(#REF!,CU$17,#REF!)*$CG40),
IF($A40="H",(SUMIF(#REF!,CU$17,#REF!)*$CG40),"")))))),
IF(SUMIF(ProductCodes,"S",$CI:$CI)=$CI$775,(IF($A40="S",(SUMIF(#REF!,CU$17,#REF!)*$CG40)*((SUMIF(ProductCodes,"S",$CI:$CI)-SUMIF(ProductCodes,"H",$CH:$CH)-SUMIF(ProductCodes,"R",$CH:$CH)-SUMIF(ProductCodes,"B",$CH:$CH)-(SUMIF(ProductCodes,"C",$CH:$CH)/4))/SUMIF(ProductCodes,"S",$CH:$CH)),
IF($A40="C",(SUMIF(#REF!,CU$17,#REF!)*$CG40)/4,
IF($A40="B",(SUMIF(#REF!,CU$17,#REF!)*$CG40),
IF($A40="R",(SUMIF(#REF!,CU$17,#REF!)*$CG40),
IF($A40="H",(SUMIF(#REF!,CU$17,#REF!)*$CG40),"")))))),
IF($A40="C",(SUMIF(#REF!,CU$17,#REF!)*$CG40)*(SUMIF(ProductCodes,"C",$CI:$CI)/(SUMIF(ProductCodes,"C",$CH:$CH))),
IF($A40="S",(SUMIF(#REF!,CU$17,#REF!)*$CG40)*(SUMIF(ProductCodes,"S",$CI:$CI)/(SUMIF(ProductCodes,"S",$CH:$CH))),
IF($A40="B",(SUMIF(#REF!,CU$17,#REF!)*$CG40)*(SUMIF(ProductCodes,"B",$CI:$CI)/(SUMIF(ProductCodes,"B",$CH:$CH))),
IF($A40="R",(SUMIF(#REF!,CU$17,#REF!)*$CG40)*(SUMIF(ProductCodes,"R",$CI:$CI)/(SUMIF(ProductCodes,"R",$CH:$CH))),
IF($A40="H",(SUMIF(#REF!,CU$17,#REF!)*$CG40)*(SUMIF(ProductCodes,"H",$CI:$CI)/(SUMIF(ProductCodes,"H",$CH:$CH))),""))))))),"Error")</f>
        <v>Error</v>
      </c>
      <c r="CV40" s="84" t="str">
        <f>IFERROR(
IF(SUMIF(ProductCodes,"C",$CI:$CI)=$CI$775,(IF($A40="C",(SUMIF(#REF!,CV$17,#REF!)*$CG40)*((SUMIF(ProductCodes,"C",$CI:$CI)-SUMIF(ProductCodes,"H",$CH:$CH)-SUMIF(ProductCodes,"R",$CH:$CH)-SUMIF(ProductCodes,"B",$CH:$CH)-(SUMIF(ProductCodes,"S",$CH:$CH)/2))/SUMIF(ProductCodes,"C",$CH:$CH)),IF($A40="S",(SUMIF(#REF!,CV$17,#REF!)*$CG40)/2,
IF($A40="B",(SUMIF(#REF!,CV$17,#REF!)*$CG40),
IF($A40="R",(SUMIF(#REF!,CV$17,#REF!)*$CG40),
IF($A40="H",(SUMIF(#REF!,CV$17,#REF!)*$CG40),"")))))),
IF(SUMIF(ProductCodes,"S",$CI:$CI)=$CI$775,(IF($A40="S",(SUMIF(#REF!,CV$17,#REF!)*$CG40)*((SUMIF(ProductCodes,"S",$CI:$CI)-SUMIF(ProductCodes,"H",$CH:$CH)-SUMIF(ProductCodes,"R",$CH:$CH)-SUMIF(ProductCodes,"B",$CH:$CH)-(SUMIF(ProductCodes,"C",$CH:$CH)/4))/SUMIF(ProductCodes,"S",$CH:$CH)),
IF($A40="C",(SUMIF(#REF!,CV$17,#REF!)*$CG40)/4,
IF($A40="B",(SUMIF(#REF!,CV$17,#REF!)*$CG40),
IF($A40="R",(SUMIF(#REF!,CV$17,#REF!)*$CG40),
IF($A40="H",(SUMIF(#REF!,CV$17,#REF!)*$CG40),"")))))),
IF($A40="C",(SUMIF(#REF!,CV$17,#REF!)*$CG40)*(SUMIF(ProductCodes,"C",$CI:$CI)/(SUMIF(ProductCodes,"C",$CH:$CH))),
IF($A40="S",(SUMIF(#REF!,CV$17,#REF!)*$CG40)*(SUMIF(ProductCodes,"S",$CI:$CI)/(SUMIF(ProductCodes,"S",$CH:$CH))),
IF($A40="B",(SUMIF(#REF!,CV$17,#REF!)*$CG40)*(SUMIF(ProductCodes,"B",$CI:$CI)/(SUMIF(ProductCodes,"B",$CH:$CH))),
IF($A40="R",(SUMIF(#REF!,CV$17,#REF!)*$CG40)*(SUMIF(ProductCodes,"R",$CI:$CI)/(SUMIF(ProductCodes,"R",$CH:$CH))),
IF($A40="H",(SUMIF(#REF!,CV$17,#REF!)*$CG40)*(SUMIF(ProductCodes,"H",$CI:$CI)/(SUMIF(ProductCodes,"H",$CH:$CH))),""))))))),"Error")</f>
        <v>Error</v>
      </c>
      <c r="CW40" s="84" t="str">
        <f>IFERROR(
IF(SUMIF(ProductCodes,"C",$CI:$CI)=$CI$775,(IF($A40="C",(SUMIF(#REF!,CW$17,#REF!)*$CG40)*((SUMIF(ProductCodes,"C",$CI:$CI)-SUMIF(ProductCodes,"H",$CH:$CH)-SUMIF(ProductCodes,"R",$CH:$CH)-SUMIF(ProductCodes,"B",$CH:$CH)-(SUMIF(ProductCodes,"S",$CH:$CH)/2))/SUMIF(ProductCodes,"C",$CH:$CH)),IF($A40="S",(SUMIF(#REF!,CW$17,#REF!)*$CG40)/2,
IF($A40="B",(SUMIF(#REF!,CW$17,#REF!)*$CG40),
IF($A40="R",(SUMIF(#REF!,CW$17,#REF!)*$CG40),
IF($A40="H",(SUMIF(#REF!,CW$17,#REF!)*$CG40),"")))))),
IF(SUMIF(ProductCodes,"S",$CI:$CI)=$CI$775,(IF($A40="S",(SUMIF(#REF!,CW$17,#REF!)*$CG40)*((SUMIF(ProductCodes,"S",$CI:$CI)-SUMIF(ProductCodes,"H",$CH:$CH)-SUMIF(ProductCodes,"R",$CH:$CH)-SUMIF(ProductCodes,"B",$CH:$CH)-(SUMIF(ProductCodes,"C",$CH:$CH)/4))/SUMIF(ProductCodes,"S",$CH:$CH)),
IF($A40="C",(SUMIF(#REF!,CW$17,#REF!)*$CG40)/4,
IF($A40="B",(SUMIF(#REF!,CW$17,#REF!)*$CG40),
IF($A40="R",(SUMIF(#REF!,CW$17,#REF!)*$CG40),
IF($A40="H",(SUMIF(#REF!,CW$17,#REF!)*$CG40),"")))))),
IF($A40="C",(SUMIF(#REF!,CW$17,#REF!)*$CG40)*(SUMIF(ProductCodes,"C",$CI:$CI)/(SUMIF(ProductCodes,"C",$CH:$CH))),
IF($A40="S",(SUMIF(#REF!,CW$17,#REF!)*$CG40)*(SUMIF(ProductCodes,"S",$CI:$CI)/(SUMIF(ProductCodes,"S",$CH:$CH))),
IF($A40="B",(SUMIF(#REF!,CW$17,#REF!)*$CG40)*(SUMIF(ProductCodes,"B",$CI:$CI)/(SUMIF(ProductCodes,"B",$CH:$CH))),
IF($A40="R",(SUMIF(#REF!,CW$17,#REF!)*$CG40)*(SUMIF(ProductCodes,"R",$CI:$CI)/(SUMIF(ProductCodes,"R",$CH:$CH))),
IF($A40="H",(SUMIF(#REF!,CW$17,#REF!)*$CG40)*(SUMIF(ProductCodes,"H",$CI:$CI)/(SUMIF(ProductCodes,"H",$CH:$CH))),""))))))),"Error")</f>
        <v>Error</v>
      </c>
      <c r="CX40" s="84" t="str">
        <f>IFERROR(
IF(SUMIF(ProductCodes,"C",$CI:$CI)=$CI$775,(IF($A40="C",(SUMIF(#REF!,CX$17,#REF!)*$CG40)*((SUMIF(ProductCodes,"C",$CI:$CI)-SUMIF(ProductCodes,"H",$CH:$CH)-SUMIF(ProductCodes,"R",$CH:$CH)-SUMIF(ProductCodes,"B",$CH:$CH)-(SUMIF(ProductCodes,"S",$CH:$CH)/2))/SUMIF(ProductCodes,"C",$CH:$CH)),IF($A40="S",(SUMIF(#REF!,CX$17,#REF!)*$CG40)/2,
IF($A40="B",(SUMIF(#REF!,CX$17,#REF!)*$CG40),
IF($A40="R",(SUMIF(#REF!,CX$17,#REF!)*$CG40),
IF($A40="H",(SUMIF(#REF!,CX$17,#REF!)*$CG40),"")))))),
IF(SUMIF(ProductCodes,"S",$CI:$CI)=$CI$775,(IF($A40="S",(SUMIF(#REF!,CX$17,#REF!)*$CG40)*((SUMIF(ProductCodes,"S",$CI:$CI)-SUMIF(ProductCodes,"H",$CH:$CH)-SUMIF(ProductCodes,"R",$CH:$CH)-SUMIF(ProductCodes,"B",$CH:$CH)-(SUMIF(ProductCodes,"C",$CH:$CH)/4))/SUMIF(ProductCodes,"S",$CH:$CH)),
IF($A40="C",(SUMIF(#REF!,CX$17,#REF!)*$CG40)/4,
IF($A40="B",(SUMIF(#REF!,CX$17,#REF!)*$CG40),
IF($A40="R",(SUMIF(#REF!,CX$17,#REF!)*$CG40),
IF($A40="H",(SUMIF(#REF!,CX$17,#REF!)*$CG40),"")))))),
IF($A40="C",(SUMIF(#REF!,CX$17,#REF!)*$CG40)*(SUMIF(ProductCodes,"C",$CI:$CI)/(SUMIF(ProductCodes,"C",$CH:$CH))),
IF($A40="S",(SUMIF(#REF!,CX$17,#REF!)*$CG40)*(SUMIF(ProductCodes,"S",$CI:$CI)/(SUMIF(ProductCodes,"S",$CH:$CH))),
IF($A40="B",(SUMIF(#REF!,CX$17,#REF!)*$CG40)*(SUMIF(ProductCodes,"B",$CI:$CI)/(SUMIF(ProductCodes,"B",$CH:$CH))),
IF($A40="R",(SUMIF(#REF!,CX$17,#REF!)*$CG40)*(SUMIF(ProductCodes,"R",$CI:$CI)/(SUMIF(ProductCodes,"R",$CH:$CH))),
IF($A40="H",(SUMIF(#REF!,CX$17,#REF!)*$CG40)*(SUMIF(ProductCodes,"H",$CI:$CI)/(SUMIF(ProductCodes,"H",$CH:$CH))),""))))))),"Error")</f>
        <v>Error</v>
      </c>
      <c r="CY40" s="84" t="str">
        <f>IFERROR(
IF(SUMIF(ProductCodes,"C",$CI:$CI)=$CI$775,(IF($A40="C",(SUMIF(#REF!,CY$17,#REF!)*$CG40)*((SUMIF(ProductCodes,"C",$CI:$CI)-SUMIF(ProductCodes,"H",$CH:$CH)-SUMIF(ProductCodes,"R",$CH:$CH)-SUMIF(ProductCodes,"B",$CH:$CH)-(SUMIF(ProductCodes,"S",$CH:$CH)/2))/SUMIF(ProductCodes,"C",$CH:$CH)),IF($A40="S",(SUMIF(#REF!,CY$17,#REF!)*$CG40)/2,
IF($A40="B",(SUMIF(#REF!,CY$17,#REF!)*$CG40),
IF($A40="R",(SUMIF(#REF!,CY$17,#REF!)*$CG40),
IF($A40="H",(SUMIF(#REF!,CY$17,#REF!)*$CG40),"")))))),
IF(SUMIF(ProductCodes,"S",$CI:$CI)=$CI$775,(IF($A40="S",(SUMIF(#REF!,CY$17,#REF!)*$CG40)*((SUMIF(ProductCodes,"S",$CI:$CI)-SUMIF(ProductCodes,"H",$CH:$CH)-SUMIF(ProductCodes,"R",$CH:$CH)-SUMIF(ProductCodes,"B",$CH:$CH)-(SUMIF(ProductCodes,"C",$CH:$CH)/4))/SUMIF(ProductCodes,"S",$CH:$CH)),
IF($A40="C",(SUMIF(#REF!,CY$17,#REF!)*$CG40)/4,
IF($A40="B",(SUMIF(#REF!,CY$17,#REF!)*$CG40),
IF($A40="R",(SUMIF(#REF!,CY$17,#REF!)*$CG40),
IF($A40="H",(SUMIF(#REF!,CY$17,#REF!)*$CG40),"")))))),
IF($A40="C",(SUMIF(#REF!,CY$17,#REF!)*$CG40)*(SUMIF(ProductCodes,"C",$CI:$CI)/(SUMIF(ProductCodes,"C",$CH:$CH))),
IF($A40="S",(SUMIF(#REF!,CY$17,#REF!)*$CG40)*(SUMIF(ProductCodes,"S",$CI:$CI)/(SUMIF(ProductCodes,"S",$CH:$CH))),
IF($A40="B",(SUMIF(#REF!,CY$17,#REF!)*$CG40)*(SUMIF(ProductCodes,"B",$CI:$CI)/(SUMIF(ProductCodes,"B",$CH:$CH))),
IF($A40="R",(SUMIF(#REF!,CY$17,#REF!)*$CG40)*(SUMIF(ProductCodes,"R",$CI:$CI)/(SUMIF(ProductCodes,"R",$CH:$CH))),
IF($A40="H",(SUMIF(#REF!,CY$17,#REF!)*$CG40)*(SUMIF(ProductCodes,"H",$CI:$CI)/(SUMIF(ProductCodes,"H",$CH:$CH))),""))))))),"Error")</f>
        <v>Error</v>
      </c>
      <c r="CZ40" s="84" t="str">
        <f>IFERROR(
IF(SUMIF(ProductCodes,"C",$CI:$CI)=$CI$775,(IF($A40="C",(SUMIF(#REF!,CZ$17,#REF!)*$CG40)*((SUMIF(ProductCodes,"C",$CI:$CI)-SUMIF(ProductCodes,"H",$CH:$CH)-SUMIF(ProductCodes,"R",$CH:$CH)-SUMIF(ProductCodes,"B",$CH:$CH)-(SUMIF(ProductCodes,"S",$CH:$CH)/2))/SUMIF(ProductCodes,"C",$CH:$CH)),IF($A40="S",(SUMIF(#REF!,CZ$17,#REF!)*$CG40)/2,
IF($A40="B",(SUMIF(#REF!,CZ$17,#REF!)*$CG40),
IF($A40="R",(SUMIF(#REF!,CZ$17,#REF!)*$CG40),
IF($A40="H",(SUMIF(#REF!,CZ$17,#REF!)*$CG40),"")))))),
IF(SUMIF(ProductCodes,"S",$CI:$CI)=$CI$775,(IF($A40="S",(SUMIF(#REF!,CZ$17,#REF!)*$CG40)*((SUMIF(ProductCodes,"S",$CI:$CI)-SUMIF(ProductCodes,"H",$CH:$CH)-SUMIF(ProductCodes,"R",$CH:$CH)-SUMIF(ProductCodes,"B",$CH:$CH)-(SUMIF(ProductCodes,"C",$CH:$CH)/4))/SUMIF(ProductCodes,"S",$CH:$CH)),
IF($A40="C",(SUMIF(#REF!,CZ$17,#REF!)*$CG40)/4,
IF($A40="B",(SUMIF(#REF!,CZ$17,#REF!)*$CG40),
IF($A40="R",(SUMIF(#REF!,CZ$17,#REF!)*$CG40),
IF($A40="H",(SUMIF(#REF!,CZ$17,#REF!)*$CG40),"")))))),
IF($A40="C",(SUMIF(#REF!,CZ$17,#REF!)*$CG40)*(SUMIF(ProductCodes,"C",$CI:$CI)/(SUMIF(ProductCodes,"C",$CH:$CH))),
IF($A40="S",(SUMIF(#REF!,CZ$17,#REF!)*$CG40)*(SUMIF(ProductCodes,"S",$CI:$CI)/(SUMIF(ProductCodes,"S",$CH:$CH))),
IF($A40="B",(SUMIF(#REF!,CZ$17,#REF!)*$CG40)*(SUMIF(ProductCodes,"B",$CI:$CI)/(SUMIF(ProductCodes,"B",$CH:$CH))),
IF($A40="R",(SUMIF(#REF!,CZ$17,#REF!)*$CG40)*(SUMIF(ProductCodes,"R",$CI:$CI)/(SUMIF(ProductCodes,"R",$CH:$CH))),
IF($A40="H",(SUMIF(#REF!,CZ$17,#REF!)*$CG40)*(SUMIF(ProductCodes,"H",$CI:$CI)/(SUMIF(ProductCodes,"H",$CH:$CH))),""))))))),"Error")</f>
        <v>Error</v>
      </c>
      <c r="DA40" s="84" t="str">
        <f>IFERROR(
IF(SUMIF(ProductCodes,"C",$CI:$CI)=$CI$775,(IF($A40="C",(SUMIF(#REF!,DA$17,#REF!)*$CG40)*((SUMIF(ProductCodes,"C",$CI:$CI)-SUMIF(ProductCodes,"H",$CH:$CH)-SUMIF(ProductCodes,"R",$CH:$CH)-SUMIF(ProductCodes,"B",$CH:$CH)-(SUMIF(ProductCodes,"S",$CH:$CH)/2))/SUMIF(ProductCodes,"C",$CH:$CH)),IF($A40="S",(SUMIF(#REF!,DA$17,#REF!)*$CG40)/2,
IF($A40="B",(SUMIF(#REF!,DA$17,#REF!)*$CG40),
IF($A40="R",(SUMIF(#REF!,DA$17,#REF!)*$CG40),
IF($A40="H",(SUMIF(#REF!,DA$17,#REF!)*$CG40),"")))))),
IF(SUMIF(ProductCodes,"S",$CI:$CI)=$CI$775,(IF($A40="S",(SUMIF(#REF!,DA$17,#REF!)*$CG40)*((SUMIF(ProductCodes,"S",$CI:$CI)-SUMIF(ProductCodes,"H",$CH:$CH)-SUMIF(ProductCodes,"R",$CH:$CH)-SUMIF(ProductCodes,"B",$CH:$CH)-(SUMIF(ProductCodes,"C",$CH:$CH)/4))/SUMIF(ProductCodes,"S",$CH:$CH)),
IF($A40="C",(SUMIF(#REF!,DA$17,#REF!)*$CG40)/4,
IF($A40="B",(SUMIF(#REF!,DA$17,#REF!)*$CG40),
IF($A40="R",(SUMIF(#REF!,DA$17,#REF!)*$CG40),
IF($A40="H",(SUMIF(#REF!,DA$17,#REF!)*$CG40),"")))))),
IF($A40="C",(SUMIF(#REF!,DA$17,#REF!)*$CG40)*(SUMIF(ProductCodes,"C",$CI:$CI)/(SUMIF(ProductCodes,"C",$CH:$CH))),
IF($A40="S",(SUMIF(#REF!,DA$17,#REF!)*$CG40)*(SUMIF(ProductCodes,"S",$CI:$CI)/(SUMIF(ProductCodes,"S",$CH:$CH))),
IF($A40="B",(SUMIF(#REF!,DA$17,#REF!)*$CG40)*(SUMIF(ProductCodes,"B",$CI:$CI)/(SUMIF(ProductCodes,"B",$CH:$CH))),
IF($A40="R",(SUMIF(#REF!,DA$17,#REF!)*$CG40)*(SUMIF(ProductCodes,"R",$CI:$CI)/(SUMIF(ProductCodes,"R",$CH:$CH))),
IF($A40="H",(SUMIF(#REF!,DA$17,#REF!)*$CG40)*(SUMIF(ProductCodes,"H",$CI:$CI)/(SUMIF(ProductCodes,"H",$CH:$CH))),""))))))),"Error")</f>
        <v>Error</v>
      </c>
      <c r="DB40" s="84" t="str">
        <f>IFERROR(
IF(SUMIF(ProductCodes,"C",$CI:$CI)=$CI$775,(IF($A40="C",(SUMIF(#REF!,DB$17,#REF!)*$CG40)*((SUMIF(ProductCodes,"C",$CI:$CI)-SUMIF(ProductCodes,"H",$CH:$CH)-SUMIF(ProductCodes,"R",$CH:$CH)-SUMIF(ProductCodes,"B",$CH:$CH)-(SUMIF(ProductCodes,"S",$CH:$CH)/2))/SUMIF(ProductCodes,"C",$CH:$CH)),IF($A40="S",(SUMIF(#REF!,DB$17,#REF!)*$CG40)/2,
IF($A40="B",(SUMIF(#REF!,DB$17,#REF!)*$CG40),
IF($A40="R",(SUMIF(#REF!,DB$17,#REF!)*$CG40),
IF($A40="H",(SUMIF(#REF!,DB$17,#REF!)*$CG40),"")))))),
IF(SUMIF(ProductCodes,"S",$CI:$CI)=$CI$775,(IF($A40="S",(SUMIF(#REF!,DB$17,#REF!)*$CG40)*((SUMIF(ProductCodes,"S",$CI:$CI)-SUMIF(ProductCodes,"H",$CH:$CH)-SUMIF(ProductCodes,"R",$CH:$CH)-SUMIF(ProductCodes,"B",$CH:$CH)-(SUMIF(ProductCodes,"C",$CH:$CH)/4))/SUMIF(ProductCodes,"S",$CH:$CH)),
IF($A40="C",(SUMIF(#REF!,DB$17,#REF!)*$CG40)/4,
IF($A40="B",(SUMIF(#REF!,DB$17,#REF!)*$CG40),
IF($A40="R",(SUMIF(#REF!,DB$17,#REF!)*$CG40),
IF($A40="H",(SUMIF(#REF!,DB$17,#REF!)*$CG40),"")))))),
IF($A40="C",(SUMIF(#REF!,DB$17,#REF!)*$CG40)*(SUMIF(ProductCodes,"C",$CI:$CI)/(SUMIF(ProductCodes,"C",$CH:$CH))),
IF($A40="S",(SUMIF(#REF!,DB$17,#REF!)*$CG40)*(SUMIF(ProductCodes,"S",$CI:$CI)/(SUMIF(ProductCodes,"S",$CH:$CH))),
IF($A40="B",(SUMIF(#REF!,DB$17,#REF!)*$CG40)*(SUMIF(ProductCodes,"B",$CI:$CI)/(SUMIF(ProductCodes,"B",$CH:$CH))),
IF($A40="R",(SUMIF(#REF!,DB$17,#REF!)*$CG40)*(SUMIF(ProductCodes,"R",$CI:$CI)/(SUMIF(ProductCodes,"R",$CH:$CH))),
IF($A40="H",(SUMIF(#REF!,DB$17,#REF!)*$CG40)*(SUMIF(ProductCodes,"H",$CI:$CI)/(SUMIF(ProductCodes,"H",$CH:$CH))),""))))))),"Error")</f>
        <v>Error</v>
      </c>
      <c r="DC40" s="84" t="str">
        <f>IFERROR(
IF(SUMIF(ProductCodes,"C",$CI:$CI)=$CI$775,(IF($A40="C",(SUMIF(#REF!,DC$17,#REF!)*$CG40)*((SUMIF(ProductCodes,"C",$CI:$CI)-SUMIF(ProductCodes,"H",$CH:$CH)-SUMIF(ProductCodes,"R",$CH:$CH)-SUMIF(ProductCodes,"B",$CH:$CH)-(SUMIF(ProductCodes,"S",$CH:$CH)/2))/SUMIF(ProductCodes,"C",$CH:$CH)),IF($A40="S",(SUMIF(#REF!,DC$17,#REF!)*$CG40)/2,
IF($A40="B",(SUMIF(#REF!,DC$17,#REF!)*$CG40),
IF($A40="R",(SUMIF(#REF!,DC$17,#REF!)*$CG40),
IF($A40="H",(SUMIF(#REF!,DC$17,#REF!)*$CG40),"")))))),
IF(SUMIF(ProductCodes,"S",$CI:$CI)=$CI$775,(IF($A40="S",(SUMIF(#REF!,DC$17,#REF!)*$CG40)*((SUMIF(ProductCodes,"S",$CI:$CI)-SUMIF(ProductCodes,"H",$CH:$CH)-SUMIF(ProductCodes,"R",$CH:$CH)-SUMIF(ProductCodes,"B",$CH:$CH)-(SUMIF(ProductCodes,"C",$CH:$CH)/4))/SUMIF(ProductCodes,"S",$CH:$CH)),
IF($A40="C",(SUMIF(#REF!,DC$17,#REF!)*$CG40)/4,
IF($A40="B",(SUMIF(#REF!,DC$17,#REF!)*$CG40),
IF($A40="R",(SUMIF(#REF!,DC$17,#REF!)*$CG40),
IF($A40="H",(SUMIF(#REF!,DC$17,#REF!)*$CG40),"")))))),
IF($A40="C",(SUMIF(#REF!,DC$17,#REF!)*$CG40)*(SUMIF(ProductCodes,"C",$CI:$CI)/(SUMIF(ProductCodes,"C",$CH:$CH))),
IF($A40="S",(SUMIF(#REF!,DC$17,#REF!)*$CG40)*(SUMIF(ProductCodes,"S",$CI:$CI)/(SUMIF(ProductCodes,"S",$CH:$CH))),
IF($A40="B",(SUMIF(#REF!,DC$17,#REF!)*$CG40)*(SUMIF(ProductCodes,"B",$CI:$CI)/(SUMIF(ProductCodes,"B",$CH:$CH))),
IF($A40="R",(SUMIF(#REF!,DC$17,#REF!)*$CG40)*(SUMIF(ProductCodes,"R",$CI:$CI)/(SUMIF(ProductCodes,"R",$CH:$CH))),
IF($A40="H",(SUMIF(#REF!,DC$17,#REF!)*$CG40)*(SUMIF(ProductCodes,"H",$CI:$CI)/(SUMIF(ProductCodes,"H",$CH:$CH))),""))))))),"Error")</f>
        <v>Error</v>
      </c>
      <c r="DD40" s="84" t="str">
        <f>IFERROR(
IF(SUMIF(ProductCodes,"C",$CI:$CI)=$CI$775,(IF($A40="C",(SUMIF(#REF!,DD$17,#REF!)*$CG40)*((SUMIF(ProductCodes,"C",$CI:$CI)-SUMIF(ProductCodes,"H",$CH:$CH)-SUMIF(ProductCodes,"R",$CH:$CH)-SUMIF(ProductCodes,"B",$CH:$CH)-(SUMIF(ProductCodes,"S",$CH:$CH)/2))/SUMIF(ProductCodes,"C",$CH:$CH)),IF($A40="S",(SUMIF(#REF!,DD$17,#REF!)*$CG40)/2,
IF($A40="B",(SUMIF(#REF!,DD$17,#REF!)*$CG40),
IF($A40="R",(SUMIF(#REF!,DD$17,#REF!)*$CG40),
IF($A40="H",(SUMIF(#REF!,DD$17,#REF!)*$CG40),"")))))),
IF(SUMIF(ProductCodes,"S",$CI:$CI)=$CI$775,(IF($A40="S",(SUMIF(#REF!,DD$17,#REF!)*$CG40)*((SUMIF(ProductCodes,"S",$CI:$CI)-SUMIF(ProductCodes,"H",$CH:$CH)-SUMIF(ProductCodes,"R",$CH:$CH)-SUMIF(ProductCodes,"B",$CH:$CH)-(SUMIF(ProductCodes,"C",$CH:$CH)/4))/SUMIF(ProductCodes,"S",$CH:$CH)),
IF($A40="C",(SUMIF(#REF!,DD$17,#REF!)*$CG40)/4,
IF($A40="B",(SUMIF(#REF!,DD$17,#REF!)*$CG40),
IF($A40="R",(SUMIF(#REF!,DD$17,#REF!)*$CG40),
IF($A40="H",(SUMIF(#REF!,DD$17,#REF!)*$CG40),"")))))),
IF($A40="C",(SUMIF(#REF!,DD$17,#REF!)*$CG40)*(SUMIF(ProductCodes,"C",$CI:$CI)/(SUMIF(ProductCodes,"C",$CH:$CH))),
IF($A40="S",(SUMIF(#REF!,DD$17,#REF!)*$CG40)*(SUMIF(ProductCodes,"S",$CI:$CI)/(SUMIF(ProductCodes,"S",$CH:$CH))),
IF($A40="B",(SUMIF(#REF!,DD$17,#REF!)*$CG40)*(SUMIF(ProductCodes,"B",$CI:$CI)/(SUMIF(ProductCodes,"B",$CH:$CH))),
IF($A40="R",(SUMIF(#REF!,DD$17,#REF!)*$CG40)*(SUMIF(ProductCodes,"R",$CI:$CI)/(SUMIF(ProductCodes,"R",$CH:$CH))),
IF($A40="H",(SUMIF(#REF!,DD$17,#REF!)*$CG40)*(SUMIF(ProductCodes,"H",$CI:$CI)/(SUMIF(ProductCodes,"H",$CH:$CH))),""))))))),"Error")</f>
        <v>Error</v>
      </c>
      <c r="DE40" s="84" t="str">
        <f>IFERROR(
IF(SUMIF(ProductCodes,"C",$CI:$CI)=$CI$775,(IF($A40="C",(SUMIF(#REF!,DE$17,#REF!)*$CG40)*((SUMIF(ProductCodes,"C",$CI:$CI)-SUMIF(ProductCodes,"H",$CH:$CH)-SUMIF(ProductCodes,"R",$CH:$CH)-SUMIF(ProductCodes,"B",$CH:$CH)-(SUMIF(ProductCodes,"S",$CH:$CH)/2))/SUMIF(ProductCodes,"C",$CH:$CH)),IF($A40="S",(SUMIF(#REF!,DE$17,#REF!)*$CG40)/2,
IF($A40="B",(SUMIF(#REF!,DE$17,#REF!)*$CG40),
IF($A40="R",(SUMIF(#REF!,DE$17,#REF!)*$CG40),
IF($A40="H",(SUMIF(#REF!,DE$17,#REF!)*$CG40),"")))))),
IF(SUMIF(ProductCodes,"S",$CI:$CI)=$CI$775,(IF($A40="S",(SUMIF(#REF!,DE$17,#REF!)*$CG40)*((SUMIF(ProductCodes,"S",$CI:$CI)-SUMIF(ProductCodes,"H",$CH:$CH)-SUMIF(ProductCodes,"R",$CH:$CH)-SUMIF(ProductCodes,"B",$CH:$CH)-(SUMIF(ProductCodes,"C",$CH:$CH)/4))/SUMIF(ProductCodes,"S",$CH:$CH)),
IF($A40="C",(SUMIF(#REF!,DE$17,#REF!)*$CG40)/4,
IF($A40="B",(SUMIF(#REF!,DE$17,#REF!)*$CG40),
IF($A40="R",(SUMIF(#REF!,DE$17,#REF!)*$CG40),
IF($A40="H",(SUMIF(#REF!,DE$17,#REF!)*$CG40),"")))))),
IF($A40="C",(SUMIF(#REF!,DE$17,#REF!)*$CG40)*(SUMIF(ProductCodes,"C",$CI:$CI)/(SUMIF(ProductCodes,"C",$CH:$CH))),
IF($A40="S",(SUMIF(#REF!,DE$17,#REF!)*$CG40)*(SUMIF(ProductCodes,"S",$CI:$CI)/(SUMIF(ProductCodes,"S",$CH:$CH))),
IF($A40="B",(SUMIF(#REF!,DE$17,#REF!)*$CG40)*(SUMIF(ProductCodes,"B",$CI:$CI)/(SUMIF(ProductCodes,"B",$CH:$CH))),
IF($A40="R",(SUMIF(#REF!,DE$17,#REF!)*$CG40)*(SUMIF(ProductCodes,"R",$CI:$CI)/(SUMIF(ProductCodes,"R",$CH:$CH))),
IF($A40="H",(SUMIF(#REF!,DE$17,#REF!)*$CG40)*(SUMIF(ProductCodes,"H",$CI:$CI)/(SUMIF(ProductCodes,"H",$CH:$CH))),""))))))),"Error")</f>
        <v>Error</v>
      </c>
      <c r="DF40" s="84" t="str">
        <f>IFERROR(
IF(SUMIF(ProductCodes,"C",$CI:$CI)=$CI$775,(IF($A40="C",(SUMIF(#REF!,DF$17,#REF!)*$CG40)*((SUMIF(ProductCodes,"C",$CI:$CI)-SUMIF(ProductCodes,"H",$CH:$CH)-SUMIF(ProductCodes,"R",$CH:$CH)-SUMIF(ProductCodes,"B",$CH:$CH)-(SUMIF(ProductCodes,"S",$CH:$CH)/2))/SUMIF(ProductCodes,"C",$CH:$CH)),IF($A40="S",(SUMIF(#REF!,DF$17,#REF!)*$CG40)/2,
IF($A40="B",(SUMIF(#REF!,DF$17,#REF!)*$CG40),
IF($A40="R",(SUMIF(#REF!,DF$17,#REF!)*$CG40),
IF($A40="H",(SUMIF(#REF!,DF$17,#REF!)*$CG40),"")))))),
IF(SUMIF(ProductCodes,"S",$CI:$CI)=$CI$775,(IF($A40="S",(SUMIF(#REF!,DF$17,#REF!)*$CG40)*((SUMIF(ProductCodes,"S",$CI:$CI)-SUMIF(ProductCodes,"H",$CH:$CH)-SUMIF(ProductCodes,"R",$CH:$CH)-SUMIF(ProductCodes,"B",$CH:$CH)-(SUMIF(ProductCodes,"C",$CH:$CH)/4))/SUMIF(ProductCodes,"S",$CH:$CH)),
IF($A40="C",(SUMIF(#REF!,DF$17,#REF!)*$CG40)/4,
IF($A40="B",(SUMIF(#REF!,DF$17,#REF!)*$CG40),
IF($A40="R",(SUMIF(#REF!,DF$17,#REF!)*$CG40),
IF($A40="H",(SUMIF(#REF!,DF$17,#REF!)*$CG40),"")))))),
IF($A40="C",(SUMIF(#REF!,DF$17,#REF!)*$CG40)*(SUMIF(ProductCodes,"C",$CI:$CI)/(SUMIF(ProductCodes,"C",$CH:$CH))),
IF($A40="S",(SUMIF(#REF!,DF$17,#REF!)*$CG40)*(SUMIF(ProductCodes,"S",$CI:$CI)/(SUMIF(ProductCodes,"S",$CH:$CH))),
IF($A40="B",(SUMIF(#REF!,DF$17,#REF!)*$CG40)*(SUMIF(ProductCodes,"B",$CI:$CI)/(SUMIF(ProductCodes,"B",$CH:$CH))),
IF($A40="R",(SUMIF(#REF!,DF$17,#REF!)*$CG40)*(SUMIF(ProductCodes,"R",$CI:$CI)/(SUMIF(ProductCodes,"R",$CH:$CH))),
IF($A40="H",(SUMIF(#REF!,DF$17,#REF!)*$CG40)*(SUMIF(ProductCodes,"H",$CI:$CI)/(SUMIF(ProductCodes,"H",$CH:$CH))),""))))))),"Error")</f>
        <v>Error</v>
      </c>
      <c r="DG40" s="84" t="str">
        <f>IFERROR(
IF(SUMIF(ProductCodes,"C",$CI:$CI)=$CI$775,(IF($A40="C",(SUMIF(#REF!,DG$17,#REF!)*$CG40)*((SUMIF(ProductCodes,"C",$CI:$CI)-SUMIF(ProductCodes,"H",$CH:$CH)-SUMIF(ProductCodes,"R",$CH:$CH)-SUMIF(ProductCodes,"B",$CH:$CH)-(SUMIF(ProductCodes,"S",$CH:$CH)/2))/SUMIF(ProductCodes,"C",$CH:$CH)),IF($A40="S",(SUMIF(#REF!,DG$17,#REF!)*$CG40)/2,
IF($A40="B",(SUMIF(#REF!,DG$17,#REF!)*$CG40),
IF($A40="R",(SUMIF(#REF!,DG$17,#REF!)*$CG40),
IF($A40="H",(SUMIF(#REF!,DG$17,#REF!)*$CG40),"")))))),
IF(SUMIF(ProductCodes,"S",$CI:$CI)=$CI$775,(IF($A40="S",(SUMIF(#REF!,DG$17,#REF!)*$CG40)*((SUMIF(ProductCodes,"S",$CI:$CI)-SUMIF(ProductCodes,"H",$CH:$CH)-SUMIF(ProductCodes,"R",$CH:$CH)-SUMIF(ProductCodes,"B",$CH:$CH)-(SUMIF(ProductCodes,"C",$CH:$CH)/4))/SUMIF(ProductCodes,"S",$CH:$CH)),
IF($A40="C",(SUMIF(#REF!,DG$17,#REF!)*$CG40)/4,
IF($A40="B",(SUMIF(#REF!,DG$17,#REF!)*$CG40),
IF($A40="R",(SUMIF(#REF!,DG$17,#REF!)*$CG40),
IF($A40="H",(SUMIF(#REF!,DG$17,#REF!)*$CG40),"")))))),
IF($A40="C",(SUMIF(#REF!,DG$17,#REF!)*$CG40)*(SUMIF(ProductCodes,"C",$CI:$CI)/(SUMIF(ProductCodes,"C",$CH:$CH))),
IF($A40="S",(SUMIF(#REF!,DG$17,#REF!)*$CG40)*(SUMIF(ProductCodes,"S",$CI:$CI)/(SUMIF(ProductCodes,"S",$CH:$CH))),
IF($A40="B",(SUMIF(#REF!,DG$17,#REF!)*$CG40)*(SUMIF(ProductCodes,"B",$CI:$CI)/(SUMIF(ProductCodes,"B",$CH:$CH))),
IF($A40="R",(SUMIF(#REF!,DG$17,#REF!)*$CG40)*(SUMIF(ProductCodes,"R",$CI:$CI)/(SUMIF(ProductCodes,"R",$CH:$CH))),
IF($A40="H",(SUMIF(#REF!,DG$17,#REF!)*$CG40)*(SUMIF(ProductCodes,"H",$CI:$CI)/(SUMIF(ProductCodes,"H",$CH:$CH))),""))))))),"Error")</f>
        <v>Error</v>
      </c>
      <c r="DH40" s="84" t="str">
        <f>IFERROR(
IF(SUMIF(ProductCodes,"C",$CI:$CI)=$CI$775,(IF($A40="C",(SUMIF(#REF!,DH$17,#REF!)*$CG40)*((SUMIF(ProductCodes,"C",$CI:$CI)-SUMIF(ProductCodes,"H",$CH:$CH)-SUMIF(ProductCodes,"R",$CH:$CH)-SUMIF(ProductCodes,"B",$CH:$CH)-(SUMIF(ProductCodes,"S",$CH:$CH)/2))/SUMIF(ProductCodes,"C",$CH:$CH)),IF($A40="S",(SUMIF(#REF!,DH$17,#REF!)*$CG40)/2,
IF($A40="B",(SUMIF(#REF!,DH$17,#REF!)*$CG40),
IF($A40="R",(SUMIF(#REF!,DH$17,#REF!)*$CG40),
IF($A40="H",(SUMIF(#REF!,DH$17,#REF!)*$CG40),"")))))),
IF(SUMIF(ProductCodes,"S",$CI:$CI)=$CI$775,(IF($A40="S",(SUMIF(#REF!,DH$17,#REF!)*$CG40)*((SUMIF(ProductCodes,"S",$CI:$CI)-SUMIF(ProductCodes,"H",$CH:$CH)-SUMIF(ProductCodes,"R",$CH:$CH)-SUMIF(ProductCodes,"B",$CH:$CH)-(SUMIF(ProductCodes,"C",$CH:$CH)/4))/SUMIF(ProductCodes,"S",$CH:$CH)),
IF($A40="C",(SUMIF(#REF!,DH$17,#REF!)*$CG40)/4,
IF($A40="B",(SUMIF(#REF!,DH$17,#REF!)*$CG40),
IF($A40="R",(SUMIF(#REF!,DH$17,#REF!)*$CG40),
IF($A40="H",(SUMIF(#REF!,DH$17,#REF!)*$CG40),"")))))),
IF($A40="C",(SUMIF(#REF!,DH$17,#REF!)*$CG40)*(SUMIF(ProductCodes,"C",$CI:$CI)/(SUMIF(ProductCodes,"C",$CH:$CH))),
IF($A40="S",(SUMIF(#REF!,DH$17,#REF!)*$CG40)*(SUMIF(ProductCodes,"S",$CI:$CI)/(SUMIF(ProductCodes,"S",$CH:$CH))),
IF($A40="B",(SUMIF(#REF!,DH$17,#REF!)*$CG40)*(SUMIF(ProductCodes,"B",$CI:$CI)/(SUMIF(ProductCodes,"B",$CH:$CH))),
IF($A40="R",(SUMIF(#REF!,DH$17,#REF!)*$CG40)*(SUMIF(ProductCodes,"R",$CI:$CI)/(SUMIF(ProductCodes,"R",$CH:$CH))),
IF($A40="H",(SUMIF(#REF!,DH$17,#REF!)*$CG40)*(SUMIF(ProductCodes,"H",$CI:$CI)/(SUMIF(ProductCodes,"H",$CH:$CH))),""))))))),"Error")</f>
        <v>Error</v>
      </c>
      <c r="DI40" s="84" t="str">
        <f>IFERROR(
IF(SUMIF(ProductCodes,"C",$CI:$CI)=$CI$775,(IF($A40="C",(SUMIF(#REF!,DI$17,#REF!)*$CG40)*((SUMIF(ProductCodes,"C",$CI:$CI)-SUMIF(ProductCodes,"H",$CH:$CH)-SUMIF(ProductCodes,"R",$CH:$CH)-SUMIF(ProductCodes,"B",$CH:$CH)-(SUMIF(ProductCodes,"S",$CH:$CH)/2))/SUMIF(ProductCodes,"C",$CH:$CH)),IF($A40="S",(SUMIF(#REF!,DI$17,#REF!)*$CG40)/2,
IF($A40="B",(SUMIF(#REF!,DI$17,#REF!)*$CG40),
IF($A40="R",(SUMIF(#REF!,DI$17,#REF!)*$CG40),
IF($A40="H",(SUMIF(#REF!,DI$17,#REF!)*$CG40),"")))))),
IF(SUMIF(ProductCodes,"S",$CI:$CI)=$CI$775,(IF($A40="S",(SUMIF(#REF!,DI$17,#REF!)*$CG40)*((SUMIF(ProductCodes,"S",$CI:$CI)-SUMIF(ProductCodes,"H",$CH:$CH)-SUMIF(ProductCodes,"R",$CH:$CH)-SUMIF(ProductCodes,"B",$CH:$CH)-(SUMIF(ProductCodes,"C",$CH:$CH)/4))/SUMIF(ProductCodes,"S",$CH:$CH)),
IF($A40="C",(SUMIF(#REF!,DI$17,#REF!)*$CG40)/4,
IF($A40="B",(SUMIF(#REF!,DI$17,#REF!)*$CG40),
IF($A40="R",(SUMIF(#REF!,DI$17,#REF!)*$CG40),
IF($A40="H",(SUMIF(#REF!,DI$17,#REF!)*$CG40),"")))))),
IF($A40="C",(SUMIF(#REF!,DI$17,#REF!)*$CG40)*(SUMIF(ProductCodes,"C",$CI:$CI)/(SUMIF(ProductCodes,"C",$CH:$CH))),
IF($A40="S",(SUMIF(#REF!,DI$17,#REF!)*$CG40)*(SUMIF(ProductCodes,"S",$CI:$CI)/(SUMIF(ProductCodes,"S",$CH:$CH))),
IF($A40="B",(SUMIF(#REF!,DI$17,#REF!)*$CG40)*(SUMIF(ProductCodes,"B",$CI:$CI)/(SUMIF(ProductCodes,"B",$CH:$CH))),
IF($A40="R",(SUMIF(#REF!,DI$17,#REF!)*$CG40)*(SUMIF(ProductCodes,"R",$CI:$CI)/(SUMIF(ProductCodes,"R",$CH:$CH))),
IF($A40="H",(SUMIF(#REF!,DI$17,#REF!)*$CG40)*(SUMIF(ProductCodes,"H",$CI:$CI)/(SUMIF(ProductCodes,"H",$CH:$CH))),""))))))),"Error")</f>
        <v>Error</v>
      </c>
      <c r="DJ40" s="84" t="str">
        <f>IFERROR(
IF(SUMIF(ProductCodes,"C",$CI:$CI)=$CI$775,(IF($A40="C",(SUMIF(#REF!,DJ$17,#REF!)*$CG40)*((SUMIF(ProductCodes,"C",$CI:$CI)-SUMIF(ProductCodes,"H",$CH:$CH)-SUMIF(ProductCodes,"R",$CH:$CH)-SUMIF(ProductCodes,"B",$CH:$CH)-(SUMIF(ProductCodes,"S",$CH:$CH)/2))/SUMIF(ProductCodes,"C",$CH:$CH)),IF($A40="S",(SUMIF(#REF!,DJ$17,#REF!)*$CG40)/2,
IF($A40="B",(SUMIF(#REF!,DJ$17,#REF!)*$CG40),
IF($A40="R",(SUMIF(#REF!,DJ$17,#REF!)*$CG40),
IF($A40="H",(SUMIF(#REF!,DJ$17,#REF!)*$CG40),"")))))),
IF(SUMIF(ProductCodes,"S",$CI:$CI)=$CI$775,(IF($A40="S",(SUMIF(#REF!,DJ$17,#REF!)*$CG40)*((SUMIF(ProductCodes,"S",$CI:$CI)-SUMIF(ProductCodes,"H",$CH:$CH)-SUMIF(ProductCodes,"R",$CH:$CH)-SUMIF(ProductCodes,"B",$CH:$CH)-(SUMIF(ProductCodes,"C",$CH:$CH)/4))/SUMIF(ProductCodes,"S",$CH:$CH)),
IF($A40="C",(SUMIF(#REF!,DJ$17,#REF!)*$CG40)/4,
IF($A40="B",(SUMIF(#REF!,DJ$17,#REF!)*$CG40),
IF($A40="R",(SUMIF(#REF!,DJ$17,#REF!)*$CG40),
IF($A40="H",(SUMIF(#REF!,DJ$17,#REF!)*$CG40),"")))))),
IF($A40="C",(SUMIF(#REF!,DJ$17,#REF!)*$CG40)*(SUMIF(ProductCodes,"C",$CI:$CI)/(SUMIF(ProductCodes,"C",$CH:$CH))),
IF($A40="S",(SUMIF(#REF!,DJ$17,#REF!)*$CG40)*(SUMIF(ProductCodes,"S",$CI:$CI)/(SUMIF(ProductCodes,"S",$CH:$CH))),
IF($A40="B",(SUMIF(#REF!,DJ$17,#REF!)*$CG40)*(SUMIF(ProductCodes,"B",$CI:$CI)/(SUMIF(ProductCodes,"B",$CH:$CH))),
IF($A40="R",(SUMIF(#REF!,DJ$17,#REF!)*$CG40)*(SUMIF(ProductCodes,"R",$CI:$CI)/(SUMIF(ProductCodes,"R",$CH:$CH))),
IF($A40="H",(SUMIF(#REF!,DJ$17,#REF!)*$CG40)*(SUMIF(ProductCodes,"H",$CI:$CI)/(SUMIF(ProductCodes,"H",$CH:$CH))),""))))))),"Error")</f>
        <v>Error</v>
      </c>
      <c r="DK40" s="84" t="str">
        <f>IFERROR(
IF(SUMIF(ProductCodes,"C",$CI:$CI)=$CI$775,(IF($A40="C",(SUMIF(#REF!,DK$17,#REF!)*$CG40)*((SUMIF(ProductCodes,"C",$CI:$CI)-SUMIF(ProductCodes,"H",$CH:$CH)-SUMIF(ProductCodes,"R",$CH:$CH)-SUMIF(ProductCodes,"B",$CH:$CH)-(SUMIF(ProductCodes,"S",$CH:$CH)/2))/SUMIF(ProductCodes,"C",$CH:$CH)),IF($A40="S",(SUMIF(#REF!,DK$17,#REF!)*$CG40)/2,
IF($A40="B",(SUMIF(#REF!,DK$17,#REF!)*$CG40),
IF($A40="R",(SUMIF(#REF!,DK$17,#REF!)*$CG40),
IF($A40="H",(SUMIF(#REF!,DK$17,#REF!)*$CG40),"")))))),
IF(SUMIF(ProductCodes,"S",$CI:$CI)=$CI$775,(IF($A40="S",(SUMIF(#REF!,DK$17,#REF!)*$CG40)*((SUMIF(ProductCodes,"S",$CI:$CI)-SUMIF(ProductCodes,"H",$CH:$CH)-SUMIF(ProductCodes,"R",$CH:$CH)-SUMIF(ProductCodes,"B",$CH:$CH)-(SUMIF(ProductCodes,"C",$CH:$CH)/4))/SUMIF(ProductCodes,"S",$CH:$CH)),
IF($A40="C",(SUMIF(#REF!,DK$17,#REF!)*$CG40)/4,
IF($A40="B",(SUMIF(#REF!,DK$17,#REF!)*$CG40),
IF($A40="R",(SUMIF(#REF!,DK$17,#REF!)*$CG40),
IF($A40="H",(SUMIF(#REF!,DK$17,#REF!)*$CG40),"")))))),
IF($A40="C",(SUMIF(#REF!,DK$17,#REF!)*$CG40)*(SUMIF(ProductCodes,"C",$CI:$CI)/(SUMIF(ProductCodes,"C",$CH:$CH))),
IF($A40="S",(SUMIF(#REF!,DK$17,#REF!)*$CG40)*(SUMIF(ProductCodes,"S",$CI:$CI)/(SUMIF(ProductCodes,"S",$CH:$CH))),
IF($A40="B",(SUMIF(#REF!,DK$17,#REF!)*$CG40)*(SUMIF(ProductCodes,"B",$CI:$CI)/(SUMIF(ProductCodes,"B",$CH:$CH))),
IF($A40="R",(SUMIF(#REF!,DK$17,#REF!)*$CG40)*(SUMIF(ProductCodes,"R",$CI:$CI)/(SUMIF(ProductCodes,"R",$CH:$CH))),
IF($A40="H",(SUMIF(#REF!,DK$17,#REF!)*$CG40)*(SUMIF(ProductCodes,"H",$CI:$CI)/(SUMIF(ProductCodes,"H",$CH:$CH))),""))))))),"Error")</f>
        <v>Error</v>
      </c>
      <c r="DL40" s="84" t="str">
        <f>IFERROR(
IF(SUMIF(ProductCodes,"C",$CI:$CI)=$CI$775,(IF($A40="C",(SUMIF(#REF!,DL$17,#REF!)*$CG40)*((SUMIF(ProductCodes,"C",$CI:$CI)-SUMIF(ProductCodes,"H",$CH:$CH)-SUMIF(ProductCodes,"R",$CH:$CH)-SUMIF(ProductCodes,"B",$CH:$CH)-(SUMIF(ProductCodes,"S",$CH:$CH)/2))/SUMIF(ProductCodes,"C",$CH:$CH)),IF($A40="S",(SUMIF(#REF!,DL$17,#REF!)*$CG40)/2,
IF($A40="B",(SUMIF(#REF!,DL$17,#REF!)*$CG40),
IF($A40="R",(SUMIF(#REF!,DL$17,#REF!)*$CG40),
IF($A40="H",(SUMIF(#REF!,DL$17,#REF!)*$CG40),"")))))),
IF(SUMIF(ProductCodes,"S",$CI:$CI)=$CI$775,(IF($A40="S",(SUMIF(#REF!,DL$17,#REF!)*$CG40)*((SUMIF(ProductCodes,"S",$CI:$CI)-SUMIF(ProductCodes,"H",$CH:$CH)-SUMIF(ProductCodes,"R",$CH:$CH)-SUMIF(ProductCodes,"B",$CH:$CH)-(SUMIF(ProductCodes,"C",$CH:$CH)/4))/SUMIF(ProductCodes,"S",$CH:$CH)),
IF($A40="C",(SUMIF(#REF!,DL$17,#REF!)*$CG40)/4,
IF($A40="B",(SUMIF(#REF!,DL$17,#REF!)*$CG40),
IF($A40="R",(SUMIF(#REF!,DL$17,#REF!)*$CG40),
IF($A40="H",(SUMIF(#REF!,DL$17,#REF!)*$CG40),"")))))),
IF($A40="C",(SUMIF(#REF!,DL$17,#REF!)*$CG40)*(SUMIF(ProductCodes,"C",$CI:$CI)/(SUMIF(ProductCodes,"C",$CH:$CH))),
IF($A40="S",(SUMIF(#REF!,DL$17,#REF!)*$CG40)*(SUMIF(ProductCodes,"S",$CI:$CI)/(SUMIF(ProductCodes,"S",$CH:$CH))),
IF($A40="B",(SUMIF(#REF!,DL$17,#REF!)*$CG40)*(SUMIF(ProductCodes,"B",$CI:$CI)/(SUMIF(ProductCodes,"B",$CH:$CH))),
IF($A40="R",(SUMIF(#REF!,DL$17,#REF!)*$CG40)*(SUMIF(ProductCodes,"R",$CI:$CI)/(SUMIF(ProductCodes,"R",$CH:$CH))),
IF($A40="H",(SUMIF(#REF!,DL$17,#REF!)*$CG40)*(SUMIF(ProductCodes,"H",$CI:$CI)/(SUMIF(ProductCodes,"H",$CH:$CH))),""))))))),"Error")</f>
        <v>Error</v>
      </c>
      <c r="DM40" s="84" t="str">
        <f>IFERROR(
IF(SUMIF(ProductCodes,"C",$CI:$CI)=$CI$775,(IF($A40="C",(SUMIF(#REF!,DM$17,#REF!)*$CG40)*((SUMIF(ProductCodes,"C",$CI:$CI)-SUMIF(ProductCodes,"H",$CH:$CH)-SUMIF(ProductCodes,"R",$CH:$CH)-SUMIF(ProductCodes,"B",$CH:$CH)-(SUMIF(ProductCodes,"S",$CH:$CH)/2))/SUMIF(ProductCodes,"C",$CH:$CH)),IF($A40="S",(SUMIF(#REF!,DM$17,#REF!)*$CG40)/2,
IF($A40="B",(SUMIF(#REF!,DM$17,#REF!)*$CG40),
IF($A40="R",(SUMIF(#REF!,DM$17,#REF!)*$CG40),
IF($A40="H",(SUMIF(#REF!,DM$17,#REF!)*$CG40),"")))))),
IF(SUMIF(ProductCodes,"S",$CI:$CI)=$CI$775,(IF($A40="S",(SUMIF(#REF!,DM$17,#REF!)*$CG40)*((SUMIF(ProductCodes,"S",$CI:$CI)-SUMIF(ProductCodes,"H",$CH:$CH)-SUMIF(ProductCodes,"R",$CH:$CH)-SUMIF(ProductCodes,"B",$CH:$CH)-(SUMIF(ProductCodes,"C",$CH:$CH)/4))/SUMIF(ProductCodes,"S",$CH:$CH)),
IF($A40="C",(SUMIF(#REF!,DM$17,#REF!)*$CG40)/4,
IF($A40="B",(SUMIF(#REF!,DM$17,#REF!)*$CG40),
IF($A40="R",(SUMIF(#REF!,DM$17,#REF!)*$CG40),
IF($A40="H",(SUMIF(#REF!,DM$17,#REF!)*$CG40),"")))))),
IF($A40="C",(SUMIF(#REF!,DM$17,#REF!)*$CG40)*(SUMIF(ProductCodes,"C",$CI:$CI)/(SUMIF(ProductCodes,"C",$CH:$CH))),
IF($A40="S",(SUMIF(#REF!,DM$17,#REF!)*$CG40)*(SUMIF(ProductCodes,"S",$CI:$CI)/(SUMIF(ProductCodes,"S",$CH:$CH))),
IF($A40="B",(SUMIF(#REF!,DM$17,#REF!)*$CG40)*(SUMIF(ProductCodes,"B",$CI:$CI)/(SUMIF(ProductCodes,"B",$CH:$CH))),
IF($A40="R",(SUMIF(#REF!,DM$17,#REF!)*$CG40)*(SUMIF(ProductCodes,"R",$CI:$CI)/(SUMIF(ProductCodes,"R",$CH:$CH))),
IF($A40="H",(SUMIF(#REF!,DM$17,#REF!)*$CG40)*(SUMIF(ProductCodes,"H",$CI:$CI)/(SUMIF(ProductCodes,"H",$CH:$CH))),""))))))),"Error")</f>
        <v>Error</v>
      </c>
      <c r="DN40" s="84" t="str">
        <f>IFERROR(
IF(SUMIF(ProductCodes,"C",$CI:$CI)=$CI$775,(IF($A40="C",(SUMIF(#REF!,DN$17,#REF!)*$CG40)*((SUMIF(ProductCodes,"C",$CI:$CI)-SUMIF(ProductCodes,"H",$CH:$CH)-SUMIF(ProductCodes,"R",$CH:$CH)-SUMIF(ProductCodes,"B",$CH:$CH)-(SUMIF(ProductCodes,"S",$CH:$CH)/2))/SUMIF(ProductCodes,"C",$CH:$CH)),IF($A40="S",(SUMIF(#REF!,DN$17,#REF!)*$CG40)/2,
IF($A40="B",(SUMIF(#REF!,DN$17,#REF!)*$CG40),
IF($A40="R",(SUMIF(#REF!,DN$17,#REF!)*$CG40),
IF($A40="H",(SUMIF(#REF!,DN$17,#REF!)*$CG40),"")))))),
IF(SUMIF(ProductCodes,"S",$CI:$CI)=$CI$775,(IF($A40="S",(SUMIF(#REF!,DN$17,#REF!)*$CG40)*((SUMIF(ProductCodes,"S",$CI:$CI)-SUMIF(ProductCodes,"H",$CH:$CH)-SUMIF(ProductCodes,"R",$CH:$CH)-SUMIF(ProductCodes,"B",$CH:$CH)-(SUMIF(ProductCodes,"C",$CH:$CH)/4))/SUMIF(ProductCodes,"S",$CH:$CH)),
IF($A40="C",(SUMIF(#REF!,DN$17,#REF!)*$CG40)/4,
IF($A40="B",(SUMIF(#REF!,DN$17,#REF!)*$CG40),
IF($A40="R",(SUMIF(#REF!,DN$17,#REF!)*$CG40),
IF($A40="H",(SUMIF(#REF!,DN$17,#REF!)*$CG40),"")))))),
IF($A40="C",(SUMIF(#REF!,DN$17,#REF!)*$CG40)*(SUMIF(ProductCodes,"C",$CI:$CI)/(SUMIF(ProductCodes,"C",$CH:$CH))),
IF($A40="S",(SUMIF(#REF!,DN$17,#REF!)*$CG40)*(SUMIF(ProductCodes,"S",$CI:$CI)/(SUMIF(ProductCodes,"S",$CH:$CH))),
IF($A40="B",(SUMIF(#REF!,DN$17,#REF!)*$CG40)*(SUMIF(ProductCodes,"B",$CI:$CI)/(SUMIF(ProductCodes,"B",$CH:$CH))),
IF($A40="R",(SUMIF(#REF!,DN$17,#REF!)*$CG40)*(SUMIF(ProductCodes,"R",$CI:$CI)/(SUMIF(ProductCodes,"R",$CH:$CH))),
IF($A40="H",(SUMIF(#REF!,DN$17,#REF!)*$CG40)*(SUMIF(ProductCodes,"H",$CI:$CI)/(SUMIF(ProductCodes,"H",$CH:$CH))),""))))))),"Error")</f>
        <v>Error</v>
      </c>
      <c r="DO40" s="84" t="str">
        <f>IFERROR(
IF(SUMIF(ProductCodes,"C",$CI:$CI)=$CI$775,(IF($A40="C",(SUMIF(#REF!,DO$17,#REF!)*$CG40)*((SUMIF(ProductCodes,"C",$CI:$CI)-SUMIF(ProductCodes,"H",$CH:$CH)-SUMIF(ProductCodes,"R",$CH:$CH)-SUMIF(ProductCodes,"B",$CH:$CH)-(SUMIF(ProductCodes,"S",$CH:$CH)/2))/SUMIF(ProductCodes,"C",$CH:$CH)),IF($A40="S",(SUMIF(#REF!,DO$17,#REF!)*$CG40)/2,
IF($A40="B",(SUMIF(#REF!,DO$17,#REF!)*$CG40),
IF($A40="R",(SUMIF(#REF!,DO$17,#REF!)*$CG40),
IF($A40="H",(SUMIF(#REF!,DO$17,#REF!)*$CG40),"")))))),
IF(SUMIF(ProductCodes,"S",$CI:$CI)=$CI$775,(IF($A40="S",(SUMIF(#REF!,DO$17,#REF!)*$CG40)*((SUMIF(ProductCodes,"S",$CI:$CI)-SUMIF(ProductCodes,"H",$CH:$CH)-SUMIF(ProductCodes,"R",$CH:$CH)-SUMIF(ProductCodes,"B",$CH:$CH)-(SUMIF(ProductCodes,"C",$CH:$CH)/4))/SUMIF(ProductCodes,"S",$CH:$CH)),
IF($A40="C",(SUMIF(#REF!,DO$17,#REF!)*$CG40)/4,
IF($A40="B",(SUMIF(#REF!,DO$17,#REF!)*$CG40),
IF($A40="R",(SUMIF(#REF!,DO$17,#REF!)*$CG40),
IF($A40="H",(SUMIF(#REF!,DO$17,#REF!)*$CG40),"")))))),
IF($A40="C",(SUMIF(#REF!,DO$17,#REF!)*$CG40)*(SUMIF(ProductCodes,"C",$CI:$CI)/(SUMIF(ProductCodes,"C",$CH:$CH))),
IF($A40="S",(SUMIF(#REF!,DO$17,#REF!)*$CG40)*(SUMIF(ProductCodes,"S",$CI:$CI)/(SUMIF(ProductCodes,"S",$CH:$CH))),
IF($A40="B",(SUMIF(#REF!,DO$17,#REF!)*$CG40)*(SUMIF(ProductCodes,"B",$CI:$CI)/(SUMIF(ProductCodes,"B",$CH:$CH))),
IF($A40="R",(SUMIF(#REF!,DO$17,#REF!)*$CG40)*(SUMIF(ProductCodes,"R",$CI:$CI)/(SUMIF(ProductCodes,"R",$CH:$CH))),
IF($A40="H",(SUMIF(#REF!,DO$17,#REF!)*$CG40)*(SUMIF(ProductCodes,"H",$CI:$CI)/(SUMIF(ProductCodes,"H",$CH:$CH))),""))))))),"Error")</f>
        <v>Error</v>
      </c>
      <c r="DP40" s="85" t="str">
        <f>IFERROR(
IF(SUMIF(ProductCodes,"C",$CI:$CI)=$CI$775,(IF($A40="C",(SUMIF(#REF!,DP$17,#REF!)*$CG40)*((SUMIF(ProductCodes,"C",$CI:$CI)-SUMIF(ProductCodes,"H",$CH:$CH)-SUMIF(ProductCodes,"R",$CH:$CH)-SUMIF(ProductCodes,"B",$CH:$CH)-(SUMIF(ProductCodes,"S",$CH:$CH)/2))/SUMIF(ProductCodes,"C",$CH:$CH)),IF($A40="S",(SUMIF(#REF!,DP$17,#REF!)*$CG40)/2,
IF($A40="B",(SUMIF(#REF!,DP$17,#REF!)*$CG40),
IF($A40="R",(SUMIF(#REF!,DP$17,#REF!)*$CG40),
IF($A40="H",(SUMIF(#REF!,DP$17,#REF!)*$CG40),"")))))),
IF(SUMIF(ProductCodes,"S",$CI:$CI)=$CI$775,(IF($A40="S",(SUMIF(#REF!,DP$17,#REF!)*$CG40)*((SUMIF(ProductCodes,"S",$CI:$CI)-SUMIF(ProductCodes,"H",$CH:$CH)-SUMIF(ProductCodes,"R",$CH:$CH)-SUMIF(ProductCodes,"B",$CH:$CH)-(SUMIF(ProductCodes,"C",$CH:$CH)/4))/SUMIF(ProductCodes,"S",$CH:$CH)),
IF($A40="C",(SUMIF(#REF!,DP$17,#REF!)*$CG40)/4,
IF($A40="B",(SUMIF(#REF!,DP$17,#REF!)*$CG40),
IF($A40="R",(SUMIF(#REF!,DP$17,#REF!)*$CG40),
IF($A40="H",(SUMIF(#REF!,DP$17,#REF!)*$CG40),"")))))),
IF($A40="C",(SUMIF(#REF!,DP$17,#REF!)*$CG40)*(SUMIF(ProductCodes,"C",$CI:$CI)/(SUMIF(ProductCodes,"C",$CH:$CH))),
IF($A40="S",(SUMIF(#REF!,DP$17,#REF!)*$CG40)*(SUMIF(ProductCodes,"S",$CI:$CI)/(SUMIF(ProductCodes,"S",$CH:$CH))),
IF($A40="B",(SUMIF(#REF!,DP$17,#REF!)*$CG40)*(SUMIF(ProductCodes,"B",$CI:$CI)/(SUMIF(ProductCodes,"B",$CH:$CH))),
IF($A40="R",(SUMIF(#REF!,DP$17,#REF!)*$CG40)*(SUMIF(ProductCodes,"R",$CI:$CI)/(SUMIF(ProductCodes,"R",$CH:$CH))),
IF($A40="H",(SUMIF(#REF!,DP$17,#REF!)*$CG40)*(SUMIF(ProductCodes,"H",$CI:$CI)/(SUMIF(ProductCodes,"H",$CH:$CH))),""))))))),"Error")</f>
        <v>Error</v>
      </c>
      <c r="DQ40" s="9"/>
      <c r="DR40" s="9"/>
      <c r="DS40"/>
      <c r="DT40"/>
      <c r="DU40"/>
      <c r="DV40"/>
      <c r="DW40"/>
      <c r="DX40"/>
      <c r="DY40"/>
      <c r="DZ40"/>
      <c r="EA40"/>
      <c r="EB40"/>
      <c r="EC40"/>
      <c r="ED40"/>
    </row>
    <row r="41" spans="1:135" s="86" customFormat="1" ht="61.5" customHeight="1" thickBot="1" x14ac:dyDescent="0.4">
      <c r="A41" s="112" t="s">
        <v>43</v>
      </c>
      <c r="B41" s="232" t="s">
        <v>90</v>
      </c>
      <c r="C41" s="233" t="s">
        <v>44</v>
      </c>
      <c r="D41" s="234" t="s">
        <v>45</v>
      </c>
      <c r="E41" s="96"/>
      <c r="F41" s="96"/>
      <c r="G41" s="99"/>
      <c r="H41" s="97"/>
      <c r="I41" s="95"/>
      <c r="J41" s="96"/>
      <c r="K41" s="96"/>
      <c r="L41" s="97"/>
      <c r="M41" s="98"/>
      <c r="N41" s="96"/>
      <c r="O41" s="96"/>
      <c r="P41" s="99"/>
      <c r="Q41" s="98"/>
      <c r="R41" s="96"/>
      <c r="S41" s="96"/>
      <c r="T41" s="99"/>
      <c r="U41" s="97"/>
      <c r="V41" s="98"/>
      <c r="W41" s="96"/>
      <c r="X41" s="96"/>
      <c r="Y41" s="97"/>
      <c r="Z41" s="98"/>
      <c r="AA41" s="96"/>
      <c r="AB41" s="96"/>
      <c r="AC41" s="96"/>
      <c r="AD41" s="291">
        <v>15</v>
      </c>
      <c r="AE41" s="292"/>
      <c r="AF41" s="292"/>
      <c r="AG41" s="292"/>
      <c r="AH41" s="293"/>
      <c r="AI41" s="294">
        <v>10</v>
      </c>
      <c r="AJ41" s="292"/>
      <c r="AK41" s="292"/>
      <c r="AL41" s="293"/>
      <c r="AM41" s="291">
        <v>15</v>
      </c>
      <c r="AN41" s="292"/>
      <c r="AO41" s="292"/>
      <c r="AP41" s="292"/>
      <c r="AQ41" s="293"/>
      <c r="AR41" s="294">
        <v>10</v>
      </c>
      <c r="AS41" s="292"/>
      <c r="AT41" s="292"/>
      <c r="AU41" s="293"/>
      <c r="AV41" s="294">
        <v>10</v>
      </c>
      <c r="AW41" s="292"/>
      <c r="AX41" s="292"/>
      <c r="AY41" s="293"/>
      <c r="AZ41" s="291">
        <v>15</v>
      </c>
      <c r="BA41" s="292"/>
      <c r="BB41" s="292"/>
      <c r="BC41" s="292"/>
      <c r="BD41" s="293"/>
      <c r="BE41" s="294">
        <v>10</v>
      </c>
      <c r="BF41" s="292"/>
      <c r="BG41" s="292"/>
      <c r="BH41" s="293"/>
      <c r="BI41" s="294">
        <v>10</v>
      </c>
      <c r="BJ41" s="292"/>
      <c r="BK41" s="292"/>
      <c r="BL41" s="293"/>
      <c r="BM41" s="291">
        <v>15</v>
      </c>
      <c r="BN41" s="292"/>
      <c r="BO41" s="292"/>
      <c r="BP41" s="292"/>
      <c r="BQ41" s="293"/>
      <c r="BR41" s="294">
        <v>10</v>
      </c>
      <c r="BS41" s="292"/>
      <c r="BT41" s="292"/>
      <c r="BU41" s="293"/>
      <c r="BV41" s="294">
        <v>10</v>
      </c>
      <c r="BW41" s="292"/>
      <c r="BX41" s="292"/>
      <c r="BY41" s="293"/>
      <c r="BZ41" s="294">
        <v>10</v>
      </c>
      <c r="CA41" s="292"/>
      <c r="CB41" s="292"/>
      <c r="CC41" s="293"/>
      <c r="CD41" s="187">
        <v>1</v>
      </c>
      <c r="CE41" s="188">
        <f t="shared" si="33"/>
        <v>140</v>
      </c>
      <c r="CF41" s="188">
        <f t="shared" si="31"/>
        <v>140</v>
      </c>
      <c r="CG41" s="189">
        <v>30</v>
      </c>
      <c r="CH41" s="213">
        <f t="shared" si="32"/>
        <v>4200</v>
      </c>
      <c r="CI41" s="240"/>
      <c r="CJ41" s="183"/>
      <c r="CK41" s="183"/>
      <c r="CL41" s="183"/>
      <c r="CM41" s="92"/>
      <c r="CN41" s="92">
        <f>CM41*CE41</f>
        <v>0</v>
      </c>
      <c r="CO41" s="93"/>
      <c r="CP41" s="75"/>
      <c r="CQ41" s="75"/>
      <c r="CR41" s="83"/>
      <c r="CS41" s="84" t="str">
        <f>IFERROR(
IF(SUMIF(ProductCodes,"C",$CI:$CI)=$CI$775,(IF($A41="C",(SUMIF(#REF!,CS$17,#REF!)*$CG41)*((SUMIF(ProductCodes,"C",$CI:$CI)-SUMIF(ProductCodes,"H",$CH:$CH)-SUMIF(ProductCodes,"R",$CH:$CH)-SUMIF(ProductCodes,"B",$CH:$CH)-(SUMIF(ProductCodes,"S",$CH:$CH)/2))/SUMIF(ProductCodes,"C",$CH:$CH)),IF($A41="S",(SUMIF(#REF!,CS$17,#REF!)*$CG41)/2,
IF($A41="B",(SUMIF(#REF!,CS$17,#REF!)*$CG41),
IF($A41="R",(SUMIF(#REF!,CS$17,#REF!)*$CG41),
IF($A41="H",(SUMIF(#REF!,CS$17,#REF!)*$CG41),"")))))),
IF(SUMIF(ProductCodes,"S",$CI:$CI)=$CI$775,(IF($A41="S",(SUMIF(#REF!,CS$17,#REF!)*$CG41)*((SUMIF(ProductCodes,"S",$CI:$CI)-SUMIF(ProductCodes,"H",$CH:$CH)-SUMIF(ProductCodes,"R",$CH:$CH)-SUMIF(ProductCodes,"B",$CH:$CH)-(SUMIF(ProductCodes,"C",$CH:$CH)/4))/SUMIF(ProductCodes,"S",$CH:$CH)),
IF($A41="C",(SUMIF(#REF!,CS$17,#REF!)*$CG41)/4,
IF($A41="B",(SUMIF(#REF!,CS$17,#REF!)*$CG41),
IF($A41="R",(SUMIF(#REF!,CS$17,#REF!)*$CG41),
IF($A41="H",(SUMIF(#REF!,CS$17,#REF!)*$CG41),"")))))),
IF($A41="C",(SUMIF(#REF!,CS$17,#REF!)*$CG41)*(SUMIF(ProductCodes,"C",$CI:$CI)/(SUMIF(ProductCodes,"C",$CH:$CH))),
IF($A41="S",(SUMIF(#REF!,CS$17,#REF!)*$CG41)*(SUMIF(ProductCodes,"S",$CI:$CI)/(SUMIF(ProductCodes,"S",$CH:$CH))),
IF($A41="B",(SUMIF(#REF!,CS$17,#REF!)*$CG41)*(SUMIF(ProductCodes,"B",$CI:$CI)/(SUMIF(ProductCodes,"B",$CH:$CH))),
IF($A41="R",(SUMIF(#REF!,CS$17,#REF!)*$CG41)*(SUMIF(ProductCodes,"R",$CI:$CI)/(SUMIF(ProductCodes,"R",$CH:$CH))),
IF($A41="H",(SUMIF(#REF!,CS$17,#REF!)*$CG41)*(SUMIF(ProductCodes,"H",$CI:$CI)/(SUMIF(ProductCodes,"H",$CH:$CH))),""))))))),"Error")</f>
        <v>Error</v>
      </c>
      <c r="CT41" s="84" t="str">
        <f>IFERROR(
IF(SUMIF(ProductCodes,"C",$CI:$CI)=$CI$775,(IF($A41="C",(SUMIF(#REF!,CT$17,#REF!)*$CG41)*((SUMIF(ProductCodes,"C",$CI:$CI)-SUMIF(ProductCodes,"H",$CH:$CH)-SUMIF(ProductCodes,"R",$CH:$CH)-SUMIF(ProductCodes,"B",$CH:$CH)-(SUMIF(ProductCodes,"S",$CH:$CH)/2))/SUMIF(ProductCodes,"C",$CH:$CH)),IF($A41="S",(SUMIF(#REF!,CT$17,#REF!)*$CG41)/2,
IF($A41="B",(SUMIF(#REF!,CT$17,#REF!)*$CG41),
IF($A41="R",(SUMIF(#REF!,CT$17,#REF!)*$CG41),
IF($A41="H",(SUMIF(#REF!,CT$17,#REF!)*$CG41),"")))))),
IF(SUMIF(ProductCodes,"S",$CI:$CI)=$CI$775,(IF($A41="S",(SUMIF(#REF!,CT$17,#REF!)*$CG41)*((SUMIF(ProductCodes,"S",$CI:$CI)-SUMIF(ProductCodes,"H",$CH:$CH)-SUMIF(ProductCodes,"R",$CH:$CH)-SUMIF(ProductCodes,"B",$CH:$CH)-(SUMIF(ProductCodes,"C",$CH:$CH)/4))/SUMIF(ProductCodes,"S",$CH:$CH)),
IF($A41="C",(SUMIF(#REF!,CT$17,#REF!)*$CG41)/4,
IF($A41="B",(SUMIF(#REF!,CT$17,#REF!)*$CG41),
IF($A41="R",(SUMIF(#REF!,CT$17,#REF!)*$CG41),
IF($A41="H",(SUMIF(#REF!,CT$17,#REF!)*$CG41),"")))))),
IF($A41="C",(SUMIF(#REF!,CT$17,#REF!)*$CG41)*(SUMIF(ProductCodes,"C",$CI:$CI)/(SUMIF(ProductCodes,"C",$CH:$CH))),
IF($A41="S",(SUMIF(#REF!,CT$17,#REF!)*$CG41)*(SUMIF(ProductCodes,"S",$CI:$CI)/(SUMIF(ProductCodes,"S",$CH:$CH))),
IF($A41="B",(SUMIF(#REF!,CT$17,#REF!)*$CG41)*(SUMIF(ProductCodes,"B",$CI:$CI)/(SUMIF(ProductCodes,"B",$CH:$CH))),
IF($A41="R",(SUMIF(#REF!,CT$17,#REF!)*$CG41)*(SUMIF(ProductCodes,"R",$CI:$CI)/(SUMIF(ProductCodes,"R",$CH:$CH))),
IF($A41="H",(SUMIF(#REF!,CT$17,#REF!)*$CG41)*(SUMIF(ProductCodes,"H",$CI:$CI)/(SUMIF(ProductCodes,"H",$CH:$CH))),""))))))),"Error")</f>
        <v>Error</v>
      </c>
      <c r="CU41" s="84" t="str">
        <f>IFERROR(
IF(SUMIF(ProductCodes,"C",$CI:$CI)=$CI$775,(IF($A41="C",(SUMIF(#REF!,CU$17,#REF!)*$CG41)*((SUMIF(ProductCodes,"C",$CI:$CI)-SUMIF(ProductCodes,"H",$CH:$CH)-SUMIF(ProductCodes,"R",$CH:$CH)-SUMIF(ProductCodes,"B",$CH:$CH)-(SUMIF(ProductCodes,"S",$CH:$CH)/2))/SUMIF(ProductCodes,"C",$CH:$CH)),IF($A41="S",(SUMIF(#REF!,CU$17,#REF!)*$CG41)/2,
IF($A41="B",(SUMIF(#REF!,CU$17,#REF!)*$CG41),
IF($A41="R",(SUMIF(#REF!,CU$17,#REF!)*$CG41),
IF($A41="H",(SUMIF(#REF!,CU$17,#REF!)*$CG41),"")))))),
IF(SUMIF(ProductCodes,"S",$CI:$CI)=$CI$775,(IF($A41="S",(SUMIF(#REF!,CU$17,#REF!)*$CG41)*((SUMIF(ProductCodes,"S",$CI:$CI)-SUMIF(ProductCodes,"H",$CH:$CH)-SUMIF(ProductCodes,"R",$CH:$CH)-SUMIF(ProductCodes,"B",$CH:$CH)-(SUMIF(ProductCodes,"C",$CH:$CH)/4))/SUMIF(ProductCodes,"S",$CH:$CH)),
IF($A41="C",(SUMIF(#REF!,CU$17,#REF!)*$CG41)/4,
IF($A41="B",(SUMIF(#REF!,CU$17,#REF!)*$CG41),
IF($A41="R",(SUMIF(#REF!,CU$17,#REF!)*$CG41),
IF($A41="H",(SUMIF(#REF!,CU$17,#REF!)*$CG41),"")))))),
IF($A41="C",(SUMIF(#REF!,CU$17,#REF!)*$CG41)*(SUMIF(ProductCodes,"C",$CI:$CI)/(SUMIF(ProductCodes,"C",$CH:$CH))),
IF($A41="S",(SUMIF(#REF!,CU$17,#REF!)*$CG41)*(SUMIF(ProductCodes,"S",$CI:$CI)/(SUMIF(ProductCodes,"S",$CH:$CH))),
IF($A41="B",(SUMIF(#REF!,CU$17,#REF!)*$CG41)*(SUMIF(ProductCodes,"B",$CI:$CI)/(SUMIF(ProductCodes,"B",$CH:$CH))),
IF($A41="R",(SUMIF(#REF!,CU$17,#REF!)*$CG41)*(SUMIF(ProductCodes,"R",$CI:$CI)/(SUMIF(ProductCodes,"R",$CH:$CH))),
IF($A41="H",(SUMIF(#REF!,CU$17,#REF!)*$CG41)*(SUMIF(ProductCodes,"H",$CI:$CI)/(SUMIF(ProductCodes,"H",$CH:$CH))),""))))))),"Error")</f>
        <v>Error</v>
      </c>
      <c r="CV41" s="84" t="str">
        <f>IFERROR(
IF(SUMIF(ProductCodes,"C",$CI:$CI)=$CI$775,(IF($A41="C",(SUMIF(#REF!,CV$17,#REF!)*$CG41)*((SUMIF(ProductCodes,"C",$CI:$CI)-SUMIF(ProductCodes,"H",$CH:$CH)-SUMIF(ProductCodes,"R",$CH:$CH)-SUMIF(ProductCodes,"B",$CH:$CH)-(SUMIF(ProductCodes,"S",$CH:$CH)/2))/SUMIF(ProductCodes,"C",$CH:$CH)),IF($A41="S",(SUMIF(#REF!,CV$17,#REF!)*$CG41)/2,
IF($A41="B",(SUMIF(#REF!,CV$17,#REF!)*$CG41),
IF($A41="R",(SUMIF(#REF!,CV$17,#REF!)*$CG41),
IF($A41="H",(SUMIF(#REF!,CV$17,#REF!)*$CG41),"")))))),
IF(SUMIF(ProductCodes,"S",$CI:$CI)=$CI$775,(IF($A41="S",(SUMIF(#REF!,CV$17,#REF!)*$CG41)*((SUMIF(ProductCodes,"S",$CI:$CI)-SUMIF(ProductCodes,"H",$CH:$CH)-SUMIF(ProductCodes,"R",$CH:$CH)-SUMIF(ProductCodes,"B",$CH:$CH)-(SUMIF(ProductCodes,"C",$CH:$CH)/4))/SUMIF(ProductCodes,"S",$CH:$CH)),
IF($A41="C",(SUMIF(#REF!,CV$17,#REF!)*$CG41)/4,
IF($A41="B",(SUMIF(#REF!,CV$17,#REF!)*$CG41),
IF($A41="R",(SUMIF(#REF!,CV$17,#REF!)*$CG41),
IF($A41="H",(SUMIF(#REF!,CV$17,#REF!)*$CG41),"")))))),
IF($A41="C",(SUMIF(#REF!,CV$17,#REF!)*$CG41)*(SUMIF(ProductCodes,"C",$CI:$CI)/(SUMIF(ProductCodes,"C",$CH:$CH))),
IF($A41="S",(SUMIF(#REF!,CV$17,#REF!)*$CG41)*(SUMIF(ProductCodes,"S",$CI:$CI)/(SUMIF(ProductCodes,"S",$CH:$CH))),
IF($A41="B",(SUMIF(#REF!,CV$17,#REF!)*$CG41)*(SUMIF(ProductCodes,"B",$CI:$CI)/(SUMIF(ProductCodes,"B",$CH:$CH))),
IF($A41="R",(SUMIF(#REF!,CV$17,#REF!)*$CG41)*(SUMIF(ProductCodes,"R",$CI:$CI)/(SUMIF(ProductCodes,"R",$CH:$CH))),
IF($A41="H",(SUMIF(#REF!,CV$17,#REF!)*$CG41)*(SUMIF(ProductCodes,"H",$CI:$CI)/(SUMIF(ProductCodes,"H",$CH:$CH))),""))))))),"Error")</f>
        <v>Error</v>
      </c>
      <c r="CW41" s="84" t="str">
        <f>IFERROR(
IF(SUMIF(ProductCodes,"C",$CI:$CI)=$CI$775,(IF($A41="C",(SUMIF(#REF!,CW$17,#REF!)*$CG41)*((SUMIF(ProductCodes,"C",$CI:$CI)-SUMIF(ProductCodes,"H",$CH:$CH)-SUMIF(ProductCodes,"R",$CH:$CH)-SUMIF(ProductCodes,"B",$CH:$CH)-(SUMIF(ProductCodes,"S",$CH:$CH)/2))/SUMIF(ProductCodes,"C",$CH:$CH)),IF($A41="S",(SUMIF(#REF!,CW$17,#REF!)*$CG41)/2,
IF($A41="B",(SUMIF(#REF!,CW$17,#REF!)*$CG41),
IF($A41="R",(SUMIF(#REF!,CW$17,#REF!)*$CG41),
IF($A41="H",(SUMIF(#REF!,CW$17,#REF!)*$CG41),"")))))),
IF(SUMIF(ProductCodes,"S",$CI:$CI)=$CI$775,(IF($A41="S",(SUMIF(#REF!,CW$17,#REF!)*$CG41)*((SUMIF(ProductCodes,"S",$CI:$CI)-SUMIF(ProductCodes,"H",$CH:$CH)-SUMIF(ProductCodes,"R",$CH:$CH)-SUMIF(ProductCodes,"B",$CH:$CH)-(SUMIF(ProductCodes,"C",$CH:$CH)/4))/SUMIF(ProductCodes,"S",$CH:$CH)),
IF($A41="C",(SUMIF(#REF!,CW$17,#REF!)*$CG41)/4,
IF($A41="B",(SUMIF(#REF!,CW$17,#REF!)*$CG41),
IF($A41="R",(SUMIF(#REF!,CW$17,#REF!)*$CG41),
IF($A41="H",(SUMIF(#REF!,CW$17,#REF!)*$CG41),"")))))),
IF($A41="C",(SUMIF(#REF!,CW$17,#REF!)*$CG41)*(SUMIF(ProductCodes,"C",$CI:$CI)/(SUMIF(ProductCodes,"C",$CH:$CH))),
IF($A41="S",(SUMIF(#REF!,CW$17,#REF!)*$CG41)*(SUMIF(ProductCodes,"S",$CI:$CI)/(SUMIF(ProductCodes,"S",$CH:$CH))),
IF($A41="B",(SUMIF(#REF!,CW$17,#REF!)*$CG41)*(SUMIF(ProductCodes,"B",$CI:$CI)/(SUMIF(ProductCodes,"B",$CH:$CH))),
IF($A41="R",(SUMIF(#REF!,CW$17,#REF!)*$CG41)*(SUMIF(ProductCodes,"R",$CI:$CI)/(SUMIF(ProductCodes,"R",$CH:$CH))),
IF($A41="H",(SUMIF(#REF!,CW$17,#REF!)*$CG41)*(SUMIF(ProductCodes,"H",$CI:$CI)/(SUMIF(ProductCodes,"H",$CH:$CH))),""))))))),"Error")</f>
        <v>Error</v>
      </c>
      <c r="CX41" s="84" t="str">
        <f>IFERROR(
IF(SUMIF(ProductCodes,"C",$CI:$CI)=$CI$775,(IF($A41="C",(SUMIF(#REF!,CX$17,#REF!)*$CG41)*((SUMIF(ProductCodes,"C",$CI:$CI)-SUMIF(ProductCodes,"H",$CH:$CH)-SUMIF(ProductCodes,"R",$CH:$CH)-SUMIF(ProductCodes,"B",$CH:$CH)-(SUMIF(ProductCodes,"S",$CH:$CH)/2))/SUMIF(ProductCodes,"C",$CH:$CH)),IF($A41="S",(SUMIF(#REF!,CX$17,#REF!)*$CG41)/2,
IF($A41="B",(SUMIF(#REF!,CX$17,#REF!)*$CG41),
IF($A41="R",(SUMIF(#REF!,CX$17,#REF!)*$CG41),
IF($A41="H",(SUMIF(#REF!,CX$17,#REF!)*$CG41),"")))))),
IF(SUMIF(ProductCodes,"S",$CI:$CI)=$CI$775,(IF($A41="S",(SUMIF(#REF!,CX$17,#REF!)*$CG41)*((SUMIF(ProductCodes,"S",$CI:$CI)-SUMIF(ProductCodes,"H",$CH:$CH)-SUMIF(ProductCodes,"R",$CH:$CH)-SUMIF(ProductCodes,"B",$CH:$CH)-(SUMIF(ProductCodes,"C",$CH:$CH)/4))/SUMIF(ProductCodes,"S",$CH:$CH)),
IF($A41="C",(SUMIF(#REF!,CX$17,#REF!)*$CG41)/4,
IF($A41="B",(SUMIF(#REF!,CX$17,#REF!)*$CG41),
IF($A41="R",(SUMIF(#REF!,CX$17,#REF!)*$CG41),
IF($A41="H",(SUMIF(#REF!,CX$17,#REF!)*$CG41),"")))))),
IF($A41="C",(SUMIF(#REF!,CX$17,#REF!)*$CG41)*(SUMIF(ProductCodes,"C",$CI:$CI)/(SUMIF(ProductCodes,"C",$CH:$CH))),
IF($A41="S",(SUMIF(#REF!,CX$17,#REF!)*$CG41)*(SUMIF(ProductCodes,"S",$CI:$CI)/(SUMIF(ProductCodes,"S",$CH:$CH))),
IF($A41="B",(SUMIF(#REF!,CX$17,#REF!)*$CG41)*(SUMIF(ProductCodes,"B",$CI:$CI)/(SUMIF(ProductCodes,"B",$CH:$CH))),
IF($A41="R",(SUMIF(#REF!,CX$17,#REF!)*$CG41)*(SUMIF(ProductCodes,"R",$CI:$CI)/(SUMIF(ProductCodes,"R",$CH:$CH))),
IF($A41="H",(SUMIF(#REF!,CX$17,#REF!)*$CG41)*(SUMIF(ProductCodes,"H",$CI:$CI)/(SUMIF(ProductCodes,"H",$CH:$CH))),""))))))),"Error")</f>
        <v>Error</v>
      </c>
      <c r="CY41" s="84" t="str">
        <f>IFERROR(
IF(SUMIF(ProductCodes,"C",$CI:$CI)=$CI$775,(IF($A41="C",(SUMIF(#REF!,CY$17,#REF!)*$CG41)*((SUMIF(ProductCodes,"C",$CI:$CI)-SUMIF(ProductCodes,"H",$CH:$CH)-SUMIF(ProductCodes,"R",$CH:$CH)-SUMIF(ProductCodes,"B",$CH:$CH)-(SUMIF(ProductCodes,"S",$CH:$CH)/2))/SUMIF(ProductCodes,"C",$CH:$CH)),IF($A41="S",(SUMIF(#REF!,CY$17,#REF!)*$CG41)/2,
IF($A41="B",(SUMIF(#REF!,CY$17,#REF!)*$CG41),
IF($A41="R",(SUMIF(#REF!,CY$17,#REF!)*$CG41),
IF($A41="H",(SUMIF(#REF!,CY$17,#REF!)*$CG41),"")))))),
IF(SUMIF(ProductCodes,"S",$CI:$CI)=$CI$775,(IF($A41="S",(SUMIF(#REF!,CY$17,#REF!)*$CG41)*((SUMIF(ProductCodes,"S",$CI:$CI)-SUMIF(ProductCodes,"H",$CH:$CH)-SUMIF(ProductCodes,"R",$CH:$CH)-SUMIF(ProductCodes,"B",$CH:$CH)-(SUMIF(ProductCodes,"C",$CH:$CH)/4))/SUMIF(ProductCodes,"S",$CH:$CH)),
IF($A41="C",(SUMIF(#REF!,CY$17,#REF!)*$CG41)/4,
IF($A41="B",(SUMIF(#REF!,CY$17,#REF!)*$CG41),
IF($A41="R",(SUMIF(#REF!,CY$17,#REF!)*$CG41),
IF($A41="H",(SUMIF(#REF!,CY$17,#REF!)*$CG41),"")))))),
IF($A41="C",(SUMIF(#REF!,CY$17,#REF!)*$CG41)*(SUMIF(ProductCodes,"C",$CI:$CI)/(SUMIF(ProductCodes,"C",$CH:$CH))),
IF($A41="S",(SUMIF(#REF!,CY$17,#REF!)*$CG41)*(SUMIF(ProductCodes,"S",$CI:$CI)/(SUMIF(ProductCodes,"S",$CH:$CH))),
IF($A41="B",(SUMIF(#REF!,CY$17,#REF!)*$CG41)*(SUMIF(ProductCodes,"B",$CI:$CI)/(SUMIF(ProductCodes,"B",$CH:$CH))),
IF($A41="R",(SUMIF(#REF!,CY$17,#REF!)*$CG41)*(SUMIF(ProductCodes,"R",$CI:$CI)/(SUMIF(ProductCodes,"R",$CH:$CH))),
IF($A41="H",(SUMIF(#REF!,CY$17,#REF!)*$CG41)*(SUMIF(ProductCodes,"H",$CI:$CI)/(SUMIF(ProductCodes,"H",$CH:$CH))),""))))))),"Error")</f>
        <v>Error</v>
      </c>
      <c r="CZ41" s="84" t="str">
        <f>IFERROR(
IF(SUMIF(ProductCodes,"C",$CI:$CI)=$CI$775,(IF($A41="C",(SUMIF(#REF!,CZ$17,#REF!)*$CG41)*((SUMIF(ProductCodes,"C",$CI:$CI)-SUMIF(ProductCodes,"H",$CH:$CH)-SUMIF(ProductCodes,"R",$CH:$CH)-SUMIF(ProductCodes,"B",$CH:$CH)-(SUMIF(ProductCodes,"S",$CH:$CH)/2))/SUMIF(ProductCodes,"C",$CH:$CH)),IF($A41="S",(SUMIF(#REF!,CZ$17,#REF!)*$CG41)/2,
IF($A41="B",(SUMIF(#REF!,CZ$17,#REF!)*$CG41),
IF($A41="R",(SUMIF(#REF!,CZ$17,#REF!)*$CG41),
IF($A41="H",(SUMIF(#REF!,CZ$17,#REF!)*$CG41),"")))))),
IF(SUMIF(ProductCodes,"S",$CI:$CI)=$CI$775,(IF($A41="S",(SUMIF(#REF!,CZ$17,#REF!)*$CG41)*((SUMIF(ProductCodes,"S",$CI:$CI)-SUMIF(ProductCodes,"H",$CH:$CH)-SUMIF(ProductCodes,"R",$CH:$CH)-SUMIF(ProductCodes,"B",$CH:$CH)-(SUMIF(ProductCodes,"C",$CH:$CH)/4))/SUMIF(ProductCodes,"S",$CH:$CH)),
IF($A41="C",(SUMIF(#REF!,CZ$17,#REF!)*$CG41)/4,
IF($A41="B",(SUMIF(#REF!,CZ$17,#REF!)*$CG41),
IF($A41="R",(SUMIF(#REF!,CZ$17,#REF!)*$CG41),
IF($A41="H",(SUMIF(#REF!,CZ$17,#REF!)*$CG41),"")))))),
IF($A41="C",(SUMIF(#REF!,CZ$17,#REF!)*$CG41)*(SUMIF(ProductCodes,"C",$CI:$CI)/(SUMIF(ProductCodes,"C",$CH:$CH))),
IF($A41="S",(SUMIF(#REF!,CZ$17,#REF!)*$CG41)*(SUMIF(ProductCodes,"S",$CI:$CI)/(SUMIF(ProductCodes,"S",$CH:$CH))),
IF($A41="B",(SUMIF(#REF!,CZ$17,#REF!)*$CG41)*(SUMIF(ProductCodes,"B",$CI:$CI)/(SUMIF(ProductCodes,"B",$CH:$CH))),
IF($A41="R",(SUMIF(#REF!,CZ$17,#REF!)*$CG41)*(SUMIF(ProductCodes,"R",$CI:$CI)/(SUMIF(ProductCodes,"R",$CH:$CH))),
IF($A41="H",(SUMIF(#REF!,CZ$17,#REF!)*$CG41)*(SUMIF(ProductCodes,"H",$CI:$CI)/(SUMIF(ProductCodes,"H",$CH:$CH))),""))))))),"Error")</f>
        <v>Error</v>
      </c>
      <c r="DA41" s="84" t="str">
        <f>IFERROR(
IF(SUMIF(ProductCodes,"C",$CI:$CI)=$CI$775,(IF($A41="C",(SUMIF(#REF!,DA$17,#REF!)*$CG41)*((SUMIF(ProductCodes,"C",$CI:$CI)-SUMIF(ProductCodes,"H",$CH:$CH)-SUMIF(ProductCodes,"R",$CH:$CH)-SUMIF(ProductCodes,"B",$CH:$CH)-(SUMIF(ProductCodes,"S",$CH:$CH)/2))/SUMIF(ProductCodes,"C",$CH:$CH)),IF($A41="S",(SUMIF(#REF!,DA$17,#REF!)*$CG41)/2,
IF($A41="B",(SUMIF(#REF!,DA$17,#REF!)*$CG41),
IF($A41="R",(SUMIF(#REF!,DA$17,#REF!)*$CG41),
IF($A41="H",(SUMIF(#REF!,DA$17,#REF!)*$CG41),"")))))),
IF(SUMIF(ProductCodes,"S",$CI:$CI)=$CI$775,(IF($A41="S",(SUMIF(#REF!,DA$17,#REF!)*$CG41)*((SUMIF(ProductCodes,"S",$CI:$CI)-SUMIF(ProductCodes,"H",$CH:$CH)-SUMIF(ProductCodes,"R",$CH:$CH)-SUMIF(ProductCodes,"B",$CH:$CH)-(SUMIF(ProductCodes,"C",$CH:$CH)/4))/SUMIF(ProductCodes,"S",$CH:$CH)),
IF($A41="C",(SUMIF(#REF!,DA$17,#REF!)*$CG41)/4,
IF($A41="B",(SUMIF(#REF!,DA$17,#REF!)*$CG41),
IF($A41="R",(SUMIF(#REF!,DA$17,#REF!)*$CG41),
IF($A41="H",(SUMIF(#REF!,DA$17,#REF!)*$CG41),"")))))),
IF($A41="C",(SUMIF(#REF!,DA$17,#REF!)*$CG41)*(SUMIF(ProductCodes,"C",$CI:$CI)/(SUMIF(ProductCodes,"C",$CH:$CH))),
IF($A41="S",(SUMIF(#REF!,DA$17,#REF!)*$CG41)*(SUMIF(ProductCodes,"S",$CI:$CI)/(SUMIF(ProductCodes,"S",$CH:$CH))),
IF($A41="B",(SUMIF(#REF!,DA$17,#REF!)*$CG41)*(SUMIF(ProductCodes,"B",$CI:$CI)/(SUMIF(ProductCodes,"B",$CH:$CH))),
IF($A41="R",(SUMIF(#REF!,DA$17,#REF!)*$CG41)*(SUMIF(ProductCodes,"R",$CI:$CI)/(SUMIF(ProductCodes,"R",$CH:$CH))),
IF($A41="H",(SUMIF(#REF!,DA$17,#REF!)*$CG41)*(SUMIF(ProductCodes,"H",$CI:$CI)/(SUMIF(ProductCodes,"H",$CH:$CH))),""))))))),"Error")</f>
        <v>Error</v>
      </c>
      <c r="DB41" s="84" t="str">
        <f>IFERROR(
IF(SUMIF(ProductCodes,"C",$CI:$CI)=$CI$775,(IF($A41="C",(SUMIF(#REF!,DB$17,#REF!)*$CG41)*((SUMIF(ProductCodes,"C",$CI:$CI)-SUMIF(ProductCodes,"H",$CH:$CH)-SUMIF(ProductCodes,"R",$CH:$CH)-SUMIF(ProductCodes,"B",$CH:$CH)-(SUMIF(ProductCodes,"S",$CH:$CH)/2))/SUMIF(ProductCodes,"C",$CH:$CH)),IF($A41="S",(SUMIF(#REF!,DB$17,#REF!)*$CG41)/2,
IF($A41="B",(SUMIF(#REF!,DB$17,#REF!)*$CG41),
IF($A41="R",(SUMIF(#REF!,DB$17,#REF!)*$CG41),
IF($A41="H",(SUMIF(#REF!,DB$17,#REF!)*$CG41),"")))))),
IF(SUMIF(ProductCodes,"S",$CI:$CI)=$CI$775,(IF($A41="S",(SUMIF(#REF!,DB$17,#REF!)*$CG41)*((SUMIF(ProductCodes,"S",$CI:$CI)-SUMIF(ProductCodes,"H",$CH:$CH)-SUMIF(ProductCodes,"R",$CH:$CH)-SUMIF(ProductCodes,"B",$CH:$CH)-(SUMIF(ProductCodes,"C",$CH:$CH)/4))/SUMIF(ProductCodes,"S",$CH:$CH)),
IF($A41="C",(SUMIF(#REF!,DB$17,#REF!)*$CG41)/4,
IF($A41="B",(SUMIF(#REF!,DB$17,#REF!)*$CG41),
IF($A41="R",(SUMIF(#REF!,DB$17,#REF!)*$CG41),
IF($A41="H",(SUMIF(#REF!,DB$17,#REF!)*$CG41),"")))))),
IF($A41="C",(SUMIF(#REF!,DB$17,#REF!)*$CG41)*(SUMIF(ProductCodes,"C",$CI:$CI)/(SUMIF(ProductCodes,"C",$CH:$CH))),
IF($A41="S",(SUMIF(#REF!,DB$17,#REF!)*$CG41)*(SUMIF(ProductCodes,"S",$CI:$CI)/(SUMIF(ProductCodes,"S",$CH:$CH))),
IF($A41="B",(SUMIF(#REF!,DB$17,#REF!)*$CG41)*(SUMIF(ProductCodes,"B",$CI:$CI)/(SUMIF(ProductCodes,"B",$CH:$CH))),
IF($A41="R",(SUMIF(#REF!,DB$17,#REF!)*$CG41)*(SUMIF(ProductCodes,"R",$CI:$CI)/(SUMIF(ProductCodes,"R",$CH:$CH))),
IF($A41="H",(SUMIF(#REF!,DB$17,#REF!)*$CG41)*(SUMIF(ProductCodes,"H",$CI:$CI)/(SUMIF(ProductCodes,"H",$CH:$CH))),""))))))),"Error")</f>
        <v>Error</v>
      </c>
      <c r="DC41" s="84" t="str">
        <f>IFERROR(
IF(SUMIF(ProductCodes,"C",$CI:$CI)=$CI$775,(IF($A41="C",(SUMIF(#REF!,DC$17,#REF!)*$CG41)*((SUMIF(ProductCodes,"C",$CI:$CI)-SUMIF(ProductCodes,"H",$CH:$CH)-SUMIF(ProductCodes,"R",$CH:$CH)-SUMIF(ProductCodes,"B",$CH:$CH)-(SUMIF(ProductCodes,"S",$CH:$CH)/2))/SUMIF(ProductCodes,"C",$CH:$CH)),IF($A41="S",(SUMIF(#REF!,DC$17,#REF!)*$CG41)/2,
IF($A41="B",(SUMIF(#REF!,DC$17,#REF!)*$CG41),
IF($A41="R",(SUMIF(#REF!,DC$17,#REF!)*$CG41),
IF($A41="H",(SUMIF(#REF!,DC$17,#REF!)*$CG41),"")))))),
IF(SUMIF(ProductCodes,"S",$CI:$CI)=$CI$775,(IF($A41="S",(SUMIF(#REF!,DC$17,#REF!)*$CG41)*((SUMIF(ProductCodes,"S",$CI:$CI)-SUMIF(ProductCodes,"H",$CH:$CH)-SUMIF(ProductCodes,"R",$CH:$CH)-SUMIF(ProductCodes,"B",$CH:$CH)-(SUMIF(ProductCodes,"C",$CH:$CH)/4))/SUMIF(ProductCodes,"S",$CH:$CH)),
IF($A41="C",(SUMIF(#REF!,DC$17,#REF!)*$CG41)/4,
IF($A41="B",(SUMIF(#REF!,DC$17,#REF!)*$CG41),
IF($A41="R",(SUMIF(#REF!,DC$17,#REF!)*$CG41),
IF($A41="H",(SUMIF(#REF!,DC$17,#REF!)*$CG41),"")))))),
IF($A41="C",(SUMIF(#REF!,DC$17,#REF!)*$CG41)*(SUMIF(ProductCodes,"C",$CI:$CI)/(SUMIF(ProductCodes,"C",$CH:$CH))),
IF($A41="S",(SUMIF(#REF!,DC$17,#REF!)*$CG41)*(SUMIF(ProductCodes,"S",$CI:$CI)/(SUMIF(ProductCodes,"S",$CH:$CH))),
IF($A41="B",(SUMIF(#REF!,DC$17,#REF!)*$CG41)*(SUMIF(ProductCodes,"B",$CI:$CI)/(SUMIF(ProductCodes,"B",$CH:$CH))),
IF($A41="R",(SUMIF(#REF!,DC$17,#REF!)*$CG41)*(SUMIF(ProductCodes,"R",$CI:$CI)/(SUMIF(ProductCodes,"R",$CH:$CH))),
IF($A41="H",(SUMIF(#REF!,DC$17,#REF!)*$CG41)*(SUMIF(ProductCodes,"H",$CI:$CI)/(SUMIF(ProductCodes,"H",$CH:$CH))),""))))))),"Error")</f>
        <v>Error</v>
      </c>
      <c r="DD41" s="84" t="str">
        <f>IFERROR(
IF(SUMIF(ProductCodes,"C",$CI:$CI)=$CI$775,(IF($A41="C",(SUMIF(#REF!,DD$17,#REF!)*$CG41)*((SUMIF(ProductCodes,"C",$CI:$CI)-SUMIF(ProductCodes,"H",$CH:$CH)-SUMIF(ProductCodes,"R",$CH:$CH)-SUMIF(ProductCodes,"B",$CH:$CH)-(SUMIF(ProductCodes,"S",$CH:$CH)/2))/SUMIF(ProductCodes,"C",$CH:$CH)),IF($A41="S",(SUMIF(#REF!,DD$17,#REF!)*$CG41)/2,
IF($A41="B",(SUMIF(#REF!,DD$17,#REF!)*$CG41),
IF($A41="R",(SUMIF(#REF!,DD$17,#REF!)*$CG41),
IF($A41="H",(SUMIF(#REF!,DD$17,#REF!)*$CG41),"")))))),
IF(SUMIF(ProductCodes,"S",$CI:$CI)=$CI$775,(IF($A41="S",(SUMIF(#REF!,DD$17,#REF!)*$CG41)*((SUMIF(ProductCodes,"S",$CI:$CI)-SUMIF(ProductCodes,"H",$CH:$CH)-SUMIF(ProductCodes,"R",$CH:$CH)-SUMIF(ProductCodes,"B",$CH:$CH)-(SUMIF(ProductCodes,"C",$CH:$CH)/4))/SUMIF(ProductCodes,"S",$CH:$CH)),
IF($A41="C",(SUMIF(#REF!,DD$17,#REF!)*$CG41)/4,
IF($A41="B",(SUMIF(#REF!,DD$17,#REF!)*$CG41),
IF($A41="R",(SUMIF(#REF!,DD$17,#REF!)*$CG41),
IF($A41="H",(SUMIF(#REF!,DD$17,#REF!)*$CG41),"")))))),
IF($A41="C",(SUMIF(#REF!,DD$17,#REF!)*$CG41)*(SUMIF(ProductCodes,"C",$CI:$CI)/(SUMIF(ProductCodes,"C",$CH:$CH))),
IF($A41="S",(SUMIF(#REF!,DD$17,#REF!)*$CG41)*(SUMIF(ProductCodes,"S",$CI:$CI)/(SUMIF(ProductCodes,"S",$CH:$CH))),
IF($A41="B",(SUMIF(#REF!,DD$17,#REF!)*$CG41)*(SUMIF(ProductCodes,"B",$CI:$CI)/(SUMIF(ProductCodes,"B",$CH:$CH))),
IF($A41="R",(SUMIF(#REF!,DD$17,#REF!)*$CG41)*(SUMIF(ProductCodes,"R",$CI:$CI)/(SUMIF(ProductCodes,"R",$CH:$CH))),
IF($A41="H",(SUMIF(#REF!,DD$17,#REF!)*$CG41)*(SUMIF(ProductCodes,"H",$CI:$CI)/(SUMIF(ProductCodes,"H",$CH:$CH))),""))))))),"Error")</f>
        <v>Error</v>
      </c>
      <c r="DE41" s="84" t="str">
        <f>IFERROR(
IF(SUMIF(ProductCodes,"C",$CI:$CI)=$CI$775,(IF($A41="C",(SUMIF(#REF!,DE$17,#REF!)*$CG41)*((SUMIF(ProductCodes,"C",$CI:$CI)-SUMIF(ProductCodes,"H",$CH:$CH)-SUMIF(ProductCodes,"R",$CH:$CH)-SUMIF(ProductCodes,"B",$CH:$CH)-(SUMIF(ProductCodes,"S",$CH:$CH)/2))/SUMIF(ProductCodes,"C",$CH:$CH)),IF($A41="S",(SUMIF(#REF!,DE$17,#REF!)*$CG41)/2,
IF($A41="B",(SUMIF(#REF!,DE$17,#REF!)*$CG41),
IF($A41="R",(SUMIF(#REF!,DE$17,#REF!)*$CG41),
IF($A41="H",(SUMIF(#REF!,DE$17,#REF!)*$CG41),"")))))),
IF(SUMIF(ProductCodes,"S",$CI:$CI)=$CI$775,(IF($A41="S",(SUMIF(#REF!,DE$17,#REF!)*$CG41)*((SUMIF(ProductCodes,"S",$CI:$CI)-SUMIF(ProductCodes,"H",$CH:$CH)-SUMIF(ProductCodes,"R",$CH:$CH)-SUMIF(ProductCodes,"B",$CH:$CH)-(SUMIF(ProductCodes,"C",$CH:$CH)/4))/SUMIF(ProductCodes,"S",$CH:$CH)),
IF($A41="C",(SUMIF(#REF!,DE$17,#REF!)*$CG41)/4,
IF($A41="B",(SUMIF(#REF!,DE$17,#REF!)*$CG41),
IF($A41="R",(SUMIF(#REF!,DE$17,#REF!)*$CG41),
IF($A41="H",(SUMIF(#REF!,DE$17,#REF!)*$CG41),"")))))),
IF($A41="C",(SUMIF(#REF!,DE$17,#REF!)*$CG41)*(SUMIF(ProductCodes,"C",$CI:$CI)/(SUMIF(ProductCodes,"C",$CH:$CH))),
IF($A41="S",(SUMIF(#REF!,DE$17,#REF!)*$CG41)*(SUMIF(ProductCodes,"S",$CI:$CI)/(SUMIF(ProductCodes,"S",$CH:$CH))),
IF($A41="B",(SUMIF(#REF!,DE$17,#REF!)*$CG41)*(SUMIF(ProductCodes,"B",$CI:$CI)/(SUMIF(ProductCodes,"B",$CH:$CH))),
IF($A41="R",(SUMIF(#REF!,DE$17,#REF!)*$CG41)*(SUMIF(ProductCodes,"R",$CI:$CI)/(SUMIF(ProductCodes,"R",$CH:$CH))),
IF($A41="H",(SUMIF(#REF!,DE$17,#REF!)*$CG41)*(SUMIF(ProductCodes,"H",$CI:$CI)/(SUMIF(ProductCodes,"H",$CH:$CH))),""))))))),"Error")</f>
        <v>Error</v>
      </c>
      <c r="DF41" s="84" t="str">
        <f>IFERROR(
IF(SUMIF(ProductCodes,"C",$CI:$CI)=$CI$775,(IF($A41="C",(SUMIF(#REF!,DF$17,#REF!)*$CG41)*((SUMIF(ProductCodes,"C",$CI:$CI)-SUMIF(ProductCodes,"H",$CH:$CH)-SUMIF(ProductCodes,"R",$CH:$CH)-SUMIF(ProductCodes,"B",$CH:$CH)-(SUMIF(ProductCodes,"S",$CH:$CH)/2))/SUMIF(ProductCodes,"C",$CH:$CH)),IF($A41="S",(SUMIF(#REF!,DF$17,#REF!)*$CG41)/2,
IF($A41="B",(SUMIF(#REF!,DF$17,#REF!)*$CG41),
IF($A41="R",(SUMIF(#REF!,DF$17,#REF!)*$CG41),
IF($A41="H",(SUMIF(#REF!,DF$17,#REF!)*$CG41),"")))))),
IF(SUMIF(ProductCodes,"S",$CI:$CI)=$CI$775,(IF($A41="S",(SUMIF(#REF!,DF$17,#REF!)*$CG41)*((SUMIF(ProductCodes,"S",$CI:$CI)-SUMIF(ProductCodes,"H",$CH:$CH)-SUMIF(ProductCodes,"R",$CH:$CH)-SUMIF(ProductCodes,"B",$CH:$CH)-(SUMIF(ProductCodes,"C",$CH:$CH)/4))/SUMIF(ProductCodes,"S",$CH:$CH)),
IF($A41="C",(SUMIF(#REF!,DF$17,#REF!)*$CG41)/4,
IF($A41="B",(SUMIF(#REF!,DF$17,#REF!)*$CG41),
IF($A41="R",(SUMIF(#REF!,DF$17,#REF!)*$CG41),
IF($A41="H",(SUMIF(#REF!,DF$17,#REF!)*$CG41),"")))))),
IF($A41="C",(SUMIF(#REF!,DF$17,#REF!)*$CG41)*(SUMIF(ProductCodes,"C",$CI:$CI)/(SUMIF(ProductCodes,"C",$CH:$CH))),
IF($A41="S",(SUMIF(#REF!,DF$17,#REF!)*$CG41)*(SUMIF(ProductCodes,"S",$CI:$CI)/(SUMIF(ProductCodes,"S",$CH:$CH))),
IF($A41="B",(SUMIF(#REF!,DF$17,#REF!)*$CG41)*(SUMIF(ProductCodes,"B",$CI:$CI)/(SUMIF(ProductCodes,"B",$CH:$CH))),
IF($A41="R",(SUMIF(#REF!,DF$17,#REF!)*$CG41)*(SUMIF(ProductCodes,"R",$CI:$CI)/(SUMIF(ProductCodes,"R",$CH:$CH))),
IF($A41="H",(SUMIF(#REF!,DF$17,#REF!)*$CG41)*(SUMIF(ProductCodes,"H",$CI:$CI)/(SUMIF(ProductCodes,"H",$CH:$CH))),""))))))),"Error")</f>
        <v>Error</v>
      </c>
      <c r="DG41" s="84" t="str">
        <f>IFERROR(
IF(SUMIF(ProductCodes,"C",$CI:$CI)=$CI$775,(IF($A41="C",(SUMIF(#REF!,DG$17,#REF!)*$CG41)*((SUMIF(ProductCodes,"C",$CI:$CI)-SUMIF(ProductCodes,"H",$CH:$CH)-SUMIF(ProductCodes,"R",$CH:$CH)-SUMIF(ProductCodes,"B",$CH:$CH)-(SUMIF(ProductCodes,"S",$CH:$CH)/2))/SUMIF(ProductCodes,"C",$CH:$CH)),IF($A41="S",(SUMIF(#REF!,DG$17,#REF!)*$CG41)/2,
IF($A41="B",(SUMIF(#REF!,DG$17,#REF!)*$CG41),
IF($A41="R",(SUMIF(#REF!,DG$17,#REF!)*$CG41),
IF($A41="H",(SUMIF(#REF!,DG$17,#REF!)*$CG41),"")))))),
IF(SUMIF(ProductCodes,"S",$CI:$CI)=$CI$775,(IF($A41="S",(SUMIF(#REF!,DG$17,#REF!)*$CG41)*((SUMIF(ProductCodes,"S",$CI:$CI)-SUMIF(ProductCodes,"H",$CH:$CH)-SUMIF(ProductCodes,"R",$CH:$CH)-SUMIF(ProductCodes,"B",$CH:$CH)-(SUMIF(ProductCodes,"C",$CH:$CH)/4))/SUMIF(ProductCodes,"S",$CH:$CH)),
IF($A41="C",(SUMIF(#REF!,DG$17,#REF!)*$CG41)/4,
IF($A41="B",(SUMIF(#REF!,DG$17,#REF!)*$CG41),
IF($A41="R",(SUMIF(#REF!,DG$17,#REF!)*$CG41),
IF($A41="H",(SUMIF(#REF!,DG$17,#REF!)*$CG41),"")))))),
IF($A41="C",(SUMIF(#REF!,DG$17,#REF!)*$CG41)*(SUMIF(ProductCodes,"C",$CI:$CI)/(SUMIF(ProductCodes,"C",$CH:$CH))),
IF($A41="S",(SUMIF(#REF!,DG$17,#REF!)*$CG41)*(SUMIF(ProductCodes,"S",$CI:$CI)/(SUMIF(ProductCodes,"S",$CH:$CH))),
IF($A41="B",(SUMIF(#REF!,DG$17,#REF!)*$CG41)*(SUMIF(ProductCodes,"B",$CI:$CI)/(SUMIF(ProductCodes,"B",$CH:$CH))),
IF($A41="R",(SUMIF(#REF!,DG$17,#REF!)*$CG41)*(SUMIF(ProductCodes,"R",$CI:$CI)/(SUMIF(ProductCodes,"R",$CH:$CH))),
IF($A41="H",(SUMIF(#REF!,DG$17,#REF!)*$CG41)*(SUMIF(ProductCodes,"H",$CI:$CI)/(SUMIF(ProductCodes,"H",$CH:$CH))),""))))))),"Error")</f>
        <v>Error</v>
      </c>
      <c r="DH41" s="84" t="str">
        <f>IFERROR(
IF(SUMIF(ProductCodes,"C",$CI:$CI)=$CI$775,(IF($A41="C",(SUMIF(#REF!,DH$17,#REF!)*$CG41)*((SUMIF(ProductCodes,"C",$CI:$CI)-SUMIF(ProductCodes,"H",$CH:$CH)-SUMIF(ProductCodes,"R",$CH:$CH)-SUMIF(ProductCodes,"B",$CH:$CH)-(SUMIF(ProductCodes,"S",$CH:$CH)/2))/SUMIF(ProductCodes,"C",$CH:$CH)),IF($A41="S",(SUMIF(#REF!,DH$17,#REF!)*$CG41)/2,
IF($A41="B",(SUMIF(#REF!,DH$17,#REF!)*$CG41),
IF($A41="R",(SUMIF(#REF!,DH$17,#REF!)*$CG41),
IF($A41="H",(SUMIF(#REF!,DH$17,#REF!)*$CG41),"")))))),
IF(SUMIF(ProductCodes,"S",$CI:$CI)=$CI$775,(IF($A41="S",(SUMIF(#REF!,DH$17,#REF!)*$CG41)*((SUMIF(ProductCodes,"S",$CI:$CI)-SUMIF(ProductCodes,"H",$CH:$CH)-SUMIF(ProductCodes,"R",$CH:$CH)-SUMIF(ProductCodes,"B",$CH:$CH)-(SUMIF(ProductCodes,"C",$CH:$CH)/4))/SUMIF(ProductCodes,"S",$CH:$CH)),
IF($A41="C",(SUMIF(#REF!,DH$17,#REF!)*$CG41)/4,
IF($A41="B",(SUMIF(#REF!,DH$17,#REF!)*$CG41),
IF($A41="R",(SUMIF(#REF!,DH$17,#REF!)*$CG41),
IF($A41="H",(SUMIF(#REF!,DH$17,#REF!)*$CG41),"")))))),
IF($A41="C",(SUMIF(#REF!,DH$17,#REF!)*$CG41)*(SUMIF(ProductCodes,"C",$CI:$CI)/(SUMIF(ProductCodes,"C",$CH:$CH))),
IF($A41="S",(SUMIF(#REF!,DH$17,#REF!)*$CG41)*(SUMIF(ProductCodes,"S",$CI:$CI)/(SUMIF(ProductCodes,"S",$CH:$CH))),
IF($A41="B",(SUMIF(#REF!,DH$17,#REF!)*$CG41)*(SUMIF(ProductCodes,"B",$CI:$CI)/(SUMIF(ProductCodes,"B",$CH:$CH))),
IF($A41="R",(SUMIF(#REF!,DH$17,#REF!)*$CG41)*(SUMIF(ProductCodes,"R",$CI:$CI)/(SUMIF(ProductCodes,"R",$CH:$CH))),
IF($A41="H",(SUMIF(#REF!,DH$17,#REF!)*$CG41)*(SUMIF(ProductCodes,"H",$CI:$CI)/(SUMIF(ProductCodes,"H",$CH:$CH))),""))))))),"Error")</f>
        <v>Error</v>
      </c>
      <c r="DI41" s="84" t="str">
        <f>IFERROR(
IF(SUMIF(ProductCodes,"C",$CI:$CI)=$CI$775,(IF($A41="C",(SUMIF(#REF!,DI$17,#REF!)*$CG41)*((SUMIF(ProductCodes,"C",$CI:$CI)-SUMIF(ProductCodes,"H",$CH:$CH)-SUMIF(ProductCodes,"R",$CH:$CH)-SUMIF(ProductCodes,"B",$CH:$CH)-(SUMIF(ProductCodes,"S",$CH:$CH)/2))/SUMIF(ProductCodes,"C",$CH:$CH)),IF($A41="S",(SUMIF(#REF!,DI$17,#REF!)*$CG41)/2,
IF($A41="B",(SUMIF(#REF!,DI$17,#REF!)*$CG41),
IF($A41="R",(SUMIF(#REF!,DI$17,#REF!)*$CG41),
IF($A41="H",(SUMIF(#REF!,DI$17,#REF!)*$CG41),"")))))),
IF(SUMIF(ProductCodes,"S",$CI:$CI)=$CI$775,(IF($A41="S",(SUMIF(#REF!,DI$17,#REF!)*$CG41)*((SUMIF(ProductCodes,"S",$CI:$CI)-SUMIF(ProductCodes,"H",$CH:$CH)-SUMIF(ProductCodes,"R",$CH:$CH)-SUMIF(ProductCodes,"B",$CH:$CH)-(SUMIF(ProductCodes,"C",$CH:$CH)/4))/SUMIF(ProductCodes,"S",$CH:$CH)),
IF($A41="C",(SUMIF(#REF!,DI$17,#REF!)*$CG41)/4,
IF($A41="B",(SUMIF(#REF!,DI$17,#REF!)*$CG41),
IF($A41="R",(SUMIF(#REF!,DI$17,#REF!)*$CG41),
IF($A41="H",(SUMIF(#REF!,DI$17,#REF!)*$CG41),"")))))),
IF($A41="C",(SUMIF(#REF!,DI$17,#REF!)*$CG41)*(SUMIF(ProductCodes,"C",$CI:$CI)/(SUMIF(ProductCodes,"C",$CH:$CH))),
IF($A41="S",(SUMIF(#REF!,DI$17,#REF!)*$CG41)*(SUMIF(ProductCodes,"S",$CI:$CI)/(SUMIF(ProductCodes,"S",$CH:$CH))),
IF($A41="B",(SUMIF(#REF!,DI$17,#REF!)*$CG41)*(SUMIF(ProductCodes,"B",$CI:$CI)/(SUMIF(ProductCodes,"B",$CH:$CH))),
IF($A41="R",(SUMIF(#REF!,DI$17,#REF!)*$CG41)*(SUMIF(ProductCodes,"R",$CI:$CI)/(SUMIF(ProductCodes,"R",$CH:$CH))),
IF($A41="H",(SUMIF(#REF!,DI$17,#REF!)*$CG41)*(SUMIF(ProductCodes,"H",$CI:$CI)/(SUMIF(ProductCodes,"H",$CH:$CH))),""))))))),"Error")</f>
        <v>Error</v>
      </c>
      <c r="DJ41" s="84" t="str">
        <f>IFERROR(
IF(SUMIF(ProductCodes,"C",$CI:$CI)=$CI$775,(IF($A41="C",(SUMIF(#REF!,DJ$17,#REF!)*$CG41)*((SUMIF(ProductCodes,"C",$CI:$CI)-SUMIF(ProductCodes,"H",$CH:$CH)-SUMIF(ProductCodes,"R",$CH:$CH)-SUMIF(ProductCodes,"B",$CH:$CH)-(SUMIF(ProductCodes,"S",$CH:$CH)/2))/SUMIF(ProductCodes,"C",$CH:$CH)),IF($A41="S",(SUMIF(#REF!,DJ$17,#REF!)*$CG41)/2,
IF($A41="B",(SUMIF(#REF!,DJ$17,#REF!)*$CG41),
IF($A41="R",(SUMIF(#REF!,DJ$17,#REF!)*$CG41),
IF($A41="H",(SUMIF(#REF!,DJ$17,#REF!)*$CG41),"")))))),
IF(SUMIF(ProductCodes,"S",$CI:$CI)=$CI$775,(IF($A41="S",(SUMIF(#REF!,DJ$17,#REF!)*$CG41)*((SUMIF(ProductCodes,"S",$CI:$CI)-SUMIF(ProductCodes,"H",$CH:$CH)-SUMIF(ProductCodes,"R",$CH:$CH)-SUMIF(ProductCodes,"B",$CH:$CH)-(SUMIF(ProductCodes,"C",$CH:$CH)/4))/SUMIF(ProductCodes,"S",$CH:$CH)),
IF($A41="C",(SUMIF(#REF!,DJ$17,#REF!)*$CG41)/4,
IF($A41="B",(SUMIF(#REF!,DJ$17,#REF!)*$CG41),
IF($A41="R",(SUMIF(#REF!,DJ$17,#REF!)*$CG41),
IF($A41="H",(SUMIF(#REF!,DJ$17,#REF!)*$CG41),"")))))),
IF($A41="C",(SUMIF(#REF!,DJ$17,#REF!)*$CG41)*(SUMIF(ProductCodes,"C",$CI:$CI)/(SUMIF(ProductCodes,"C",$CH:$CH))),
IF($A41="S",(SUMIF(#REF!,DJ$17,#REF!)*$CG41)*(SUMIF(ProductCodes,"S",$CI:$CI)/(SUMIF(ProductCodes,"S",$CH:$CH))),
IF($A41="B",(SUMIF(#REF!,DJ$17,#REF!)*$CG41)*(SUMIF(ProductCodes,"B",$CI:$CI)/(SUMIF(ProductCodes,"B",$CH:$CH))),
IF($A41="R",(SUMIF(#REF!,DJ$17,#REF!)*$CG41)*(SUMIF(ProductCodes,"R",$CI:$CI)/(SUMIF(ProductCodes,"R",$CH:$CH))),
IF($A41="H",(SUMIF(#REF!,DJ$17,#REF!)*$CG41)*(SUMIF(ProductCodes,"H",$CI:$CI)/(SUMIF(ProductCodes,"H",$CH:$CH))),""))))))),"Error")</f>
        <v>Error</v>
      </c>
      <c r="DK41" s="84" t="str">
        <f>IFERROR(
IF(SUMIF(ProductCodes,"C",$CI:$CI)=$CI$775,(IF($A41="C",(SUMIF(#REF!,DK$17,#REF!)*$CG41)*((SUMIF(ProductCodes,"C",$CI:$CI)-SUMIF(ProductCodes,"H",$CH:$CH)-SUMIF(ProductCodes,"R",$CH:$CH)-SUMIF(ProductCodes,"B",$CH:$CH)-(SUMIF(ProductCodes,"S",$CH:$CH)/2))/SUMIF(ProductCodes,"C",$CH:$CH)),IF($A41="S",(SUMIF(#REF!,DK$17,#REF!)*$CG41)/2,
IF($A41="B",(SUMIF(#REF!,DK$17,#REF!)*$CG41),
IF($A41="R",(SUMIF(#REF!,DK$17,#REF!)*$CG41),
IF($A41="H",(SUMIF(#REF!,DK$17,#REF!)*$CG41),"")))))),
IF(SUMIF(ProductCodes,"S",$CI:$CI)=$CI$775,(IF($A41="S",(SUMIF(#REF!,DK$17,#REF!)*$CG41)*((SUMIF(ProductCodes,"S",$CI:$CI)-SUMIF(ProductCodes,"H",$CH:$CH)-SUMIF(ProductCodes,"R",$CH:$CH)-SUMIF(ProductCodes,"B",$CH:$CH)-(SUMIF(ProductCodes,"C",$CH:$CH)/4))/SUMIF(ProductCodes,"S",$CH:$CH)),
IF($A41="C",(SUMIF(#REF!,DK$17,#REF!)*$CG41)/4,
IF($A41="B",(SUMIF(#REF!,DK$17,#REF!)*$CG41),
IF($A41="R",(SUMIF(#REF!,DK$17,#REF!)*$CG41),
IF($A41="H",(SUMIF(#REF!,DK$17,#REF!)*$CG41),"")))))),
IF($A41="C",(SUMIF(#REF!,DK$17,#REF!)*$CG41)*(SUMIF(ProductCodes,"C",$CI:$CI)/(SUMIF(ProductCodes,"C",$CH:$CH))),
IF($A41="S",(SUMIF(#REF!,DK$17,#REF!)*$CG41)*(SUMIF(ProductCodes,"S",$CI:$CI)/(SUMIF(ProductCodes,"S",$CH:$CH))),
IF($A41="B",(SUMIF(#REF!,DK$17,#REF!)*$CG41)*(SUMIF(ProductCodes,"B",$CI:$CI)/(SUMIF(ProductCodes,"B",$CH:$CH))),
IF($A41="R",(SUMIF(#REF!,DK$17,#REF!)*$CG41)*(SUMIF(ProductCodes,"R",$CI:$CI)/(SUMIF(ProductCodes,"R",$CH:$CH))),
IF($A41="H",(SUMIF(#REF!,DK$17,#REF!)*$CG41)*(SUMIF(ProductCodes,"H",$CI:$CI)/(SUMIF(ProductCodes,"H",$CH:$CH))),""))))))),"Error")</f>
        <v>Error</v>
      </c>
      <c r="DL41" s="84" t="str">
        <f>IFERROR(
IF(SUMIF(ProductCodes,"C",$CI:$CI)=$CI$775,(IF($A41="C",(SUMIF(#REF!,DL$17,#REF!)*$CG41)*((SUMIF(ProductCodes,"C",$CI:$CI)-SUMIF(ProductCodes,"H",$CH:$CH)-SUMIF(ProductCodes,"R",$CH:$CH)-SUMIF(ProductCodes,"B",$CH:$CH)-(SUMIF(ProductCodes,"S",$CH:$CH)/2))/SUMIF(ProductCodes,"C",$CH:$CH)),IF($A41="S",(SUMIF(#REF!,DL$17,#REF!)*$CG41)/2,
IF($A41="B",(SUMIF(#REF!,DL$17,#REF!)*$CG41),
IF($A41="R",(SUMIF(#REF!,DL$17,#REF!)*$CG41),
IF($A41="H",(SUMIF(#REF!,DL$17,#REF!)*$CG41),"")))))),
IF(SUMIF(ProductCodes,"S",$CI:$CI)=$CI$775,(IF($A41="S",(SUMIF(#REF!,DL$17,#REF!)*$CG41)*((SUMIF(ProductCodes,"S",$CI:$CI)-SUMIF(ProductCodes,"H",$CH:$CH)-SUMIF(ProductCodes,"R",$CH:$CH)-SUMIF(ProductCodes,"B",$CH:$CH)-(SUMIF(ProductCodes,"C",$CH:$CH)/4))/SUMIF(ProductCodes,"S",$CH:$CH)),
IF($A41="C",(SUMIF(#REF!,DL$17,#REF!)*$CG41)/4,
IF($A41="B",(SUMIF(#REF!,DL$17,#REF!)*$CG41),
IF($A41="R",(SUMIF(#REF!,DL$17,#REF!)*$CG41),
IF($A41="H",(SUMIF(#REF!,DL$17,#REF!)*$CG41),"")))))),
IF($A41="C",(SUMIF(#REF!,DL$17,#REF!)*$CG41)*(SUMIF(ProductCodes,"C",$CI:$CI)/(SUMIF(ProductCodes,"C",$CH:$CH))),
IF($A41="S",(SUMIF(#REF!,DL$17,#REF!)*$CG41)*(SUMIF(ProductCodes,"S",$CI:$CI)/(SUMIF(ProductCodes,"S",$CH:$CH))),
IF($A41="B",(SUMIF(#REF!,DL$17,#REF!)*$CG41)*(SUMIF(ProductCodes,"B",$CI:$CI)/(SUMIF(ProductCodes,"B",$CH:$CH))),
IF($A41="R",(SUMIF(#REF!,DL$17,#REF!)*$CG41)*(SUMIF(ProductCodes,"R",$CI:$CI)/(SUMIF(ProductCodes,"R",$CH:$CH))),
IF($A41="H",(SUMIF(#REF!,DL$17,#REF!)*$CG41)*(SUMIF(ProductCodes,"H",$CI:$CI)/(SUMIF(ProductCodes,"H",$CH:$CH))),""))))))),"Error")</f>
        <v>Error</v>
      </c>
      <c r="DM41" s="84" t="str">
        <f>IFERROR(
IF(SUMIF(ProductCodes,"C",$CI:$CI)=$CI$775,(IF($A41="C",(SUMIF(#REF!,DM$17,#REF!)*$CG41)*((SUMIF(ProductCodes,"C",$CI:$CI)-SUMIF(ProductCodes,"H",$CH:$CH)-SUMIF(ProductCodes,"R",$CH:$CH)-SUMIF(ProductCodes,"B",$CH:$CH)-(SUMIF(ProductCodes,"S",$CH:$CH)/2))/SUMIF(ProductCodes,"C",$CH:$CH)),IF($A41="S",(SUMIF(#REF!,DM$17,#REF!)*$CG41)/2,
IF($A41="B",(SUMIF(#REF!,DM$17,#REF!)*$CG41),
IF($A41="R",(SUMIF(#REF!,DM$17,#REF!)*$CG41),
IF($A41="H",(SUMIF(#REF!,DM$17,#REF!)*$CG41),"")))))),
IF(SUMIF(ProductCodes,"S",$CI:$CI)=$CI$775,(IF($A41="S",(SUMIF(#REF!,DM$17,#REF!)*$CG41)*((SUMIF(ProductCodes,"S",$CI:$CI)-SUMIF(ProductCodes,"H",$CH:$CH)-SUMIF(ProductCodes,"R",$CH:$CH)-SUMIF(ProductCodes,"B",$CH:$CH)-(SUMIF(ProductCodes,"C",$CH:$CH)/4))/SUMIF(ProductCodes,"S",$CH:$CH)),
IF($A41="C",(SUMIF(#REF!,DM$17,#REF!)*$CG41)/4,
IF($A41="B",(SUMIF(#REF!,DM$17,#REF!)*$CG41),
IF($A41="R",(SUMIF(#REF!,DM$17,#REF!)*$CG41),
IF($A41="H",(SUMIF(#REF!,DM$17,#REF!)*$CG41),"")))))),
IF($A41="C",(SUMIF(#REF!,DM$17,#REF!)*$CG41)*(SUMIF(ProductCodes,"C",$CI:$CI)/(SUMIF(ProductCodes,"C",$CH:$CH))),
IF($A41="S",(SUMIF(#REF!,DM$17,#REF!)*$CG41)*(SUMIF(ProductCodes,"S",$CI:$CI)/(SUMIF(ProductCodes,"S",$CH:$CH))),
IF($A41="B",(SUMIF(#REF!,DM$17,#REF!)*$CG41)*(SUMIF(ProductCodes,"B",$CI:$CI)/(SUMIF(ProductCodes,"B",$CH:$CH))),
IF($A41="R",(SUMIF(#REF!,DM$17,#REF!)*$CG41)*(SUMIF(ProductCodes,"R",$CI:$CI)/(SUMIF(ProductCodes,"R",$CH:$CH))),
IF($A41="H",(SUMIF(#REF!,DM$17,#REF!)*$CG41)*(SUMIF(ProductCodes,"H",$CI:$CI)/(SUMIF(ProductCodes,"H",$CH:$CH))),""))))))),"Error")</f>
        <v>Error</v>
      </c>
      <c r="DN41" s="84" t="str">
        <f>IFERROR(
IF(SUMIF(ProductCodes,"C",$CI:$CI)=$CI$775,(IF($A41="C",(SUMIF(#REF!,DN$17,#REF!)*$CG41)*((SUMIF(ProductCodes,"C",$CI:$CI)-SUMIF(ProductCodes,"H",$CH:$CH)-SUMIF(ProductCodes,"R",$CH:$CH)-SUMIF(ProductCodes,"B",$CH:$CH)-(SUMIF(ProductCodes,"S",$CH:$CH)/2))/SUMIF(ProductCodes,"C",$CH:$CH)),IF($A41="S",(SUMIF(#REF!,DN$17,#REF!)*$CG41)/2,
IF($A41="B",(SUMIF(#REF!,DN$17,#REF!)*$CG41),
IF($A41="R",(SUMIF(#REF!,DN$17,#REF!)*$CG41),
IF($A41="H",(SUMIF(#REF!,DN$17,#REF!)*$CG41),"")))))),
IF(SUMIF(ProductCodes,"S",$CI:$CI)=$CI$775,(IF($A41="S",(SUMIF(#REF!,DN$17,#REF!)*$CG41)*((SUMIF(ProductCodes,"S",$CI:$CI)-SUMIF(ProductCodes,"H",$CH:$CH)-SUMIF(ProductCodes,"R",$CH:$CH)-SUMIF(ProductCodes,"B",$CH:$CH)-(SUMIF(ProductCodes,"C",$CH:$CH)/4))/SUMIF(ProductCodes,"S",$CH:$CH)),
IF($A41="C",(SUMIF(#REF!,DN$17,#REF!)*$CG41)/4,
IF($A41="B",(SUMIF(#REF!,DN$17,#REF!)*$CG41),
IF($A41="R",(SUMIF(#REF!,DN$17,#REF!)*$CG41),
IF($A41="H",(SUMIF(#REF!,DN$17,#REF!)*$CG41),"")))))),
IF($A41="C",(SUMIF(#REF!,DN$17,#REF!)*$CG41)*(SUMIF(ProductCodes,"C",$CI:$CI)/(SUMIF(ProductCodes,"C",$CH:$CH))),
IF($A41="S",(SUMIF(#REF!,DN$17,#REF!)*$CG41)*(SUMIF(ProductCodes,"S",$CI:$CI)/(SUMIF(ProductCodes,"S",$CH:$CH))),
IF($A41="B",(SUMIF(#REF!,DN$17,#REF!)*$CG41)*(SUMIF(ProductCodes,"B",$CI:$CI)/(SUMIF(ProductCodes,"B",$CH:$CH))),
IF($A41="R",(SUMIF(#REF!,DN$17,#REF!)*$CG41)*(SUMIF(ProductCodes,"R",$CI:$CI)/(SUMIF(ProductCodes,"R",$CH:$CH))),
IF($A41="H",(SUMIF(#REF!,DN$17,#REF!)*$CG41)*(SUMIF(ProductCodes,"H",$CI:$CI)/(SUMIF(ProductCodes,"H",$CH:$CH))),""))))))),"Error")</f>
        <v>Error</v>
      </c>
      <c r="DO41" s="84" t="str">
        <f>IFERROR(
IF(SUMIF(ProductCodes,"C",$CI:$CI)=$CI$775,(IF($A41="C",(SUMIF(#REF!,DO$17,#REF!)*$CG41)*((SUMIF(ProductCodes,"C",$CI:$CI)-SUMIF(ProductCodes,"H",$CH:$CH)-SUMIF(ProductCodes,"R",$CH:$CH)-SUMIF(ProductCodes,"B",$CH:$CH)-(SUMIF(ProductCodes,"S",$CH:$CH)/2))/SUMIF(ProductCodes,"C",$CH:$CH)),IF($A41="S",(SUMIF(#REF!,DO$17,#REF!)*$CG41)/2,
IF($A41="B",(SUMIF(#REF!,DO$17,#REF!)*$CG41),
IF($A41="R",(SUMIF(#REF!,DO$17,#REF!)*$CG41),
IF($A41="H",(SUMIF(#REF!,DO$17,#REF!)*$CG41),"")))))),
IF(SUMIF(ProductCodes,"S",$CI:$CI)=$CI$775,(IF($A41="S",(SUMIF(#REF!,DO$17,#REF!)*$CG41)*((SUMIF(ProductCodes,"S",$CI:$CI)-SUMIF(ProductCodes,"H",$CH:$CH)-SUMIF(ProductCodes,"R",$CH:$CH)-SUMIF(ProductCodes,"B",$CH:$CH)-(SUMIF(ProductCodes,"C",$CH:$CH)/4))/SUMIF(ProductCodes,"S",$CH:$CH)),
IF($A41="C",(SUMIF(#REF!,DO$17,#REF!)*$CG41)/4,
IF($A41="B",(SUMIF(#REF!,DO$17,#REF!)*$CG41),
IF($A41="R",(SUMIF(#REF!,DO$17,#REF!)*$CG41),
IF($A41="H",(SUMIF(#REF!,DO$17,#REF!)*$CG41),"")))))),
IF($A41="C",(SUMIF(#REF!,DO$17,#REF!)*$CG41)*(SUMIF(ProductCodes,"C",$CI:$CI)/(SUMIF(ProductCodes,"C",$CH:$CH))),
IF($A41="S",(SUMIF(#REF!,DO$17,#REF!)*$CG41)*(SUMIF(ProductCodes,"S",$CI:$CI)/(SUMIF(ProductCodes,"S",$CH:$CH))),
IF($A41="B",(SUMIF(#REF!,DO$17,#REF!)*$CG41)*(SUMIF(ProductCodes,"B",$CI:$CI)/(SUMIF(ProductCodes,"B",$CH:$CH))),
IF($A41="R",(SUMIF(#REF!,DO$17,#REF!)*$CG41)*(SUMIF(ProductCodes,"R",$CI:$CI)/(SUMIF(ProductCodes,"R",$CH:$CH))),
IF($A41="H",(SUMIF(#REF!,DO$17,#REF!)*$CG41)*(SUMIF(ProductCodes,"H",$CI:$CI)/(SUMIF(ProductCodes,"H",$CH:$CH))),""))))))),"Error")</f>
        <v>Error</v>
      </c>
      <c r="DP41" s="85" t="str">
        <f>IFERROR(
IF(SUMIF(ProductCodes,"C",$CI:$CI)=$CI$775,(IF($A41="C",(SUMIF(#REF!,DP$17,#REF!)*$CG41)*((SUMIF(ProductCodes,"C",$CI:$CI)-SUMIF(ProductCodes,"H",$CH:$CH)-SUMIF(ProductCodes,"R",$CH:$CH)-SUMIF(ProductCodes,"B",$CH:$CH)-(SUMIF(ProductCodes,"S",$CH:$CH)/2))/SUMIF(ProductCodes,"C",$CH:$CH)),IF($A41="S",(SUMIF(#REF!,DP$17,#REF!)*$CG41)/2,
IF($A41="B",(SUMIF(#REF!,DP$17,#REF!)*$CG41),
IF($A41="R",(SUMIF(#REF!,DP$17,#REF!)*$CG41),
IF($A41="H",(SUMIF(#REF!,DP$17,#REF!)*$CG41),"")))))),
IF(SUMIF(ProductCodes,"S",$CI:$CI)=$CI$775,(IF($A41="S",(SUMIF(#REF!,DP$17,#REF!)*$CG41)*((SUMIF(ProductCodes,"S",$CI:$CI)-SUMIF(ProductCodes,"H",$CH:$CH)-SUMIF(ProductCodes,"R",$CH:$CH)-SUMIF(ProductCodes,"B",$CH:$CH)-(SUMIF(ProductCodes,"C",$CH:$CH)/4))/SUMIF(ProductCodes,"S",$CH:$CH)),
IF($A41="C",(SUMIF(#REF!,DP$17,#REF!)*$CG41)/4,
IF($A41="B",(SUMIF(#REF!,DP$17,#REF!)*$CG41),
IF($A41="R",(SUMIF(#REF!,DP$17,#REF!)*$CG41),
IF($A41="H",(SUMIF(#REF!,DP$17,#REF!)*$CG41),"")))))),
IF($A41="C",(SUMIF(#REF!,DP$17,#REF!)*$CG41)*(SUMIF(ProductCodes,"C",$CI:$CI)/(SUMIF(ProductCodes,"C",$CH:$CH))),
IF($A41="S",(SUMIF(#REF!,DP$17,#REF!)*$CG41)*(SUMIF(ProductCodes,"S",$CI:$CI)/(SUMIF(ProductCodes,"S",$CH:$CH))),
IF($A41="B",(SUMIF(#REF!,DP$17,#REF!)*$CG41)*(SUMIF(ProductCodes,"B",$CI:$CI)/(SUMIF(ProductCodes,"B",$CH:$CH))),
IF($A41="R",(SUMIF(#REF!,DP$17,#REF!)*$CG41)*(SUMIF(ProductCodes,"R",$CI:$CI)/(SUMIF(ProductCodes,"R",$CH:$CH))),
IF($A41="H",(SUMIF(#REF!,DP$17,#REF!)*$CG41)*(SUMIF(ProductCodes,"H",$CI:$CI)/(SUMIF(ProductCodes,"H",$CH:$CH))),""))))))),"Error")</f>
        <v>Error</v>
      </c>
      <c r="DQ41" s="9"/>
      <c r="DR41" s="9"/>
      <c r="DS41"/>
      <c r="DT41"/>
      <c r="DU41"/>
      <c r="DV41"/>
      <c r="DW41"/>
      <c r="DX41"/>
      <c r="DY41"/>
      <c r="DZ41"/>
      <c r="EA41"/>
      <c r="EB41"/>
      <c r="EC41"/>
      <c r="ED41"/>
    </row>
    <row r="42" spans="1:135" ht="35.25" customHeight="1" thickBot="1" x14ac:dyDescent="0.4">
      <c r="A42" s="114"/>
      <c r="B42" s="241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3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5"/>
      <c r="BQ42" s="185"/>
      <c r="BR42" s="185"/>
      <c r="BS42" s="185"/>
      <c r="BT42" s="185"/>
      <c r="BU42" s="185"/>
      <c r="BV42" s="185"/>
      <c r="BW42" s="185"/>
      <c r="BX42" s="185"/>
      <c r="BY42" s="185"/>
      <c r="BZ42" s="185"/>
      <c r="CA42" s="185"/>
      <c r="CB42" s="185"/>
      <c r="CC42" s="185"/>
      <c r="CD42" s="88"/>
      <c r="CE42" s="115"/>
      <c r="CF42" s="115"/>
      <c r="CG42" s="116" t="s">
        <v>49</v>
      </c>
      <c r="CH42" s="117">
        <f>SUM(CH19:CH41)</f>
        <v>193060</v>
      </c>
      <c r="CI42" s="118">
        <v>120000</v>
      </c>
      <c r="CJ42" s="119" t="e">
        <f>SUM(#REF!)</f>
        <v>#REF!</v>
      </c>
      <c r="CK42" s="120" t="e">
        <f>SUM(#REF!)</f>
        <v>#REF!</v>
      </c>
      <c r="CL42" s="120" t="e">
        <f>SUM(#REF!)</f>
        <v>#REF!</v>
      </c>
      <c r="CM42" s="121"/>
      <c r="CN42" s="122">
        <f>SUM(CN18:CN18)</f>
        <v>0</v>
      </c>
      <c r="CO42" s="122"/>
      <c r="CS42" s="123"/>
      <c r="CT42" s="123"/>
      <c r="CU42" s="123"/>
      <c r="CV42" s="123"/>
      <c r="CW42" s="123"/>
      <c r="CX42" s="123"/>
      <c r="CY42" s="123"/>
      <c r="CZ42" s="123"/>
      <c r="DA42" s="123"/>
      <c r="DB42" s="123"/>
      <c r="DC42" s="123"/>
      <c r="DD42" s="123"/>
      <c r="DE42" s="123"/>
      <c r="DF42" s="123"/>
      <c r="DG42" s="123"/>
      <c r="DH42" s="123"/>
      <c r="DI42" s="123"/>
      <c r="DJ42" s="123"/>
      <c r="DK42" s="123"/>
      <c r="DL42" s="123"/>
      <c r="DM42" s="123"/>
      <c r="DN42" s="123"/>
      <c r="DO42" s="123"/>
      <c r="DP42" s="123"/>
    </row>
    <row r="43" spans="1:135" ht="35.25" customHeight="1" x14ac:dyDescent="0.35">
      <c r="A43" s="124"/>
      <c r="B43" s="125"/>
      <c r="C43" s="126"/>
      <c r="D43" s="126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7"/>
      <c r="BJ43" s="127"/>
      <c r="BK43" s="127"/>
      <c r="BL43" s="127"/>
      <c r="BM43" s="127"/>
      <c r="BN43" s="127"/>
      <c r="BO43" s="127"/>
      <c r="BP43" s="127"/>
      <c r="BQ43" s="127"/>
      <c r="BR43" s="127"/>
      <c r="BS43" s="127"/>
      <c r="BT43" s="127"/>
      <c r="BU43" s="127"/>
      <c r="BV43" s="127"/>
      <c r="BW43" s="127"/>
      <c r="BX43" s="127"/>
      <c r="BY43" s="127"/>
      <c r="BZ43" s="127"/>
      <c r="CA43" s="127"/>
      <c r="CB43" s="127"/>
      <c r="CC43" s="127"/>
      <c r="CD43" s="127"/>
      <c r="CE43" s="128"/>
      <c r="CF43" s="128"/>
      <c r="CG43" s="129"/>
      <c r="CH43" s="130"/>
      <c r="CI43" s="131"/>
      <c r="CJ43" s="130"/>
      <c r="CK43" s="131"/>
      <c r="CM43" s="130"/>
      <c r="CN43" s="132"/>
      <c r="CO43" s="132"/>
      <c r="CS43" s="133"/>
      <c r="CT43" s="133"/>
      <c r="CU43" s="133"/>
      <c r="CV43" s="133"/>
      <c r="CW43" s="133"/>
      <c r="CX43" s="133"/>
      <c r="CY43" s="133"/>
      <c r="CZ43" s="133"/>
      <c r="DA43" s="133"/>
      <c r="DB43" s="133"/>
      <c r="DC43" s="133"/>
      <c r="DD43" s="133"/>
      <c r="DE43" s="133"/>
      <c r="DF43" s="133"/>
      <c r="DG43" s="133"/>
      <c r="DH43" s="133"/>
      <c r="DI43" s="133"/>
      <c r="DJ43" s="133"/>
      <c r="DK43" s="133"/>
      <c r="DL43" s="133"/>
      <c r="DM43" s="133"/>
      <c r="DN43" s="133"/>
      <c r="DO43" s="133"/>
      <c r="DP43" s="133"/>
    </row>
    <row r="44" spans="1:135" ht="19.5" customHeight="1" thickBot="1" x14ac:dyDescent="0.4">
      <c r="B44"/>
      <c r="C44"/>
      <c r="D44"/>
      <c r="CJ44" s="134"/>
      <c r="CK44" s="135"/>
      <c r="CM44" s="134"/>
      <c r="CN44" s="132"/>
      <c r="CO44" s="132"/>
    </row>
    <row r="45" spans="1:135" ht="19.5" customHeight="1" thickBot="1" x14ac:dyDescent="0.4">
      <c r="B45" s="136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8"/>
      <c r="CF45" s="138"/>
      <c r="CG45" s="137"/>
      <c r="CH45" s="137"/>
      <c r="CI45" s="139">
        <f>CI42</f>
        <v>120000</v>
      </c>
      <c r="CJ45" s="134"/>
      <c r="CK45" s="135"/>
      <c r="CM45" s="134"/>
      <c r="CN45" s="140"/>
      <c r="CO45" s="140"/>
    </row>
    <row r="46" spans="1:135" customFormat="1" ht="19.5" customHeight="1" thickBot="1" x14ac:dyDescent="0.4">
      <c r="A46" s="53"/>
      <c r="B46" s="141"/>
      <c r="C46" s="142"/>
      <c r="D46" s="142"/>
      <c r="E46" s="141"/>
      <c r="F46" s="141"/>
      <c r="G46" s="141"/>
      <c r="H46" s="141"/>
      <c r="I46" s="141"/>
      <c r="J46" s="141"/>
      <c r="K46" s="141"/>
      <c r="L46" s="141"/>
      <c r="M46" s="1"/>
      <c r="N46" s="1"/>
      <c r="O46" s="1"/>
      <c r="P46" s="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41"/>
      <c r="AR46" s="141"/>
      <c r="AS46" s="141"/>
      <c r="AT46" s="141"/>
      <c r="AU46" s="141"/>
      <c r="AV46" s="141"/>
      <c r="AW46" s="141"/>
      <c r="AX46" s="141"/>
      <c r="AY46" s="141"/>
      <c r="AZ46" s="1"/>
      <c r="BA46" s="1"/>
      <c r="BB46" s="1"/>
      <c r="BC46" s="1"/>
      <c r="BD46" s="141"/>
      <c r="BE46" s="141"/>
      <c r="BF46" s="141"/>
      <c r="BG46" s="141"/>
      <c r="BH46" s="141"/>
      <c r="BI46" s="141"/>
      <c r="BJ46" s="141"/>
      <c r="BK46" s="141"/>
      <c r="BL46" s="1"/>
      <c r="BM46" s="1"/>
      <c r="BN46" s="1"/>
      <c r="BO46" s="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"/>
      <c r="CE46" s="143"/>
      <c r="CF46" s="144"/>
      <c r="CG46" s="145"/>
      <c r="CH46" s="146" t="s">
        <v>50</v>
      </c>
      <c r="CI46" s="147">
        <f>IFERROR(IF(CH5=0,0,((CI45-SUM(#REF!))*-0.1)),(IF(CH5=0,(CI45*-0.1),0)))</f>
        <v>0</v>
      </c>
      <c r="CJ46" s="134"/>
      <c r="CK46" s="135"/>
      <c r="CM46" s="134"/>
      <c r="CN46" s="140"/>
      <c r="CO46" s="140"/>
      <c r="CR46" s="7"/>
      <c r="CS46" s="1"/>
      <c r="CT46" s="1"/>
      <c r="CU46" s="1"/>
      <c r="CV46" s="1"/>
      <c r="CW46" s="1"/>
      <c r="CX46" s="1"/>
      <c r="CY46" s="1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9"/>
      <c r="DR46" s="9"/>
      <c r="EE46" s="8"/>
    </row>
    <row r="47" spans="1:135" customFormat="1" ht="19.5" customHeight="1" thickBot="1" x14ac:dyDescent="0.4">
      <c r="A47" s="53"/>
      <c r="B47" s="1"/>
      <c r="C47" s="2"/>
      <c r="D47" s="142"/>
      <c r="E47" s="141"/>
      <c r="F47" s="141"/>
      <c r="G47" s="141"/>
      <c r="H47" s="141"/>
      <c r="I47" s="141"/>
      <c r="J47" s="141"/>
      <c r="K47" s="141"/>
      <c r="L47" s="141"/>
      <c r="M47" s="1"/>
      <c r="N47" s="1"/>
      <c r="O47" s="1"/>
      <c r="P47" s="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41"/>
      <c r="AR47" s="141"/>
      <c r="AS47" s="141"/>
      <c r="AT47" s="141"/>
      <c r="AU47" s="141"/>
      <c r="AV47" s="141"/>
      <c r="AW47" s="141"/>
      <c r="AX47" s="141"/>
      <c r="AY47" s="141"/>
      <c r="AZ47" s="1"/>
      <c r="BA47" s="1"/>
      <c r="BB47" s="1"/>
      <c r="BC47" s="1"/>
      <c r="BD47" s="141"/>
      <c r="BE47" s="141"/>
      <c r="BF47" s="141"/>
      <c r="BG47" s="141"/>
      <c r="BH47" s="141"/>
      <c r="BI47" s="141"/>
      <c r="BJ47" s="141"/>
      <c r="BK47" s="141"/>
      <c r="BL47" s="1"/>
      <c r="BM47" s="1"/>
      <c r="BN47" s="1"/>
      <c r="BO47" s="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"/>
      <c r="CE47" s="143"/>
      <c r="CF47" s="144"/>
      <c r="CG47" s="145"/>
      <c r="CH47" s="148" t="s">
        <v>51</v>
      </c>
      <c r="CI47" s="147">
        <f>SUM(CI45:CI46)*0.1</f>
        <v>12000</v>
      </c>
      <c r="CJ47" s="134"/>
      <c r="CK47" s="135"/>
      <c r="CM47" s="134"/>
      <c r="CN47" s="140"/>
      <c r="CO47" s="140"/>
      <c r="CR47" s="7"/>
      <c r="CS47" s="1"/>
      <c r="CT47" s="1"/>
      <c r="CU47" s="1"/>
      <c r="CV47" s="1"/>
      <c r="CW47" s="1"/>
      <c r="CX47" s="1"/>
      <c r="CY47" s="1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9"/>
      <c r="DR47" s="9"/>
    </row>
    <row r="48" spans="1:135" customFormat="1" ht="19.5" customHeight="1" thickBot="1" x14ac:dyDescent="0.4">
      <c r="A48" s="53"/>
      <c r="B48" s="1"/>
      <c r="C48" s="2"/>
      <c r="D48" s="142"/>
      <c r="E48" s="141"/>
      <c r="F48" s="141"/>
      <c r="G48" s="141"/>
      <c r="H48" s="141"/>
      <c r="I48" s="141"/>
      <c r="J48" s="141"/>
      <c r="K48" s="141"/>
      <c r="L48" s="141"/>
      <c r="M48" s="1"/>
      <c r="N48" s="1"/>
      <c r="O48" s="1"/>
      <c r="P48" s="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41"/>
      <c r="AR48" s="141"/>
      <c r="AS48" s="141"/>
      <c r="AT48" s="141"/>
      <c r="AU48" s="141"/>
      <c r="AV48" s="141"/>
      <c r="AW48" s="141"/>
      <c r="AX48" s="141"/>
      <c r="AY48" s="141"/>
      <c r="AZ48" s="1"/>
      <c r="BA48" s="1"/>
      <c r="BB48" s="1"/>
      <c r="BC48" s="1"/>
      <c r="BD48" s="141"/>
      <c r="BE48" s="141"/>
      <c r="BF48" s="141"/>
      <c r="BG48" s="141"/>
      <c r="BH48" s="141"/>
      <c r="BI48" s="141"/>
      <c r="BJ48" s="141"/>
      <c r="BK48" s="141"/>
      <c r="BL48" s="1"/>
      <c r="BM48" s="1"/>
      <c r="BN48" s="1"/>
      <c r="BO48" s="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"/>
      <c r="CE48" s="143"/>
      <c r="CF48" s="144"/>
      <c r="CG48" s="145"/>
      <c r="CH48" s="146" t="s">
        <v>52</v>
      </c>
      <c r="CI48" s="147">
        <f>SUM(CI45:CI47)</f>
        <v>132000</v>
      </c>
      <c r="CJ48" s="134"/>
      <c r="CK48" s="135"/>
      <c r="CM48" s="134"/>
      <c r="CN48" s="140"/>
      <c r="CO48" s="140"/>
      <c r="CR48" s="7"/>
      <c r="CS48" s="1"/>
      <c r="CT48" s="1"/>
      <c r="CU48" s="1"/>
      <c r="CV48" s="1"/>
      <c r="CW48" s="1"/>
      <c r="CX48" s="1"/>
      <c r="CY48" s="1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9"/>
      <c r="DR48" s="9"/>
    </row>
    <row r="49" spans="1:122" customFormat="1" ht="18.75" customHeight="1" x14ac:dyDescent="0.35">
      <c r="A49" s="53"/>
      <c r="B49" s="1"/>
      <c r="C49" s="2"/>
      <c r="D49" s="142"/>
      <c r="E49" s="141"/>
      <c r="F49" s="141"/>
      <c r="G49" s="141"/>
      <c r="H49" s="141"/>
      <c r="I49" s="141"/>
      <c r="J49" s="141"/>
      <c r="K49" s="141"/>
      <c r="L49" s="141"/>
      <c r="M49" s="1"/>
      <c r="N49" s="1"/>
      <c r="O49" s="1"/>
      <c r="P49" s="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41"/>
      <c r="AR49" s="141"/>
      <c r="AS49" s="141"/>
      <c r="AT49" s="141"/>
      <c r="AU49" s="141"/>
      <c r="AV49" s="141"/>
      <c r="AW49" s="141"/>
      <c r="AX49" s="141"/>
      <c r="AY49" s="141"/>
      <c r="AZ49" s="1"/>
      <c r="BA49" s="1"/>
      <c r="BB49" s="1"/>
      <c r="BC49" s="1"/>
      <c r="BD49" s="141"/>
      <c r="BE49" s="141"/>
      <c r="BF49" s="141"/>
      <c r="BG49" s="141"/>
      <c r="BH49" s="141"/>
      <c r="BI49" s="141"/>
      <c r="BJ49" s="141"/>
      <c r="BK49" s="141"/>
      <c r="BL49" s="1"/>
      <c r="BM49" s="1"/>
      <c r="BN49" s="1"/>
      <c r="BO49" s="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"/>
      <c r="CE49" s="3"/>
      <c r="CF49" s="3"/>
      <c r="CG49" s="1"/>
      <c r="CH49" s="1"/>
      <c r="CI49" s="5"/>
      <c r="CJ49" s="134"/>
      <c r="CK49" s="135"/>
      <c r="CM49" s="134"/>
      <c r="CN49" s="140"/>
      <c r="CO49" s="140"/>
      <c r="CR49" s="7"/>
      <c r="CS49" s="1"/>
      <c r="CT49" s="1"/>
      <c r="CU49" s="1"/>
      <c r="CV49" s="1"/>
      <c r="CW49" s="1"/>
      <c r="CX49" s="1"/>
      <c r="CY49" s="1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9"/>
      <c r="DR49" s="9"/>
    </row>
    <row r="50" spans="1:122" customFormat="1" ht="15.75" customHeight="1" x14ac:dyDescent="0.35">
      <c r="A50" s="53"/>
      <c r="B50" s="149"/>
      <c r="C50" s="150" t="s">
        <v>53</v>
      </c>
      <c r="D50" s="142"/>
      <c r="E50" s="141"/>
      <c r="F50" s="141"/>
      <c r="G50" s="141"/>
      <c r="H50" s="141"/>
      <c r="I50" s="141"/>
      <c r="J50" s="141"/>
      <c r="K50" s="141"/>
      <c r="L50" s="141"/>
      <c r="M50" s="1"/>
      <c r="N50" s="1"/>
      <c r="O50" s="1"/>
      <c r="P50" s="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41"/>
      <c r="AR50" s="141"/>
      <c r="AS50" s="141"/>
      <c r="AT50" s="141"/>
      <c r="AU50" s="141"/>
      <c r="AV50" s="141"/>
      <c r="AW50" s="141"/>
      <c r="AX50" s="141"/>
      <c r="AY50" s="141"/>
      <c r="AZ50" s="1"/>
      <c r="BA50" s="1"/>
      <c r="BB50" s="1"/>
      <c r="BC50" s="1"/>
      <c r="BD50" s="141"/>
      <c r="BE50" s="141"/>
      <c r="BF50" s="141"/>
      <c r="BG50" s="141"/>
      <c r="BH50" s="141"/>
      <c r="BI50" s="141"/>
      <c r="BJ50" s="141"/>
      <c r="BK50" s="141"/>
      <c r="BL50" s="1"/>
      <c r="BM50" s="1"/>
      <c r="BN50" s="1"/>
      <c r="BO50" s="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"/>
      <c r="CE50" s="3"/>
      <c r="CF50" s="3"/>
      <c r="CG50" s="238" t="s">
        <v>54</v>
      </c>
      <c r="CH50" s="238"/>
      <c r="CI50" s="238"/>
      <c r="CJ50" s="134"/>
      <c r="CK50" s="135"/>
      <c r="CM50" s="134"/>
      <c r="CN50" s="140"/>
      <c r="CO50" s="140"/>
      <c r="CR50" s="7"/>
      <c r="CS50" s="1"/>
      <c r="CT50" s="1"/>
      <c r="CU50" s="1"/>
      <c r="CV50" s="1"/>
      <c r="CW50" s="1"/>
      <c r="CX50" s="1"/>
      <c r="CY50" s="1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9"/>
      <c r="DR50" s="9"/>
    </row>
    <row r="51" spans="1:122" customFormat="1" ht="15.75" customHeight="1" x14ac:dyDescent="0.35">
      <c r="A51" s="53"/>
      <c r="B51" s="141"/>
      <c r="C51" s="142"/>
      <c r="D51" s="142"/>
      <c r="E51" s="141"/>
      <c r="F51" s="141"/>
      <c r="G51" s="141"/>
      <c r="H51" s="141"/>
      <c r="I51" s="141"/>
      <c r="J51" s="141"/>
      <c r="K51" s="141"/>
      <c r="L51" s="141"/>
      <c r="M51" s="1"/>
      <c r="N51" s="1"/>
      <c r="O51" s="1"/>
      <c r="P51" s="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41"/>
      <c r="AR51" s="141"/>
      <c r="AS51" s="141"/>
      <c r="AT51" s="141"/>
      <c r="AU51" s="141"/>
      <c r="AV51" s="141"/>
      <c r="AW51" s="141"/>
      <c r="AX51" s="141"/>
      <c r="AY51" s="141"/>
      <c r="AZ51" s="1"/>
      <c r="BA51" s="1"/>
      <c r="BB51" s="1"/>
      <c r="BC51" s="1"/>
      <c r="BD51" s="141"/>
      <c r="BE51" s="141"/>
      <c r="BF51" s="141"/>
      <c r="BG51" s="141"/>
      <c r="BH51" s="141"/>
      <c r="BI51" s="141"/>
      <c r="BJ51" s="141"/>
      <c r="BK51" s="141"/>
      <c r="BL51" s="1"/>
      <c r="BM51" s="1"/>
      <c r="BN51" s="1"/>
      <c r="BO51" s="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"/>
      <c r="CE51" s="3"/>
      <c r="CF51" s="143"/>
      <c r="CG51" s="151"/>
      <c r="CH51" s="149"/>
      <c r="CI51" s="152"/>
      <c r="CJ51" s="134"/>
      <c r="CK51" s="135"/>
      <c r="CM51" s="134"/>
      <c r="CN51" s="140"/>
      <c r="CO51" s="140"/>
      <c r="CR51" s="7"/>
      <c r="CS51" s="1"/>
      <c r="CT51" s="1"/>
      <c r="CU51" s="1"/>
      <c r="CV51" s="1"/>
      <c r="CW51" s="1"/>
      <c r="CX51" s="1"/>
      <c r="CY51" s="1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9"/>
      <c r="DR51" s="9"/>
    </row>
    <row r="52" spans="1:122" customFormat="1" ht="15.75" customHeight="1" x14ac:dyDescent="0.35">
      <c r="A52" s="53"/>
      <c r="B52" s="146" t="s">
        <v>55</v>
      </c>
      <c r="C52" s="153"/>
      <c r="D52" s="142"/>
      <c r="E52" s="141"/>
      <c r="F52" s="141"/>
      <c r="G52" s="141"/>
      <c r="H52" s="141"/>
      <c r="I52" s="141"/>
      <c r="J52" s="141"/>
      <c r="K52" s="141"/>
      <c r="L52" s="141"/>
      <c r="M52" s="1"/>
      <c r="N52" s="1"/>
      <c r="O52" s="1"/>
      <c r="P52" s="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41"/>
      <c r="AR52" s="141"/>
      <c r="AS52" s="141"/>
      <c r="AT52" s="141"/>
      <c r="AU52" s="141"/>
      <c r="AV52" s="141"/>
      <c r="AW52" s="141"/>
      <c r="AX52" s="141"/>
      <c r="AY52" s="141"/>
      <c r="AZ52" s="1"/>
      <c r="BA52" s="1"/>
      <c r="BB52" s="1"/>
      <c r="BC52" s="1"/>
      <c r="BD52" s="141"/>
      <c r="BE52" s="141"/>
      <c r="BF52" s="141"/>
      <c r="BG52" s="141"/>
      <c r="BH52" s="141"/>
      <c r="BI52" s="141"/>
      <c r="BJ52" s="141"/>
      <c r="BK52" s="141"/>
      <c r="BL52" s="1"/>
      <c r="BM52" s="1"/>
      <c r="BN52" s="1"/>
      <c r="BO52" s="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"/>
      <c r="CE52" s="3"/>
      <c r="CF52" s="143"/>
      <c r="CG52" s="146" t="s">
        <v>55</v>
      </c>
      <c r="CH52" s="153"/>
      <c r="CI52" s="154"/>
      <c r="CJ52" s="134"/>
      <c r="CK52" s="135"/>
      <c r="CM52" s="134"/>
      <c r="CN52" s="140"/>
      <c r="CO52" s="140"/>
      <c r="CR52" s="7"/>
      <c r="CS52" s="1"/>
      <c r="CT52" s="1"/>
      <c r="CU52" s="1"/>
      <c r="CV52" s="1"/>
      <c r="CW52" s="1"/>
      <c r="CX52" s="1"/>
      <c r="CY52" s="1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9"/>
      <c r="DR52" s="9"/>
    </row>
    <row r="53" spans="1:122" customFormat="1" ht="15.75" customHeight="1" x14ac:dyDescent="0.35">
      <c r="A53" s="53"/>
      <c r="B53" s="146"/>
      <c r="C53" s="142"/>
      <c r="D53" s="142"/>
      <c r="E53" s="141"/>
      <c r="F53" s="141"/>
      <c r="G53" s="141"/>
      <c r="H53" s="141"/>
      <c r="I53" s="141"/>
      <c r="J53" s="141"/>
      <c r="K53" s="141"/>
      <c r="L53" s="141"/>
      <c r="M53" s="1"/>
      <c r="N53" s="1"/>
      <c r="O53" s="1"/>
      <c r="P53" s="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41"/>
      <c r="AR53" s="141"/>
      <c r="AS53" s="141"/>
      <c r="AT53" s="141"/>
      <c r="AU53" s="141"/>
      <c r="AV53" s="141"/>
      <c r="AW53" s="141"/>
      <c r="AX53" s="141"/>
      <c r="AY53" s="141"/>
      <c r="AZ53" s="1"/>
      <c r="BA53" s="1"/>
      <c r="BB53" s="1"/>
      <c r="BC53" s="1"/>
      <c r="BD53" s="141"/>
      <c r="BE53" s="141"/>
      <c r="BF53" s="141"/>
      <c r="BG53" s="141"/>
      <c r="BH53" s="141"/>
      <c r="BI53" s="141"/>
      <c r="BJ53" s="141"/>
      <c r="BK53" s="141"/>
      <c r="BL53" s="1"/>
      <c r="BM53" s="1"/>
      <c r="BN53" s="1"/>
      <c r="BO53" s="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"/>
      <c r="CE53" s="3"/>
      <c r="CF53" s="143"/>
      <c r="CG53" s="146"/>
      <c r="CH53" s="142"/>
      <c r="CI53" s="155"/>
      <c r="CJ53" s="134"/>
      <c r="CK53" s="135"/>
      <c r="CM53" s="134"/>
      <c r="CN53" s="140"/>
      <c r="CO53" s="140"/>
      <c r="CR53" s="7"/>
      <c r="CS53" s="1"/>
      <c r="CT53" s="1"/>
      <c r="CU53" s="1"/>
      <c r="CV53" s="1"/>
      <c r="CW53" s="1"/>
      <c r="CX53" s="1"/>
      <c r="CY53" s="1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9"/>
      <c r="DR53" s="9"/>
    </row>
    <row r="54" spans="1:122" customFormat="1" ht="15.75" customHeight="1" x14ac:dyDescent="0.35">
      <c r="A54" s="53"/>
      <c r="B54" s="146" t="s">
        <v>56</v>
      </c>
      <c r="C54" s="153"/>
      <c r="D54" s="142"/>
      <c r="E54" s="141"/>
      <c r="F54" s="141"/>
      <c r="G54" s="141"/>
      <c r="H54" s="141"/>
      <c r="I54" s="141"/>
      <c r="J54" s="141"/>
      <c r="K54" s="141"/>
      <c r="L54" s="141"/>
      <c r="M54" s="1"/>
      <c r="N54" s="1"/>
      <c r="O54" s="1"/>
      <c r="P54" s="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41"/>
      <c r="AR54" s="141"/>
      <c r="AS54" s="141"/>
      <c r="AT54" s="141"/>
      <c r="AU54" s="141"/>
      <c r="AV54" s="141"/>
      <c r="AW54" s="141"/>
      <c r="AX54" s="141"/>
      <c r="AY54" s="141"/>
      <c r="AZ54" s="1"/>
      <c r="BA54" s="1"/>
      <c r="BB54" s="1"/>
      <c r="BC54" s="1"/>
      <c r="BD54" s="141"/>
      <c r="BE54" s="141"/>
      <c r="BF54" s="141"/>
      <c r="BG54" s="141"/>
      <c r="BH54" s="141"/>
      <c r="BI54" s="141"/>
      <c r="BJ54" s="141"/>
      <c r="BK54" s="141"/>
      <c r="BL54" s="1"/>
      <c r="BM54" s="1"/>
      <c r="BN54" s="1"/>
      <c r="BO54" s="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"/>
      <c r="CE54" s="3"/>
      <c r="CF54" s="143"/>
      <c r="CG54" s="146" t="s">
        <v>56</v>
      </c>
      <c r="CH54" s="153"/>
      <c r="CI54" s="154"/>
      <c r="CJ54" s="134"/>
      <c r="CK54" s="135"/>
      <c r="CM54" s="134"/>
      <c r="CN54" s="140"/>
      <c r="CO54" s="140"/>
      <c r="CR54" s="7"/>
      <c r="CS54" s="1"/>
      <c r="CT54" s="1"/>
      <c r="CU54" s="1"/>
      <c r="CV54" s="1"/>
      <c r="CW54" s="1"/>
      <c r="CX54" s="1"/>
      <c r="CY54" s="1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9"/>
      <c r="DR54" s="9"/>
    </row>
    <row r="55" spans="1:122" customFormat="1" ht="15.75" customHeight="1" x14ac:dyDescent="0.35">
      <c r="A55" s="53"/>
      <c r="B55" s="146"/>
      <c r="C55" s="142"/>
      <c r="D55" s="142"/>
      <c r="E55" s="141"/>
      <c r="F55" s="141"/>
      <c r="G55" s="141"/>
      <c r="H55" s="141"/>
      <c r="I55" s="141"/>
      <c r="J55" s="141"/>
      <c r="K55" s="141"/>
      <c r="L55" s="141"/>
      <c r="M55" s="1"/>
      <c r="N55" s="1"/>
      <c r="O55" s="1"/>
      <c r="P55" s="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41"/>
      <c r="AR55" s="141"/>
      <c r="AS55" s="141"/>
      <c r="AT55" s="141"/>
      <c r="AU55" s="141"/>
      <c r="AV55" s="141"/>
      <c r="AW55" s="141"/>
      <c r="AX55" s="141"/>
      <c r="AY55" s="141"/>
      <c r="AZ55" s="1"/>
      <c r="BA55" s="1"/>
      <c r="BB55" s="1"/>
      <c r="BC55" s="1"/>
      <c r="BD55" s="141"/>
      <c r="BE55" s="141"/>
      <c r="BF55" s="141"/>
      <c r="BG55" s="141"/>
      <c r="BH55" s="141"/>
      <c r="BI55" s="141"/>
      <c r="BJ55" s="141"/>
      <c r="BK55" s="141"/>
      <c r="BL55" s="1"/>
      <c r="BM55" s="1"/>
      <c r="BN55" s="1"/>
      <c r="BO55" s="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"/>
      <c r="CE55" s="3"/>
      <c r="CF55" s="143"/>
      <c r="CG55" s="146"/>
      <c r="CH55" s="142"/>
      <c r="CI55" s="155"/>
      <c r="CJ55" s="134"/>
      <c r="CK55" s="135"/>
      <c r="CM55" s="134"/>
      <c r="CN55" s="140"/>
      <c r="CO55" s="140"/>
      <c r="CR55" s="7"/>
      <c r="CS55" s="1"/>
      <c r="CT55" s="1"/>
      <c r="CU55" s="1"/>
      <c r="CV55" s="1"/>
      <c r="CW55" s="1"/>
      <c r="CX55" s="1"/>
      <c r="CY55" s="1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9"/>
      <c r="DR55" s="9"/>
    </row>
    <row r="56" spans="1:122" customFormat="1" ht="15.75" customHeight="1" x14ac:dyDescent="0.35">
      <c r="A56" s="53"/>
      <c r="B56" s="146" t="s">
        <v>57</v>
      </c>
      <c r="C56" s="153"/>
      <c r="D56" s="142"/>
      <c r="E56" s="141"/>
      <c r="F56" s="141"/>
      <c r="G56" s="141"/>
      <c r="H56" s="141"/>
      <c r="I56" s="141"/>
      <c r="J56" s="141"/>
      <c r="K56" s="141"/>
      <c r="L56" s="141"/>
      <c r="M56" s="1"/>
      <c r="N56" s="1"/>
      <c r="O56" s="1"/>
      <c r="P56" s="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41"/>
      <c r="AR56" s="141"/>
      <c r="AS56" s="141"/>
      <c r="AT56" s="141"/>
      <c r="AU56" s="141"/>
      <c r="AV56" s="141"/>
      <c r="AW56" s="141"/>
      <c r="AX56" s="141"/>
      <c r="AY56" s="141"/>
      <c r="AZ56" s="1"/>
      <c r="BA56" s="1"/>
      <c r="BB56" s="1"/>
      <c r="BC56" s="1"/>
      <c r="BD56" s="141"/>
      <c r="BE56" s="141"/>
      <c r="BF56" s="141"/>
      <c r="BG56" s="141"/>
      <c r="BH56" s="141"/>
      <c r="BI56" s="141"/>
      <c r="BJ56" s="141"/>
      <c r="BK56" s="141"/>
      <c r="BL56" s="1"/>
      <c r="BM56" s="1"/>
      <c r="BN56" s="1"/>
      <c r="BO56" s="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"/>
      <c r="CE56" s="3"/>
      <c r="CF56" s="143"/>
      <c r="CG56" s="146" t="s">
        <v>57</v>
      </c>
      <c r="CH56" s="153"/>
      <c r="CI56" s="154"/>
      <c r="CJ56" s="156"/>
      <c r="CK56" s="157"/>
      <c r="CM56" s="156"/>
      <c r="CN56" s="140"/>
      <c r="CO56" s="140"/>
      <c r="CR56" s="7"/>
      <c r="CS56" s="1"/>
      <c r="CT56" s="1"/>
      <c r="CU56" s="1"/>
      <c r="CV56" s="1"/>
      <c r="CW56" s="1"/>
      <c r="CX56" s="1"/>
      <c r="CY56" s="1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9"/>
      <c r="DR56" s="9"/>
    </row>
    <row r="57" spans="1:122" customFormat="1" ht="15.75" customHeight="1" x14ac:dyDescent="0.35">
      <c r="A57" s="53"/>
      <c r="B57" s="1"/>
      <c r="C57" s="2"/>
      <c r="D57" s="142"/>
      <c r="E57" s="141"/>
      <c r="F57" s="141"/>
      <c r="G57" s="141"/>
      <c r="H57" s="141"/>
      <c r="I57" s="141"/>
      <c r="J57" s="141"/>
      <c r="K57" s="141"/>
      <c r="L57" s="141"/>
      <c r="M57" s="1"/>
      <c r="N57" s="1"/>
      <c r="O57" s="1"/>
      <c r="P57" s="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41"/>
      <c r="AR57" s="141"/>
      <c r="AS57" s="141"/>
      <c r="AT57" s="141"/>
      <c r="AU57" s="141"/>
      <c r="AV57" s="141"/>
      <c r="AW57" s="141"/>
      <c r="AX57" s="141"/>
      <c r="AY57" s="141"/>
      <c r="AZ57" s="1"/>
      <c r="BA57" s="1"/>
      <c r="BB57" s="1"/>
      <c r="BC57" s="1"/>
      <c r="BD57" s="141"/>
      <c r="BE57" s="141"/>
      <c r="BF57" s="141"/>
      <c r="BG57" s="141"/>
      <c r="BH57" s="141"/>
      <c r="BI57" s="141"/>
      <c r="BJ57" s="141"/>
      <c r="BK57" s="141"/>
      <c r="BL57" s="1"/>
      <c r="BM57" s="1"/>
      <c r="BN57" s="1"/>
      <c r="BO57" s="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"/>
      <c r="CE57" s="3"/>
      <c r="CF57" s="143"/>
      <c r="CG57" s="145"/>
      <c r="CH57" s="1"/>
      <c r="CI57" s="5"/>
      <c r="CJ57" s="134"/>
      <c r="CK57" s="135"/>
      <c r="CM57" s="134"/>
      <c r="CN57" s="140"/>
      <c r="CO57" s="140"/>
      <c r="CR57" s="7"/>
      <c r="CS57" s="1"/>
      <c r="CT57" s="1"/>
      <c r="CU57" s="1"/>
      <c r="CV57" s="1"/>
      <c r="CW57" s="1"/>
      <c r="CX57" s="1"/>
      <c r="CY57" s="1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9"/>
      <c r="DR57" s="9"/>
    </row>
    <row r="58" spans="1:122" customFormat="1" ht="16.5" customHeight="1" thickBot="1" x14ac:dyDescent="0.4">
      <c r="A58" s="53"/>
      <c r="B58" s="1"/>
      <c r="C58" s="2"/>
      <c r="D58" s="142"/>
      <c r="E58" s="141"/>
      <c r="F58" s="141"/>
      <c r="G58" s="141"/>
      <c r="H58" s="141"/>
      <c r="I58" s="141"/>
      <c r="J58" s="141"/>
      <c r="K58" s="141"/>
      <c r="L58" s="141"/>
      <c r="M58" s="1"/>
      <c r="N58" s="1"/>
      <c r="O58" s="1"/>
      <c r="P58" s="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41"/>
      <c r="AR58" s="141"/>
      <c r="AS58" s="141"/>
      <c r="AT58" s="141"/>
      <c r="AU58" s="141"/>
      <c r="AV58" s="141"/>
      <c r="AW58" s="141"/>
      <c r="AX58" s="141"/>
      <c r="AY58" s="141"/>
      <c r="AZ58" s="1"/>
      <c r="BA58" s="1"/>
      <c r="BB58" s="1"/>
      <c r="BC58" s="1"/>
      <c r="BD58" s="141"/>
      <c r="BE58" s="141"/>
      <c r="BF58" s="141"/>
      <c r="BG58" s="141"/>
      <c r="BH58" s="141"/>
      <c r="BI58" s="141"/>
      <c r="BJ58" s="141"/>
      <c r="BK58" s="141"/>
      <c r="BL58" s="1"/>
      <c r="BM58" s="1"/>
      <c r="BN58" s="1"/>
      <c r="BO58" s="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"/>
      <c r="CE58" s="3"/>
      <c r="CF58" s="143"/>
      <c r="CG58" s="145"/>
      <c r="CH58" s="145"/>
      <c r="CI58" s="5"/>
      <c r="CJ58" s="158"/>
      <c r="CK58" s="135"/>
      <c r="CM58" s="158"/>
      <c r="CN58" s="140"/>
      <c r="CO58" s="140"/>
      <c r="CR58" s="7"/>
      <c r="CS58" s="1"/>
      <c r="CT58" s="1"/>
      <c r="CU58" s="1"/>
      <c r="CV58" s="1"/>
      <c r="CW58" s="1"/>
      <c r="CX58" s="1"/>
      <c r="CY58" s="1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9"/>
      <c r="DR58" s="9"/>
    </row>
    <row r="59" spans="1:122" customFormat="1" ht="47" thickBot="1" x14ac:dyDescent="0.4">
      <c r="A59" s="53"/>
      <c r="B59" s="239" t="s">
        <v>58</v>
      </c>
      <c r="C59" s="239"/>
      <c r="D59" s="142"/>
      <c r="E59" s="141"/>
      <c r="F59" s="141"/>
      <c r="G59" s="141"/>
      <c r="H59" s="141"/>
      <c r="I59" s="141"/>
      <c r="J59" s="141"/>
      <c r="K59" s="141"/>
      <c r="L59" s="141"/>
      <c r="M59" s="1"/>
      <c r="N59" s="1"/>
      <c r="O59" s="1"/>
      <c r="P59" s="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41"/>
      <c r="AR59" s="141"/>
      <c r="AS59" s="141"/>
      <c r="AT59" s="141"/>
      <c r="AU59" s="141"/>
      <c r="AV59" s="141"/>
      <c r="AW59" s="141"/>
      <c r="AX59" s="141"/>
      <c r="AY59" s="141"/>
      <c r="AZ59" s="1"/>
      <c r="BA59" s="1"/>
      <c r="BB59" s="1"/>
      <c r="BC59" s="1"/>
      <c r="BD59" s="141"/>
      <c r="BE59" s="141"/>
      <c r="BF59" s="141"/>
      <c r="BG59" s="141"/>
      <c r="BH59" s="141"/>
      <c r="BI59" s="141"/>
      <c r="BJ59" s="141"/>
      <c r="BK59" s="141"/>
      <c r="BL59" s="1"/>
      <c r="BM59" s="1"/>
      <c r="BN59" s="1"/>
      <c r="BO59" s="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"/>
      <c r="CE59" s="3"/>
      <c r="CF59" s="143"/>
      <c r="CG59" s="160" t="s">
        <v>59</v>
      </c>
      <c r="CH59" s="161" t="s">
        <v>60</v>
      </c>
      <c r="CI59" s="162" t="s">
        <v>61</v>
      </c>
      <c r="CJ59" s="156"/>
      <c r="CK59" s="163"/>
      <c r="CM59" s="156"/>
      <c r="CN59" s="164"/>
      <c r="CO59" s="164"/>
      <c r="CR59" s="7"/>
      <c r="CS59" s="1"/>
      <c r="CT59" s="1"/>
      <c r="CU59" s="1"/>
      <c r="CV59" s="1"/>
      <c r="CW59" s="1"/>
      <c r="CX59" s="1"/>
      <c r="CY59" s="1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9"/>
      <c r="DR59" s="9"/>
    </row>
    <row r="60" spans="1:122" customFormat="1" ht="15.75" customHeight="1" x14ac:dyDescent="0.35">
      <c r="A60" s="53"/>
      <c r="B60" s="141"/>
      <c r="C60" s="165"/>
      <c r="D60" s="142"/>
      <c r="E60" s="141"/>
      <c r="F60" s="141"/>
      <c r="G60" s="141"/>
      <c r="H60" s="141"/>
      <c r="I60" s="141"/>
      <c r="J60" s="141"/>
      <c r="K60" s="141"/>
      <c r="L60" s="141"/>
      <c r="M60" s="1"/>
      <c r="N60" s="1"/>
      <c r="O60" s="1"/>
      <c r="P60" s="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41"/>
      <c r="AR60" s="141"/>
      <c r="AS60" s="141"/>
      <c r="AT60" s="141"/>
      <c r="AU60" s="141"/>
      <c r="AV60" s="141"/>
      <c r="AW60" s="141"/>
      <c r="AX60" s="141"/>
      <c r="AY60" s="141"/>
      <c r="AZ60" s="1"/>
      <c r="BA60" s="1"/>
      <c r="BB60" s="1"/>
      <c r="BC60" s="1"/>
      <c r="BD60" s="141"/>
      <c r="BE60" s="141"/>
      <c r="BF60" s="141"/>
      <c r="BG60" s="141"/>
      <c r="BH60" s="141"/>
      <c r="BI60" s="141"/>
      <c r="BJ60" s="141"/>
      <c r="BK60" s="141"/>
      <c r="BL60" s="1"/>
      <c r="BM60" s="1"/>
      <c r="BN60" s="1"/>
      <c r="BO60" s="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41"/>
      <c r="CA60" s="141"/>
      <c r="CB60" s="141"/>
      <c r="CC60" s="141"/>
      <c r="CD60" s="1"/>
      <c r="CE60" s="3"/>
      <c r="CF60" s="143"/>
      <c r="CG60" s="166"/>
      <c r="CH60" s="167" t="str">
        <f>IF(CG60="","",IF($CH$5="",CG60+15,CG60+45))</f>
        <v/>
      </c>
      <c r="CI60" s="168">
        <f t="shared" ref="CI60:CI70" si="43">ROUND(IF(CG60="",0,$CI$45/COUNT($CG$60:$CG$86)),0)</f>
        <v>0</v>
      </c>
      <c r="CJ60" s="169"/>
      <c r="CK60" s="135"/>
      <c r="CM60" s="169"/>
      <c r="CN60" s="170"/>
      <c r="CO60" s="170"/>
      <c r="CR60" s="7"/>
      <c r="CS60" s="1"/>
      <c r="CT60" s="1"/>
      <c r="CU60" s="1"/>
      <c r="CV60" s="1"/>
      <c r="CW60" s="1"/>
      <c r="CX60" s="1"/>
      <c r="CY60" s="1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9"/>
      <c r="DR60" s="9"/>
    </row>
    <row r="61" spans="1:122" customFormat="1" ht="15.75" customHeight="1" x14ac:dyDescent="0.35">
      <c r="A61" s="53"/>
      <c r="B61" s="141"/>
      <c r="C61" s="165"/>
      <c r="D61" s="142"/>
      <c r="E61" s="141"/>
      <c r="F61" s="141"/>
      <c r="G61" s="141"/>
      <c r="H61" s="141"/>
      <c r="I61" s="141"/>
      <c r="J61" s="141"/>
      <c r="K61" s="141"/>
      <c r="L61" s="141"/>
      <c r="M61" s="1"/>
      <c r="N61" s="1"/>
      <c r="O61" s="1"/>
      <c r="P61" s="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41"/>
      <c r="AR61" s="141"/>
      <c r="AS61" s="141"/>
      <c r="AT61" s="141"/>
      <c r="AU61" s="141"/>
      <c r="AV61" s="141"/>
      <c r="AW61" s="141"/>
      <c r="AX61" s="141"/>
      <c r="AY61" s="141"/>
      <c r="AZ61" s="1"/>
      <c r="BA61" s="1"/>
      <c r="BB61" s="1"/>
      <c r="BC61" s="1"/>
      <c r="BD61" s="141"/>
      <c r="BE61" s="141"/>
      <c r="BF61" s="141"/>
      <c r="BG61" s="141"/>
      <c r="BH61" s="141"/>
      <c r="BI61" s="141"/>
      <c r="BJ61" s="141"/>
      <c r="BK61" s="141"/>
      <c r="BL61" s="1"/>
      <c r="BM61" s="1"/>
      <c r="BN61" s="1"/>
      <c r="BO61" s="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"/>
      <c r="CE61" s="3"/>
      <c r="CF61" s="143"/>
      <c r="CG61" s="171"/>
      <c r="CH61" s="172" t="str">
        <f t="shared" ref="CH61:CH86" si="44">IF(CG61="","",IF($CH$5="",CG61+15,CG61+45))</f>
        <v/>
      </c>
      <c r="CI61" s="173">
        <f t="shared" si="43"/>
        <v>0</v>
      </c>
      <c r="CJ61" s="169"/>
      <c r="CK61" s="135"/>
      <c r="CM61" s="169"/>
      <c r="CN61" s="170"/>
      <c r="CO61" s="170"/>
      <c r="CR61" s="7"/>
      <c r="CS61" s="1"/>
      <c r="CT61" s="1"/>
      <c r="CU61" s="1"/>
      <c r="CV61" s="1"/>
      <c r="CW61" s="1"/>
      <c r="CX61" s="1"/>
      <c r="CY61" s="1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9"/>
      <c r="DR61" s="9"/>
    </row>
    <row r="62" spans="1:122" customFormat="1" ht="15.75" customHeight="1" x14ac:dyDescent="0.35">
      <c r="A62" s="53"/>
      <c r="B62" s="141" t="s">
        <v>62</v>
      </c>
      <c r="C62" s="165"/>
      <c r="D62" s="142"/>
      <c r="E62" s="141"/>
      <c r="F62" s="141"/>
      <c r="G62" s="141"/>
      <c r="H62" s="141"/>
      <c r="I62" s="141"/>
      <c r="J62" s="141"/>
      <c r="K62" s="141"/>
      <c r="L62" s="141"/>
      <c r="M62" s="1"/>
      <c r="N62" s="1"/>
      <c r="O62" s="1"/>
      <c r="P62" s="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41"/>
      <c r="AR62" s="141"/>
      <c r="AS62" s="141"/>
      <c r="AT62" s="141"/>
      <c r="AU62" s="141"/>
      <c r="AV62" s="141"/>
      <c r="AW62" s="141"/>
      <c r="AX62" s="141"/>
      <c r="AY62" s="141"/>
      <c r="AZ62" s="1"/>
      <c r="BA62" s="1"/>
      <c r="BB62" s="1"/>
      <c r="BC62" s="1"/>
      <c r="BD62" s="141"/>
      <c r="BE62" s="141"/>
      <c r="BF62" s="141"/>
      <c r="BG62" s="141"/>
      <c r="BH62" s="141"/>
      <c r="BI62" s="141"/>
      <c r="BJ62" s="141"/>
      <c r="BK62" s="141"/>
      <c r="BL62" s="1"/>
      <c r="BM62" s="1"/>
      <c r="BN62" s="1"/>
      <c r="BO62" s="1"/>
      <c r="BP62" s="141"/>
      <c r="BQ62" s="141"/>
      <c r="BR62" s="141"/>
      <c r="BS62" s="141"/>
      <c r="BT62" s="141"/>
      <c r="BU62" s="141"/>
      <c r="BV62" s="141"/>
      <c r="BW62" s="141"/>
      <c r="BX62" s="141"/>
      <c r="BY62" s="141"/>
      <c r="BZ62" s="141"/>
      <c r="CA62" s="141"/>
      <c r="CB62" s="141"/>
      <c r="CC62" s="141"/>
      <c r="CD62" s="1"/>
      <c r="CE62" s="3"/>
      <c r="CF62" s="143"/>
      <c r="CG62" s="171"/>
      <c r="CH62" s="172" t="str">
        <f t="shared" si="44"/>
        <v/>
      </c>
      <c r="CI62" s="173">
        <f t="shared" si="43"/>
        <v>0</v>
      </c>
      <c r="CJ62" s="169"/>
      <c r="CK62" s="135"/>
      <c r="CM62" s="169"/>
      <c r="CN62" s="170"/>
      <c r="CO62" s="170"/>
      <c r="CR62" s="7"/>
      <c r="CS62" s="1"/>
      <c r="CT62" s="1"/>
      <c r="CU62" s="1"/>
      <c r="CV62" s="1"/>
      <c r="CW62" s="1"/>
      <c r="CX62" s="1"/>
      <c r="CY62" s="1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9"/>
      <c r="DR62" s="9"/>
    </row>
    <row r="63" spans="1:122" customFormat="1" ht="15.75" customHeight="1" x14ac:dyDescent="0.35">
      <c r="A63" s="53"/>
      <c r="B63" s="141" t="s">
        <v>63</v>
      </c>
      <c r="C63" s="146"/>
      <c r="D63" s="142"/>
      <c r="E63" s="141"/>
      <c r="F63" s="141"/>
      <c r="G63" s="141"/>
      <c r="H63" s="141"/>
      <c r="I63" s="141"/>
      <c r="J63" s="141"/>
      <c r="K63" s="141"/>
      <c r="L63" s="141"/>
      <c r="M63" s="1"/>
      <c r="N63" s="1"/>
      <c r="O63" s="1"/>
      <c r="P63" s="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41"/>
      <c r="AR63" s="141"/>
      <c r="AS63" s="141"/>
      <c r="AT63" s="141"/>
      <c r="AU63" s="141"/>
      <c r="AV63" s="141"/>
      <c r="AW63" s="141"/>
      <c r="AX63" s="141"/>
      <c r="AY63" s="141"/>
      <c r="AZ63" s="1"/>
      <c r="BA63" s="1"/>
      <c r="BB63" s="1"/>
      <c r="BC63" s="1"/>
      <c r="BD63" s="141"/>
      <c r="BE63" s="141"/>
      <c r="BF63" s="141"/>
      <c r="BG63" s="141"/>
      <c r="BH63" s="141"/>
      <c r="BI63" s="141"/>
      <c r="BJ63" s="141"/>
      <c r="BK63" s="141"/>
      <c r="BL63" s="1"/>
      <c r="BM63" s="1"/>
      <c r="BN63" s="1"/>
      <c r="BO63" s="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141"/>
      <c r="CC63" s="141"/>
      <c r="CD63" s="1"/>
      <c r="CE63" s="3"/>
      <c r="CF63" s="143"/>
      <c r="CG63" s="171"/>
      <c r="CH63" s="172" t="str">
        <f t="shared" si="44"/>
        <v/>
      </c>
      <c r="CI63" s="173">
        <f t="shared" si="43"/>
        <v>0</v>
      </c>
      <c r="CJ63" s="169"/>
      <c r="CK63" s="135"/>
      <c r="CM63" s="169"/>
      <c r="CN63" s="170"/>
      <c r="CO63" s="170"/>
      <c r="CR63" s="7"/>
      <c r="CS63" s="1"/>
      <c r="CT63" s="1"/>
      <c r="CU63" s="1"/>
      <c r="CV63" s="1"/>
      <c r="CW63" s="1"/>
      <c r="CX63" s="1"/>
      <c r="CY63" s="1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9"/>
      <c r="DR63" s="9"/>
    </row>
    <row r="64" spans="1:122" customFormat="1" x14ac:dyDescent="0.35">
      <c r="A64" s="53"/>
      <c r="B64" s="174" t="s">
        <v>64</v>
      </c>
      <c r="C64" s="146"/>
      <c r="D64" s="142"/>
      <c r="E64" s="141"/>
      <c r="F64" s="141"/>
      <c r="G64" s="141"/>
      <c r="H64" s="141"/>
      <c r="I64" s="141"/>
      <c r="J64" s="141"/>
      <c r="K64" s="141"/>
      <c r="L64" s="141"/>
      <c r="M64" s="1"/>
      <c r="N64" s="1"/>
      <c r="O64" s="1"/>
      <c r="P64" s="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41"/>
      <c r="AR64" s="141"/>
      <c r="AS64" s="141"/>
      <c r="AT64" s="141"/>
      <c r="AU64" s="141"/>
      <c r="AV64" s="141"/>
      <c r="AW64" s="141"/>
      <c r="AX64" s="141"/>
      <c r="AY64" s="141"/>
      <c r="AZ64" s="1"/>
      <c r="BA64" s="1"/>
      <c r="BB64" s="1"/>
      <c r="BC64" s="1"/>
      <c r="BD64" s="141"/>
      <c r="BE64" s="141"/>
      <c r="BF64" s="141"/>
      <c r="BG64" s="141"/>
      <c r="BH64" s="141"/>
      <c r="BI64" s="141"/>
      <c r="BJ64" s="141"/>
      <c r="BK64" s="141"/>
      <c r="BL64" s="1"/>
      <c r="BM64" s="1"/>
      <c r="BN64" s="1"/>
      <c r="BO64" s="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"/>
      <c r="CE64" s="3"/>
      <c r="CF64" s="143"/>
      <c r="CG64" s="171"/>
      <c r="CH64" s="172" t="str">
        <f t="shared" si="44"/>
        <v/>
      </c>
      <c r="CI64" s="173">
        <f t="shared" si="43"/>
        <v>0</v>
      </c>
      <c r="CJ64" s="169"/>
      <c r="CK64" s="135"/>
      <c r="CM64" s="169"/>
      <c r="CN64" s="135"/>
      <c r="CO64" s="135"/>
      <c r="CR64" s="7"/>
      <c r="CS64" s="1"/>
      <c r="CT64" s="1"/>
      <c r="CU64" s="1"/>
      <c r="CV64" s="1"/>
      <c r="CW64" s="1"/>
      <c r="CX64" s="1"/>
      <c r="CY64" s="1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9"/>
      <c r="DR64" s="9"/>
    </row>
    <row r="65" spans="1:122" customFormat="1" x14ac:dyDescent="0.35">
      <c r="A65" s="53"/>
      <c r="B65" s="145"/>
      <c r="C65" s="145"/>
      <c r="D65" s="142"/>
      <c r="E65" s="141"/>
      <c r="F65" s="141"/>
      <c r="G65" s="141"/>
      <c r="H65" s="141"/>
      <c r="I65" s="141"/>
      <c r="J65" s="141"/>
      <c r="K65" s="141"/>
      <c r="L65" s="141"/>
      <c r="M65" s="1"/>
      <c r="N65" s="1"/>
      <c r="O65" s="1"/>
      <c r="P65" s="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41"/>
      <c r="AR65" s="141"/>
      <c r="AS65" s="141"/>
      <c r="AT65" s="141"/>
      <c r="AU65" s="141"/>
      <c r="AV65" s="141"/>
      <c r="AW65" s="141"/>
      <c r="AX65" s="141"/>
      <c r="AY65" s="141"/>
      <c r="AZ65" s="1"/>
      <c r="BA65" s="1"/>
      <c r="BB65" s="1"/>
      <c r="BC65" s="1"/>
      <c r="BD65" s="141"/>
      <c r="BE65" s="141"/>
      <c r="BF65" s="141"/>
      <c r="BG65" s="141"/>
      <c r="BH65" s="141"/>
      <c r="BI65" s="141"/>
      <c r="BJ65" s="141"/>
      <c r="BK65" s="141"/>
      <c r="BL65" s="1"/>
      <c r="BM65" s="1"/>
      <c r="BN65" s="1"/>
      <c r="BO65" s="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"/>
      <c r="CE65" s="3"/>
      <c r="CF65" s="143"/>
      <c r="CG65" s="171"/>
      <c r="CH65" s="172" t="str">
        <f t="shared" si="44"/>
        <v/>
      </c>
      <c r="CI65" s="173">
        <f t="shared" si="43"/>
        <v>0</v>
      </c>
      <c r="CJ65" s="169"/>
      <c r="CK65" s="135"/>
      <c r="CM65" s="169"/>
      <c r="CN65" s="135"/>
      <c r="CO65" s="135"/>
      <c r="CR65" s="7"/>
      <c r="CS65" s="1"/>
      <c r="CT65" s="1"/>
      <c r="CU65" s="1"/>
      <c r="CV65" s="1"/>
      <c r="CW65" s="1"/>
      <c r="CX65" s="1"/>
      <c r="CY65" s="1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9"/>
      <c r="DR65" s="9"/>
    </row>
    <row r="66" spans="1:122" customFormat="1" x14ac:dyDescent="0.35">
      <c r="A66" s="53"/>
      <c r="B66" s="174" t="s">
        <v>65</v>
      </c>
      <c r="C66" s="146"/>
      <c r="D66" s="142"/>
      <c r="E66" s="141"/>
      <c r="F66" s="141"/>
      <c r="G66" s="141"/>
      <c r="H66" s="141"/>
      <c r="I66" s="141"/>
      <c r="J66" s="141"/>
      <c r="K66" s="141"/>
      <c r="L66" s="141"/>
      <c r="M66" s="1"/>
      <c r="N66" s="1"/>
      <c r="O66" s="1"/>
      <c r="P66" s="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41"/>
      <c r="AR66" s="141"/>
      <c r="AS66" s="141"/>
      <c r="AT66" s="141"/>
      <c r="AU66" s="141"/>
      <c r="AV66" s="141"/>
      <c r="AW66" s="141"/>
      <c r="AX66" s="141"/>
      <c r="AY66" s="141"/>
      <c r="AZ66" s="1"/>
      <c r="BA66" s="1"/>
      <c r="BB66" s="1"/>
      <c r="BC66" s="1"/>
      <c r="BD66" s="141"/>
      <c r="BE66" s="141"/>
      <c r="BF66" s="141"/>
      <c r="BG66" s="141"/>
      <c r="BH66" s="141"/>
      <c r="BI66" s="141"/>
      <c r="BJ66" s="141"/>
      <c r="BK66" s="141"/>
      <c r="BL66" s="1"/>
      <c r="BM66" s="1"/>
      <c r="BN66" s="1"/>
      <c r="BO66" s="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"/>
      <c r="CE66" s="3"/>
      <c r="CF66" s="143"/>
      <c r="CG66" s="171"/>
      <c r="CH66" s="172" t="str">
        <f t="shared" si="44"/>
        <v/>
      </c>
      <c r="CI66" s="173">
        <f t="shared" si="43"/>
        <v>0</v>
      </c>
      <c r="CJ66" s="169"/>
      <c r="CK66" s="135"/>
      <c r="CM66" s="169"/>
      <c r="CN66" s="135"/>
      <c r="CO66" s="135"/>
      <c r="CR66" s="7"/>
      <c r="CS66" s="1"/>
      <c r="CT66" s="1"/>
      <c r="CU66" s="1"/>
      <c r="CV66" s="1"/>
      <c r="CW66" s="1"/>
      <c r="CX66" s="1"/>
      <c r="CY66" s="1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9"/>
      <c r="DR66" s="9"/>
    </row>
    <row r="67" spans="1:122" customFormat="1" x14ac:dyDescent="0.35">
      <c r="A67" s="53"/>
      <c r="B67" s="175" t="s">
        <v>66</v>
      </c>
      <c r="C67" s="146"/>
      <c r="D67" s="142"/>
      <c r="E67" s="141"/>
      <c r="F67" s="141"/>
      <c r="G67" s="141"/>
      <c r="H67" s="141"/>
      <c r="I67" s="141"/>
      <c r="J67" s="141"/>
      <c r="K67" s="141"/>
      <c r="L67" s="141"/>
      <c r="M67" s="1"/>
      <c r="N67" s="1"/>
      <c r="O67" s="1"/>
      <c r="P67" s="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41"/>
      <c r="AR67" s="141"/>
      <c r="AS67" s="141"/>
      <c r="AT67" s="141"/>
      <c r="AU67" s="141"/>
      <c r="AV67" s="141"/>
      <c r="AW67" s="141"/>
      <c r="AX67" s="141"/>
      <c r="AY67" s="141"/>
      <c r="AZ67" s="1"/>
      <c r="BA67" s="1"/>
      <c r="BB67" s="1"/>
      <c r="BC67" s="1"/>
      <c r="BD67" s="141"/>
      <c r="BE67" s="141"/>
      <c r="BF67" s="141"/>
      <c r="BG67" s="141"/>
      <c r="BH67" s="141"/>
      <c r="BI67" s="141"/>
      <c r="BJ67" s="141"/>
      <c r="BK67" s="141"/>
      <c r="BL67" s="1"/>
      <c r="BM67" s="1"/>
      <c r="BN67" s="1"/>
      <c r="BO67" s="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"/>
      <c r="CE67" s="3"/>
      <c r="CF67" s="143"/>
      <c r="CG67" s="171"/>
      <c r="CH67" s="172" t="str">
        <f t="shared" si="44"/>
        <v/>
      </c>
      <c r="CI67" s="173">
        <f t="shared" si="43"/>
        <v>0</v>
      </c>
      <c r="CJ67" s="169"/>
      <c r="CK67" s="135"/>
      <c r="CM67" s="169"/>
      <c r="CN67" s="135"/>
      <c r="CO67" s="135"/>
      <c r="CR67" s="7"/>
      <c r="CS67" s="1"/>
      <c r="CT67" s="1"/>
      <c r="CU67" s="1"/>
      <c r="CV67" s="1"/>
      <c r="CW67" s="1"/>
      <c r="CX67" s="1"/>
      <c r="CY67" s="1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9"/>
      <c r="DR67" s="9"/>
    </row>
    <row r="68" spans="1:122" customFormat="1" ht="15.75" customHeight="1" x14ac:dyDescent="0.35">
      <c r="A68" s="53"/>
      <c r="B68" s="239" t="s">
        <v>67</v>
      </c>
      <c r="C68" s="239"/>
      <c r="D68" s="142"/>
      <c r="E68" s="141"/>
      <c r="F68" s="141"/>
      <c r="G68" s="141"/>
      <c r="H68" s="141"/>
      <c r="I68" s="141"/>
      <c r="J68" s="141"/>
      <c r="K68" s="141"/>
      <c r="L68" s="141"/>
      <c r="M68" s="1"/>
      <c r="N68" s="1"/>
      <c r="O68" s="1"/>
      <c r="P68" s="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41"/>
      <c r="AR68" s="141"/>
      <c r="AS68" s="141"/>
      <c r="AT68" s="141"/>
      <c r="AU68" s="141"/>
      <c r="AV68" s="141"/>
      <c r="AW68" s="141"/>
      <c r="AX68" s="141"/>
      <c r="AY68" s="141"/>
      <c r="AZ68" s="1"/>
      <c r="BA68" s="1"/>
      <c r="BB68" s="1"/>
      <c r="BC68" s="1"/>
      <c r="BD68" s="141"/>
      <c r="BE68" s="141"/>
      <c r="BF68" s="141"/>
      <c r="BG68" s="141"/>
      <c r="BH68" s="141"/>
      <c r="BI68" s="141"/>
      <c r="BJ68" s="141"/>
      <c r="BK68" s="141"/>
      <c r="BL68" s="1"/>
      <c r="BM68" s="1"/>
      <c r="BN68" s="1"/>
      <c r="BO68" s="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"/>
      <c r="CE68" s="3"/>
      <c r="CF68" s="143"/>
      <c r="CG68" s="171"/>
      <c r="CH68" s="172" t="str">
        <f t="shared" si="44"/>
        <v/>
      </c>
      <c r="CI68" s="173">
        <f t="shared" si="43"/>
        <v>0</v>
      </c>
      <c r="CJ68" s="169"/>
      <c r="CK68" s="135"/>
      <c r="CM68" s="169"/>
      <c r="CN68" s="135"/>
      <c r="CO68" s="135"/>
      <c r="CR68" s="7"/>
      <c r="CS68" s="1"/>
      <c r="CT68" s="1"/>
      <c r="CU68" s="1"/>
      <c r="CV68" s="1"/>
      <c r="CW68" s="1"/>
      <c r="CX68" s="1"/>
      <c r="CY68" s="1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9"/>
      <c r="DR68" s="9"/>
    </row>
    <row r="69" spans="1:122" customFormat="1" x14ac:dyDescent="0.35">
      <c r="A69" s="53"/>
      <c r="B69" s="239"/>
      <c r="C69" s="239"/>
      <c r="D69" s="142"/>
      <c r="E69" s="141"/>
      <c r="F69" s="141"/>
      <c r="G69" s="141"/>
      <c r="H69" s="141"/>
      <c r="I69" s="141"/>
      <c r="J69" s="141"/>
      <c r="K69" s="141"/>
      <c r="L69" s="141"/>
      <c r="M69" s="1"/>
      <c r="N69" s="1"/>
      <c r="O69" s="1"/>
      <c r="P69" s="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41"/>
      <c r="AR69" s="141"/>
      <c r="AS69" s="141"/>
      <c r="AT69" s="141"/>
      <c r="AU69" s="141"/>
      <c r="AV69" s="141"/>
      <c r="AW69" s="141"/>
      <c r="AX69" s="141"/>
      <c r="AY69" s="141"/>
      <c r="AZ69" s="1"/>
      <c r="BA69" s="1"/>
      <c r="BB69" s="1"/>
      <c r="BC69" s="1"/>
      <c r="BD69" s="141"/>
      <c r="BE69" s="141"/>
      <c r="BF69" s="141"/>
      <c r="BG69" s="141"/>
      <c r="BH69" s="141"/>
      <c r="BI69" s="141"/>
      <c r="BJ69" s="141"/>
      <c r="BK69" s="141"/>
      <c r="BL69" s="1"/>
      <c r="BM69" s="1"/>
      <c r="BN69" s="1"/>
      <c r="BO69" s="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"/>
      <c r="CE69" s="3"/>
      <c r="CF69" s="143"/>
      <c r="CG69" s="171"/>
      <c r="CH69" s="172" t="str">
        <f t="shared" si="44"/>
        <v/>
      </c>
      <c r="CI69" s="173">
        <f t="shared" si="43"/>
        <v>0</v>
      </c>
      <c r="CJ69" s="169"/>
      <c r="CK69" s="135"/>
      <c r="CM69" s="169"/>
      <c r="CN69" s="135"/>
      <c r="CO69" s="135"/>
      <c r="CR69" s="7"/>
      <c r="CS69" s="1"/>
      <c r="CT69" s="1"/>
      <c r="CU69" s="1"/>
      <c r="CV69" s="1"/>
      <c r="CW69" s="1"/>
      <c r="CX69" s="1"/>
      <c r="CY69" s="1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9"/>
      <c r="DR69" s="9"/>
    </row>
    <row r="70" spans="1:122" customFormat="1" x14ac:dyDescent="0.35">
      <c r="A70" s="53"/>
      <c r="B70" s="239"/>
      <c r="C70" s="239"/>
      <c r="D70" s="142"/>
      <c r="E70" s="141"/>
      <c r="F70" s="141"/>
      <c r="G70" s="141"/>
      <c r="H70" s="141"/>
      <c r="I70" s="141"/>
      <c r="J70" s="141"/>
      <c r="K70" s="141"/>
      <c r="L70" s="141"/>
      <c r="M70" s="1"/>
      <c r="N70" s="1"/>
      <c r="O70" s="1"/>
      <c r="P70" s="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41"/>
      <c r="AR70" s="141"/>
      <c r="AS70" s="141"/>
      <c r="AT70" s="141"/>
      <c r="AU70" s="141"/>
      <c r="AV70" s="141"/>
      <c r="AW70" s="141"/>
      <c r="AX70" s="141"/>
      <c r="AY70" s="141"/>
      <c r="AZ70" s="1"/>
      <c r="BA70" s="1"/>
      <c r="BB70" s="1"/>
      <c r="BC70" s="1"/>
      <c r="BD70" s="141"/>
      <c r="BE70" s="141"/>
      <c r="BF70" s="141"/>
      <c r="BG70" s="141"/>
      <c r="BH70" s="141"/>
      <c r="BI70" s="141"/>
      <c r="BJ70" s="141"/>
      <c r="BK70" s="141"/>
      <c r="BL70" s="1"/>
      <c r="BM70" s="1"/>
      <c r="BN70" s="1"/>
      <c r="BO70" s="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"/>
      <c r="CE70" s="3"/>
      <c r="CF70" s="143"/>
      <c r="CG70" s="171"/>
      <c r="CH70" s="172" t="str">
        <f t="shared" si="44"/>
        <v/>
      </c>
      <c r="CI70" s="173">
        <f t="shared" si="43"/>
        <v>0</v>
      </c>
      <c r="CJ70" s="169"/>
      <c r="CK70" s="135"/>
      <c r="CM70" s="169"/>
      <c r="CN70" s="135"/>
      <c r="CO70" s="135"/>
      <c r="CR70" s="7"/>
      <c r="CS70" s="1"/>
      <c r="CT70" s="1"/>
      <c r="CU70" s="1"/>
      <c r="CV70" s="1"/>
      <c r="CW70" s="1"/>
      <c r="CX70" s="1"/>
      <c r="CY70" s="1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9"/>
      <c r="DR70" s="9"/>
    </row>
    <row r="71" spans="1:122" customFormat="1" x14ac:dyDescent="0.35">
      <c r="A71" s="53"/>
      <c r="B71" s="159"/>
      <c r="C71" s="159"/>
      <c r="D71" s="142"/>
      <c r="E71" s="141"/>
      <c r="F71" s="141"/>
      <c r="G71" s="141"/>
      <c r="H71" s="141"/>
      <c r="I71" s="141"/>
      <c r="J71" s="141"/>
      <c r="K71" s="141"/>
      <c r="L71" s="141"/>
      <c r="M71" s="1"/>
      <c r="N71" s="1"/>
      <c r="O71" s="1"/>
      <c r="P71" s="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41"/>
      <c r="AR71" s="141"/>
      <c r="AS71" s="141"/>
      <c r="AT71" s="141"/>
      <c r="AU71" s="141"/>
      <c r="AV71" s="141"/>
      <c r="AW71" s="141"/>
      <c r="AX71" s="141"/>
      <c r="AY71" s="141"/>
      <c r="AZ71" s="1"/>
      <c r="BA71" s="1"/>
      <c r="BB71" s="1"/>
      <c r="BC71" s="1"/>
      <c r="BD71" s="141"/>
      <c r="BE71" s="141"/>
      <c r="BF71" s="141"/>
      <c r="BG71" s="141"/>
      <c r="BH71" s="141"/>
      <c r="BI71" s="141"/>
      <c r="BJ71" s="141"/>
      <c r="BK71" s="141"/>
      <c r="BL71" s="1"/>
      <c r="BM71" s="1"/>
      <c r="BN71" s="1"/>
      <c r="BO71" s="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"/>
      <c r="CE71" s="3"/>
      <c r="CF71" s="143"/>
      <c r="CG71" s="171"/>
      <c r="CH71" s="172"/>
      <c r="CI71" s="173"/>
      <c r="CJ71" s="169"/>
      <c r="CK71" s="135"/>
      <c r="CM71" s="169"/>
      <c r="CN71" s="135"/>
      <c r="CO71" s="135"/>
      <c r="CR71" s="7"/>
      <c r="CS71" s="1"/>
      <c r="CT71" s="1"/>
      <c r="CU71" s="1"/>
      <c r="CV71" s="1"/>
      <c r="CW71" s="1"/>
      <c r="CX71" s="1"/>
      <c r="CY71" s="1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9"/>
      <c r="DR71" s="9"/>
    </row>
    <row r="72" spans="1:122" customFormat="1" x14ac:dyDescent="0.35">
      <c r="A72" s="53"/>
      <c r="B72" s="176" t="s">
        <v>68</v>
      </c>
      <c r="C72" s="177"/>
      <c r="D72" s="142"/>
      <c r="E72" s="141"/>
      <c r="F72" s="141"/>
      <c r="G72" s="141"/>
      <c r="H72" s="141"/>
      <c r="I72" s="141"/>
      <c r="J72" s="141"/>
      <c r="K72" s="141"/>
      <c r="L72" s="141"/>
      <c r="M72" s="1"/>
      <c r="N72" s="1"/>
      <c r="O72" s="1"/>
      <c r="P72" s="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41"/>
      <c r="AR72" s="141"/>
      <c r="AS72" s="141"/>
      <c r="AT72" s="141"/>
      <c r="AU72" s="141"/>
      <c r="AV72" s="141"/>
      <c r="AW72" s="141"/>
      <c r="AX72" s="141"/>
      <c r="AY72" s="141"/>
      <c r="AZ72" s="1"/>
      <c r="BA72" s="1"/>
      <c r="BB72" s="1"/>
      <c r="BC72" s="1"/>
      <c r="BD72" s="141"/>
      <c r="BE72" s="141"/>
      <c r="BF72" s="141"/>
      <c r="BG72" s="141"/>
      <c r="BH72" s="141"/>
      <c r="BI72" s="141"/>
      <c r="BJ72" s="141"/>
      <c r="BK72" s="141"/>
      <c r="BL72" s="1"/>
      <c r="BM72" s="1"/>
      <c r="BN72" s="1"/>
      <c r="BO72" s="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"/>
      <c r="CE72" s="3"/>
      <c r="CF72" s="143"/>
      <c r="CG72" s="171"/>
      <c r="CH72" s="172" t="str">
        <f t="shared" si="44"/>
        <v/>
      </c>
      <c r="CI72" s="173">
        <f t="shared" ref="CI72:CI86" si="45">ROUND(IF(CG72="",0,$CI$45/COUNT($CG$60:$CG$86)),0)</f>
        <v>0</v>
      </c>
      <c r="CJ72" s="169"/>
      <c r="CK72" s="135"/>
      <c r="CM72" s="169"/>
      <c r="CN72" s="135"/>
      <c r="CO72" s="135"/>
      <c r="CR72" s="7"/>
      <c r="CS72" s="1"/>
      <c r="CT72" s="1"/>
      <c r="CU72" s="1"/>
      <c r="CV72" s="1"/>
      <c r="CW72" s="1"/>
      <c r="CX72" s="1"/>
      <c r="CY72" s="1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9"/>
      <c r="DR72" s="9"/>
    </row>
    <row r="73" spans="1:122" customFormat="1" x14ac:dyDescent="0.35">
      <c r="A73" s="53"/>
      <c r="B73" s="176" t="s">
        <v>69</v>
      </c>
      <c r="C73" s="177"/>
      <c r="D73" s="142"/>
      <c r="E73" s="141"/>
      <c r="F73" s="141"/>
      <c r="G73" s="141"/>
      <c r="H73" s="141"/>
      <c r="I73" s="141"/>
      <c r="J73" s="141"/>
      <c r="K73" s="141"/>
      <c r="L73" s="141"/>
      <c r="M73" s="1"/>
      <c r="N73" s="1"/>
      <c r="O73" s="1"/>
      <c r="P73" s="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41"/>
      <c r="AR73" s="141"/>
      <c r="AS73" s="141"/>
      <c r="AT73" s="141"/>
      <c r="AU73" s="141"/>
      <c r="AV73" s="141"/>
      <c r="AW73" s="141"/>
      <c r="AX73" s="141"/>
      <c r="AY73" s="141"/>
      <c r="AZ73" s="1"/>
      <c r="BA73" s="1"/>
      <c r="BB73" s="1"/>
      <c r="BC73" s="1"/>
      <c r="BD73" s="141"/>
      <c r="BE73" s="141"/>
      <c r="BF73" s="141"/>
      <c r="BG73" s="141"/>
      <c r="BH73" s="141"/>
      <c r="BI73" s="141"/>
      <c r="BJ73" s="141"/>
      <c r="BK73" s="141"/>
      <c r="BL73" s="1"/>
      <c r="BM73" s="1"/>
      <c r="BN73" s="1"/>
      <c r="BO73" s="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"/>
      <c r="CE73" s="3"/>
      <c r="CF73" s="143"/>
      <c r="CG73" s="171"/>
      <c r="CH73" s="172" t="str">
        <f t="shared" si="44"/>
        <v/>
      </c>
      <c r="CI73" s="173">
        <f t="shared" si="45"/>
        <v>0</v>
      </c>
      <c r="CJ73" s="169"/>
      <c r="CK73" s="135"/>
      <c r="CM73" s="169"/>
      <c r="CN73" s="135"/>
      <c r="CO73" s="135"/>
      <c r="CR73" s="7"/>
      <c r="CS73" s="1"/>
      <c r="CT73" s="1"/>
      <c r="CU73" s="1"/>
      <c r="CV73" s="1"/>
      <c r="CW73" s="1"/>
      <c r="CX73" s="1"/>
      <c r="CY73" s="1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9"/>
      <c r="DR73" s="9"/>
    </row>
    <row r="74" spans="1:122" customFormat="1" x14ac:dyDescent="0.35">
      <c r="A74" s="53"/>
      <c r="B74" s="1"/>
      <c r="C74" s="2"/>
      <c r="D74" s="142"/>
      <c r="E74" s="141"/>
      <c r="F74" s="141"/>
      <c r="G74" s="141"/>
      <c r="H74" s="141"/>
      <c r="I74" s="141"/>
      <c r="J74" s="141"/>
      <c r="K74" s="141"/>
      <c r="L74" s="141"/>
      <c r="M74" s="1"/>
      <c r="N74" s="1"/>
      <c r="O74" s="1"/>
      <c r="P74" s="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41"/>
      <c r="AR74" s="141"/>
      <c r="AS74" s="141"/>
      <c r="AT74" s="141"/>
      <c r="AU74" s="141"/>
      <c r="AV74" s="141"/>
      <c r="AW74" s="141"/>
      <c r="AX74" s="141"/>
      <c r="AY74" s="141"/>
      <c r="AZ74" s="1"/>
      <c r="BA74" s="1"/>
      <c r="BB74" s="1"/>
      <c r="BC74" s="1"/>
      <c r="BD74" s="141"/>
      <c r="BE74" s="141"/>
      <c r="BF74" s="141"/>
      <c r="BG74" s="141"/>
      <c r="BH74" s="141"/>
      <c r="BI74" s="141"/>
      <c r="BJ74" s="141"/>
      <c r="BK74" s="141"/>
      <c r="BL74" s="1"/>
      <c r="BM74" s="1"/>
      <c r="BN74" s="1"/>
      <c r="BO74" s="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"/>
      <c r="CE74" s="3"/>
      <c r="CF74" s="143"/>
      <c r="CG74" s="171"/>
      <c r="CH74" s="172" t="str">
        <f t="shared" si="44"/>
        <v/>
      </c>
      <c r="CI74" s="173">
        <f t="shared" si="45"/>
        <v>0</v>
      </c>
      <c r="CJ74" s="169"/>
      <c r="CK74" s="135"/>
      <c r="CM74" s="169"/>
      <c r="CN74" s="135"/>
      <c r="CO74" s="135"/>
      <c r="CR74" s="7"/>
      <c r="CS74" s="1"/>
      <c r="CT74" s="1"/>
      <c r="CU74" s="1"/>
      <c r="CV74" s="1"/>
      <c r="CW74" s="1"/>
      <c r="CX74" s="1"/>
      <c r="CY74" s="1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9"/>
      <c r="DR74" s="9"/>
    </row>
    <row r="75" spans="1:122" customFormat="1" ht="16" thickBot="1" x14ac:dyDescent="0.4">
      <c r="A75" s="53"/>
      <c r="B75" s="1"/>
      <c r="C75" s="2"/>
      <c r="D75" s="142"/>
      <c r="E75" s="141"/>
      <c r="F75" s="141"/>
      <c r="G75" s="141"/>
      <c r="H75" s="141"/>
      <c r="I75" s="141"/>
      <c r="J75" s="141"/>
      <c r="K75" s="141"/>
      <c r="L75" s="141"/>
      <c r="M75" s="1"/>
      <c r="N75" s="1"/>
      <c r="O75" s="1"/>
      <c r="P75" s="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41"/>
      <c r="AR75" s="141"/>
      <c r="AS75" s="141"/>
      <c r="AT75" s="141"/>
      <c r="AU75" s="141"/>
      <c r="AV75" s="141"/>
      <c r="AW75" s="141"/>
      <c r="AX75" s="141"/>
      <c r="AY75" s="141"/>
      <c r="AZ75" s="1"/>
      <c r="BA75" s="1"/>
      <c r="BB75" s="1"/>
      <c r="BC75" s="1"/>
      <c r="BD75" s="141"/>
      <c r="BE75" s="141"/>
      <c r="BF75" s="141"/>
      <c r="BG75" s="141"/>
      <c r="BH75" s="141"/>
      <c r="BI75" s="141"/>
      <c r="BJ75" s="141"/>
      <c r="BK75" s="141"/>
      <c r="BL75" s="1"/>
      <c r="BM75" s="1"/>
      <c r="BN75" s="1"/>
      <c r="BO75" s="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"/>
      <c r="CE75" s="3"/>
      <c r="CF75" s="143"/>
      <c r="CG75" s="178"/>
      <c r="CH75" s="179" t="str">
        <f t="shared" si="44"/>
        <v/>
      </c>
      <c r="CI75" s="180">
        <f t="shared" si="45"/>
        <v>0</v>
      </c>
      <c r="CJ75" s="169"/>
      <c r="CK75" s="135"/>
      <c r="CM75" s="169"/>
      <c r="CN75" s="135"/>
      <c r="CO75" s="135"/>
      <c r="CR75" s="7"/>
      <c r="CS75" s="1"/>
      <c r="CT75" s="1"/>
      <c r="CU75" s="1"/>
      <c r="CV75" s="1"/>
      <c r="CW75" s="1"/>
      <c r="CX75" s="1"/>
      <c r="CY75" s="1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9"/>
      <c r="DR75" s="9"/>
    </row>
    <row r="76" spans="1:122" customFormat="1" x14ac:dyDescent="0.35">
      <c r="A76" s="53"/>
      <c r="B76" s="1"/>
      <c r="C76" s="2"/>
      <c r="D76" s="142"/>
      <c r="E76" s="141"/>
      <c r="F76" s="141"/>
      <c r="G76" s="141"/>
      <c r="H76" s="141"/>
      <c r="I76" s="141"/>
      <c r="J76" s="141"/>
      <c r="K76" s="141"/>
      <c r="L76" s="141"/>
      <c r="M76" s="1"/>
      <c r="N76" s="1"/>
      <c r="O76" s="1"/>
      <c r="P76" s="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41"/>
      <c r="AR76" s="141"/>
      <c r="AS76" s="141"/>
      <c r="AT76" s="141"/>
      <c r="AU76" s="141"/>
      <c r="AV76" s="141"/>
      <c r="AW76" s="141"/>
      <c r="AX76" s="141"/>
      <c r="AY76" s="141"/>
      <c r="AZ76" s="1"/>
      <c r="BA76" s="1"/>
      <c r="BB76" s="1"/>
      <c r="BC76" s="1"/>
      <c r="BD76" s="141"/>
      <c r="BE76" s="141"/>
      <c r="BF76" s="141"/>
      <c r="BG76" s="141"/>
      <c r="BH76" s="141"/>
      <c r="BI76" s="141"/>
      <c r="BJ76" s="141"/>
      <c r="BK76" s="141"/>
      <c r="BL76" s="1"/>
      <c r="BM76" s="1"/>
      <c r="BN76" s="1"/>
      <c r="BO76" s="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"/>
      <c r="CE76" s="3"/>
      <c r="CF76" s="143"/>
      <c r="CG76" s="166"/>
      <c r="CH76" s="167" t="str">
        <f t="shared" si="44"/>
        <v/>
      </c>
      <c r="CI76" s="181">
        <f t="shared" si="45"/>
        <v>0</v>
      </c>
      <c r="CJ76" s="169"/>
      <c r="CK76" s="135"/>
      <c r="CM76" s="169"/>
      <c r="CN76" s="135"/>
      <c r="CO76" s="135"/>
      <c r="CR76" s="7"/>
      <c r="CS76" s="1"/>
      <c r="CT76" s="1"/>
      <c r="CU76" s="1"/>
      <c r="CV76" s="1"/>
      <c r="CW76" s="1"/>
      <c r="CX76" s="1"/>
      <c r="CY76" s="1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9"/>
      <c r="DR76" s="9"/>
    </row>
    <row r="77" spans="1:122" customFormat="1" x14ac:dyDescent="0.35">
      <c r="A77" s="53"/>
      <c r="B77" s="1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3"/>
      <c r="CF77" s="143"/>
      <c r="CG77" s="171"/>
      <c r="CH77" s="172" t="str">
        <f t="shared" si="44"/>
        <v/>
      </c>
      <c r="CI77" s="173">
        <f t="shared" si="45"/>
        <v>0</v>
      </c>
      <c r="CJ77" s="169"/>
      <c r="CK77" s="135"/>
      <c r="CM77" s="169"/>
      <c r="CN77" s="135"/>
      <c r="CO77" s="135"/>
      <c r="CR77" s="7"/>
      <c r="CS77" s="1"/>
      <c r="CT77" s="1"/>
      <c r="CU77" s="1"/>
      <c r="CV77" s="1"/>
      <c r="CW77" s="1"/>
      <c r="CX77" s="1"/>
      <c r="CY77" s="1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9"/>
      <c r="DR77" s="9"/>
    </row>
    <row r="78" spans="1:122" customFormat="1" x14ac:dyDescent="0.35">
      <c r="A78" s="53"/>
      <c r="B78" s="1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3"/>
      <c r="CF78" s="143"/>
      <c r="CG78" s="171"/>
      <c r="CH78" s="172" t="str">
        <f t="shared" si="44"/>
        <v/>
      </c>
      <c r="CI78" s="173">
        <f t="shared" si="45"/>
        <v>0</v>
      </c>
      <c r="CJ78" s="169"/>
      <c r="CK78" s="135"/>
      <c r="CM78" s="169"/>
      <c r="CN78" s="135"/>
      <c r="CO78" s="135"/>
      <c r="CR78" s="7"/>
      <c r="CS78" s="1"/>
      <c r="CT78" s="1"/>
      <c r="CU78" s="1"/>
      <c r="CV78" s="1"/>
      <c r="CW78" s="1"/>
      <c r="CX78" s="1"/>
      <c r="CY78" s="1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9"/>
      <c r="DR78" s="9"/>
    </row>
    <row r="79" spans="1:122" customFormat="1" x14ac:dyDescent="0.35">
      <c r="A79" s="53"/>
      <c r="B79" s="1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3"/>
      <c r="CF79" s="3"/>
      <c r="CG79" s="171"/>
      <c r="CH79" s="172" t="str">
        <f t="shared" si="44"/>
        <v/>
      </c>
      <c r="CI79" s="173">
        <f t="shared" si="45"/>
        <v>0</v>
      </c>
      <c r="CJ79" s="169"/>
      <c r="CK79" s="135"/>
      <c r="CM79" s="169"/>
      <c r="CN79" s="135"/>
      <c r="CO79" s="135"/>
      <c r="CR79" s="7"/>
      <c r="CS79" s="1"/>
      <c r="CT79" s="1"/>
      <c r="CU79" s="1"/>
      <c r="CV79" s="1"/>
      <c r="CW79" s="1"/>
      <c r="CX79" s="1"/>
      <c r="CY79" s="1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9"/>
      <c r="DR79" s="9"/>
    </row>
    <row r="80" spans="1:122" customFormat="1" x14ac:dyDescent="0.35">
      <c r="A80" s="53"/>
      <c r="B80" s="1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3"/>
      <c r="CF80" s="3"/>
      <c r="CG80" s="171"/>
      <c r="CH80" s="172" t="str">
        <f t="shared" si="44"/>
        <v/>
      </c>
      <c r="CI80" s="173">
        <f t="shared" si="45"/>
        <v>0</v>
      </c>
      <c r="CJ80" s="169"/>
      <c r="CK80" s="135"/>
      <c r="CM80" s="169"/>
      <c r="CN80" s="135"/>
      <c r="CO80" s="135"/>
      <c r="CR80" s="7"/>
      <c r="CS80" s="1"/>
      <c r="CT80" s="1"/>
      <c r="CU80" s="1"/>
      <c r="CV80" s="1"/>
      <c r="CW80" s="1"/>
      <c r="CX80" s="1"/>
      <c r="CY80" s="1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9"/>
      <c r="DR80" s="9"/>
    </row>
    <row r="81" spans="1:122" customFormat="1" x14ac:dyDescent="0.35">
      <c r="A81" s="53"/>
      <c r="B81" s="1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3"/>
      <c r="CF81" s="3"/>
      <c r="CG81" s="171"/>
      <c r="CH81" s="172" t="str">
        <f t="shared" si="44"/>
        <v/>
      </c>
      <c r="CI81" s="173">
        <f t="shared" si="45"/>
        <v>0</v>
      </c>
      <c r="CJ81" s="169"/>
      <c r="CK81" s="135"/>
      <c r="CM81" s="169"/>
      <c r="CN81" s="135"/>
      <c r="CO81" s="135"/>
      <c r="CR81" s="7"/>
      <c r="CS81" s="1"/>
      <c r="CT81" s="1"/>
      <c r="CU81" s="1"/>
      <c r="CV81" s="1"/>
      <c r="CW81" s="1"/>
      <c r="CX81" s="1"/>
      <c r="CY81" s="1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9"/>
      <c r="DR81" s="9"/>
    </row>
    <row r="82" spans="1:122" customFormat="1" x14ac:dyDescent="0.35">
      <c r="A82" s="53"/>
      <c r="B82" s="1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3"/>
      <c r="CF82" s="3"/>
      <c r="CG82" s="171"/>
      <c r="CH82" s="172" t="str">
        <f t="shared" si="44"/>
        <v/>
      </c>
      <c r="CI82" s="173">
        <f t="shared" si="45"/>
        <v>0</v>
      </c>
      <c r="CJ82" s="169"/>
      <c r="CK82" s="135"/>
      <c r="CM82" s="169"/>
      <c r="CN82" s="135"/>
      <c r="CO82" s="135"/>
      <c r="CR82" s="7"/>
      <c r="CS82" s="1"/>
      <c r="CT82" s="1"/>
      <c r="CU82" s="1"/>
      <c r="CV82" s="1"/>
      <c r="CW82" s="1"/>
      <c r="CX82" s="1"/>
      <c r="CY82" s="1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9"/>
      <c r="DR82" s="9"/>
    </row>
    <row r="83" spans="1:122" customFormat="1" x14ac:dyDescent="0.35">
      <c r="A83" s="53"/>
      <c r="B83" s="1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3"/>
      <c r="CF83" s="3"/>
      <c r="CG83" s="171"/>
      <c r="CH83" s="172" t="str">
        <f t="shared" si="44"/>
        <v/>
      </c>
      <c r="CI83" s="173">
        <f t="shared" si="45"/>
        <v>0</v>
      </c>
      <c r="CJ83" s="169"/>
      <c r="CK83" s="135"/>
      <c r="CM83" s="169"/>
      <c r="CN83" s="135"/>
      <c r="CO83" s="135"/>
      <c r="CR83" s="7"/>
      <c r="CS83" s="1"/>
      <c r="CT83" s="1"/>
      <c r="CU83" s="1"/>
      <c r="CV83" s="1"/>
      <c r="CW83" s="1"/>
      <c r="CX83" s="1"/>
      <c r="CY83" s="1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9"/>
      <c r="DR83" s="9"/>
    </row>
    <row r="84" spans="1:122" customFormat="1" x14ac:dyDescent="0.35">
      <c r="A84" s="53"/>
      <c r="B84" s="1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3"/>
      <c r="CF84" s="3"/>
      <c r="CG84" s="171"/>
      <c r="CH84" s="172" t="str">
        <f t="shared" si="44"/>
        <v/>
      </c>
      <c r="CI84" s="173">
        <f t="shared" si="45"/>
        <v>0</v>
      </c>
      <c r="CJ84" s="169"/>
      <c r="CK84" s="135"/>
      <c r="CM84" s="169"/>
      <c r="CN84" s="135"/>
      <c r="CO84" s="135"/>
      <c r="CR84" s="7"/>
      <c r="CS84" s="1"/>
      <c r="CT84" s="1"/>
      <c r="CU84" s="1"/>
      <c r="CV84" s="1"/>
      <c r="CW84" s="1"/>
      <c r="CX84" s="1"/>
      <c r="CY84" s="1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9"/>
      <c r="DR84" s="9"/>
    </row>
    <row r="85" spans="1:122" customFormat="1" x14ac:dyDescent="0.35">
      <c r="A85" s="53"/>
      <c r="B85" s="1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3"/>
      <c r="CF85" s="3"/>
      <c r="CG85" s="171"/>
      <c r="CH85" s="172" t="str">
        <f t="shared" si="44"/>
        <v/>
      </c>
      <c r="CI85" s="173">
        <f t="shared" si="45"/>
        <v>0</v>
      </c>
      <c r="CJ85" s="169"/>
      <c r="CK85" s="135"/>
      <c r="CM85" s="169"/>
      <c r="CN85" s="135"/>
      <c r="CO85" s="135"/>
      <c r="CR85" s="7"/>
      <c r="CS85" s="1"/>
      <c r="CT85" s="1"/>
      <c r="CU85" s="1"/>
      <c r="CV85" s="1"/>
      <c r="CW85" s="1"/>
      <c r="CX85" s="1"/>
      <c r="CY85" s="1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9"/>
      <c r="DR85" s="9"/>
    </row>
    <row r="86" spans="1:122" customFormat="1" ht="16" thickBot="1" x14ac:dyDescent="0.4">
      <c r="A86" s="53"/>
      <c r="B86" s="1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3"/>
      <c r="CF86" s="3"/>
      <c r="CG86" s="178"/>
      <c r="CH86" s="182" t="str">
        <f t="shared" si="44"/>
        <v/>
      </c>
      <c r="CI86" s="180">
        <f t="shared" si="45"/>
        <v>0</v>
      </c>
      <c r="CJ86" s="169"/>
      <c r="CK86" s="135"/>
      <c r="CM86" s="169"/>
      <c r="CN86" s="135"/>
      <c r="CO86" s="135"/>
      <c r="CR86" s="7"/>
      <c r="CS86" s="1"/>
      <c r="CT86" s="1"/>
      <c r="CU86" s="1"/>
      <c r="CV86" s="1"/>
      <c r="CW86" s="1"/>
      <c r="CX86" s="1"/>
      <c r="CY86" s="1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9"/>
      <c r="DR86" s="9"/>
    </row>
  </sheetData>
  <sheetProtection formatColumns="0" formatRows="0" selectLockedCells="1"/>
  <protectedRanges>
    <protectedRange sqref="CP1:CR1 CM2:CO8 CL1 CH2:CK8" name="Client_Info_2"/>
    <protectedRange sqref="CH14:CK14 CM14:CO14" name="Client_Info_3_1_1"/>
    <protectedRange sqref="B45:CE45" name="Program_Info_1"/>
    <protectedRange sqref="C59:C64" name="Internal_Info_1"/>
    <protectedRange sqref="CG60:CG86" name="Instalments_1"/>
  </protectedRanges>
  <dataConsolidate/>
  <mergeCells count="283">
    <mergeCell ref="BV40:BY40"/>
    <mergeCell ref="BZ40:CC40"/>
    <mergeCell ref="AD41:AH41"/>
    <mergeCell ref="AI41:AL41"/>
    <mergeCell ref="AM41:AQ41"/>
    <mergeCell ref="AR41:AU41"/>
    <mergeCell ref="AV41:AY41"/>
    <mergeCell ref="AZ41:BD41"/>
    <mergeCell ref="BE41:BH41"/>
    <mergeCell ref="BI41:BL41"/>
    <mergeCell ref="BM41:BQ41"/>
    <mergeCell ref="BR41:BU41"/>
    <mergeCell ref="BV41:BY41"/>
    <mergeCell ref="BZ41:CC41"/>
    <mergeCell ref="AZ40:BD40"/>
    <mergeCell ref="BE40:BH40"/>
    <mergeCell ref="BI40:BL40"/>
    <mergeCell ref="BM40:BQ40"/>
    <mergeCell ref="BR40:BU40"/>
    <mergeCell ref="AD40:AH40"/>
    <mergeCell ref="AI40:AL40"/>
    <mergeCell ref="AM40:AQ40"/>
    <mergeCell ref="AR40:AU40"/>
    <mergeCell ref="AV40:AY40"/>
    <mergeCell ref="BV38:BY38"/>
    <mergeCell ref="BZ38:CC38"/>
    <mergeCell ref="AD39:AH39"/>
    <mergeCell ref="AI39:AL39"/>
    <mergeCell ref="AM39:AQ39"/>
    <mergeCell ref="AR39:AU39"/>
    <mergeCell ref="AV39:AY39"/>
    <mergeCell ref="AZ39:BD39"/>
    <mergeCell ref="BE39:BH39"/>
    <mergeCell ref="BI39:BL39"/>
    <mergeCell ref="BM39:BQ39"/>
    <mergeCell ref="BR39:BU39"/>
    <mergeCell ref="BV39:BY39"/>
    <mergeCell ref="BZ39:CC39"/>
    <mergeCell ref="AZ38:BD38"/>
    <mergeCell ref="BE38:BH38"/>
    <mergeCell ref="BI38:BL38"/>
    <mergeCell ref="BM38:BQ38"/>
    <mergeCell ref="BR38:BU38"/>
    <mergeCell ref="AD38:AH38"/>
    <mergeCell ref="AI38:AL38"/>
    <mergeCell ref="AM38:AQ38"/>
    <mergeCell ref="AR38:AU38"/>
    <mergeCell ref="AV38:AY38"/>
    <mergeCell ref="AD37:AH37"/>
    <mergeCell ref="AI37:AL37"/>
    <mergeCell ref="AM37:AQ37"/>
    <mergeCell ref="AR37:AU37"/>
    <mergeCell ref="AV37:AY37"/>
    <mergeCell ref="AZ37:BD37"/>
    <mergeCell ref="BE37:BH37"/>
    <mergeCell ref="BI37:BL37"/>
    <mergeCell ref="BM37:BQ37"/>
    <mergeCell ref="BR37:BU37"/>
    <mergeCell ref="BV37:BY37"/>
    <mergeCell ref="BZ37:CC37"/>
    <mergeCell ref="BZ34:CC34"/>
    <mergeCell ref="AD35:AH35"/>
    <mergeCell ref="AI35:AL35"/>
    <mergeCell ref="AM35:AQ35"/>
    <mergeCell ref="AR35:AU35"/>
    <mergeCell ref="AV35:AY35"/>
    <mergeCell ref="AZ35:BD35"/>
    <mergeCell ref="BE35:BH35"/>
    <mergeCell ref="BI35:BL35"/>
    <mergeCell ref="BM35:BQ35"/>
    <mergeCell ref="BR35:BU35"/>
    <mergeCell ref="BV35:BY35"/>
    <mergeCell ref="BZ35:CC35"/>
    <mergeCell ref="BE34:BH34"/>
    <mergeCell ref="BI34:BL34"/>
    <mergeCell ref="BM34:BQ34"/>
    <mergeCell ref="BR34:BU34"/>
    <mergeCell ref="BV34:BY34"/>
    <mergeCell ref="AI34:AL34"/>
    <mergeCell ref="AM34:AQ34"/>
    <mergeCell ref="AR34:AU34"/>
    <mergeCell ref="AV34:AY34"/>
    <mergeCell ref="AZ34:BD34"/>
    <mergeCell ref="BZ32:CC32"/>
    <mergeCell ref="AD33:AH33"/>
    <mergeCell ref="AI33:AL33"/>
    <mergeCell ref="AM33:AQ33"/>
    <mergeCell ref="AR33:AU33"/>
    <mergeCell ref="AV33:AY33"/>
    <mergeCell ref="AZ33:BD33"/>
    <mergeCell ref="BE33:BH33"/>
    <mergeCell ref="BI33:BL33"/>
    <mergeCell ref="BM33:BQ33"/>
    <mergeCell ref="BR33:BU33"/>
    <mergeCell ref="BV33:BY33"/>
    <mergeCell ref="BZ33:CC33"/>
    <mergeCell ref="BE32:BH32"/>
    <mergeCell ref="BI32:BL32"/>
    <mergeCell ref="BM32:BQ32"/>
    <mergeCell ref="BR32:BU32"/>
    <mergeCell ref="BV32:BY32"/>
    <mergeCell ref="AI32:AL32"/>
    <mergeCell ref="AM32:AQ32"/>
    <mergeCell ref="AR32:AU32"/>
    <mergeCell ref="AV32:AY32"/>
    <mergeCell ref="AZ32:BD32"/>
    <mergeCell ref="BZ30:CC30"/>
    <mergeCell ref="AD31:AH31"/>
    <mergeCell ref="AI31:AL31"/>
    <mergeCell ref="AM31:AQ31"/>
    <mergeCell ref="AR31:AU31"/>
    <mergeCell ref="AV31:AY31"/>
    <mergeCell ref="AZ31:BD31"/>
    <mergeCell ref="BE31:BH31"/>
    <mergeCell ref="BI31:BL31"/>
    <mergeCell ref="BM31:BQ31"/>
    <mergeCell ref="BR31:BU31"/>
    <mergeCell ref="BV31:BY31"/>
    <mergeCell ref="BZ31:CC31"/>
    <mergeCell ref="BE30:BH30"/>
    <mergeCell ref="BI30:BL30"/>
    <mergeCell ref="BM30:BQ30"/>
    <mergeCell ref="BR30:BU30"/>
    <mergeCell ref="BV30:BY30"/>
    <mergeCell ref="AI30:AL30"/>
    <mergeCell ref="AM30:AQ30"/>
    <mergeCell ref="AR30:AU30"/>
    <mergeCell ref="AV30:AY30"/>
    <mergeCell ref="AZ30:BD30"/>
    <mergeCell ref="AD29:AH29"/>
    <mergeCell ref="AI29:AL29"/>
    <mergeCell ref="AM29:AQ29"/>
    <mergeCell ref="AR29:AU29"/>
    <mergeCell ref="AV29:AY29"/>
    <mergeCell ref="AZ29:BD29"/>
    <mergeCell ref="BE29:BH29"/>
    <mergeCell ref="BI29:BL29"/>
    <mergeCell ref="BM29:BQ29"/>
    <mergeCell ref="BR29:BU29"/>
    <mergeCell ref="BV29:BY29"/>
    <mergeCell ref="BZ29:CC29"/>
    <mergeCell ref="BV26:BY26"/>
    <mergeCell ref="BZ26:CC26"/>
    <mergeCell ref="AD27:AH27"/>
    <mergeCell ref="AI27:AL27"/>
    <mergeCell ref="AM27:AQ27"/>
    <mergeCell ref="AR27:AU27"/>
    <mergeCell ref="AV27:AY27"/>
    <mergeCell ref="AZ27:BD27"/>
    <mergeCell ref="BE27:BH27"/>
    <mergeCell ref="BI27:BL27"/>
    <mergeCell ref="BM27:BQ27"/>
    <mergeCell ref="BR27:BU27"/>
    <mergeCell ref="BV27:BY27"/>
    <mergeCell ref="BZ27:CC27"/>
    <mergeCell ref="AZ26:BD26"/>
    <mergeCell ref="BE26:BH26"/>
    <mergeCell ref="BI26:BL26"/>
    <mergeCell ref="BM26:BQ26"/>
    <mergeCell ref="BR26:BU26"/>
    <mergeCell ref="AD26:AH26"/>
    <mergeCell ref="AI26:AL26"/>
    <mergeCell ref="AM26:AQ26"/>
    <mergeCell ref="AR26:AU26"/>
    <mergeCell ref="AV26:AY26"/>
    <mergeCell ref="BZ24:CC24"/>
    <mergeCell ref="AD25:AH25"/>
    <mergeCell ref="AI25:AL25"/>
    <mergeCell ref="AM25:AQ25"/>
    <mergeCell ref="AR25:AU25"/>
    <mergeCell ref="AV25:AY25"/>
    <mergeCell ref="AZ25:BD25"/>
    <mergeCell ref="BE25:BH25"/>
    <mergeCell ref="BI25:BL25"/>
    <mergeCell ref="BM25:BQ25"/>
    <mergeCell ref="BR25:BU25"/>
    <mergeCell ref="BV25:BY25"/>
    <mergeCell ref="BZ25:CC25"/>
    <mergeCell ref="BE24:BH24"/>
    <mergeCell ref="BI24:BL24"/>
    <mergeCell ref="BM24:BQ24"/>
    <mergeCell ref="BR24:BU24"/>
    <mergeCell ref="BV24:BY24"/>
    <mergeCell ref="AI24:AL24"/>
    <mergeCell ref="AM24:AQ24"/>
    <mergeCell ref="AR24:AU24"/>
    <mergeCell ref="AZ24:BD24"/>
    <mergeCell ref="BZ22:CC22"/>
    <mergeCell ref="AD23:AH23"/>
    <mergeCell ref="AI23:AL23"/>
    <mergeCell ref="AM23:AQ23"/>
    <mergeCell ref="AR23:AU23"/>
    <mergeCell ref="AV23:AY23"/>
    <mergeCell ref="AZ23:BD23"/>
    <mergeCell ref="BE23:BH23"/>
    <mergeCell ref="BI23:BL23"/>
    <mergeCell ref="BM23:BQ23"/>
    <mergeCell ref="BR23:BU23"/>
    <mergeCell ref="BV23:BY23"/>
    <mergeCell ref="BZ23:CC23"/>
    <mergeCell ref="BE22:BH22"/>
    <mergeCell ref="BI22:BL22"/>
    <mergeCell ref="BM22:BQ22"/>
    <mergeCell ref="BR22:BU22"/>
    <mergeCell ref="BV22:BY22"/>
    <mergeCell ref="AI22:AL22"/>
    <mergeCell ref="AM22:AQ22"/>
    <mergeCell ref="AR22:AU22"/>
    <mergeCell ref="AV22:AY22"/>
    <mergeCell ref="E18:BD18"/>
    <mergeCell ref="AD20:AH20"/>
    <mergeCell ref="AI20:AL20"/>
    <mergeCell ref="AR20:AU20"/>
    <mergeCell ref="AV20:AY20"/>
    <mergeCell ref="BM16:BP16"/>
    <mergeCell ref="BR16:BU16"/>
    <mergeCell ref="BV16:BY16"/>
    <mergeCell ref="BZ16:CC16"/>
    <mergeCell ref="BE18:CC18"/>
    <mergeCell ref="BR20:BU20"/>
    <mergeCell ref="BV20:BY20"/>
    <mergeCell ref="BZ20:CC20"/>
    <mergeCell ref="BE20:BH20"/>
    <mergeCell ref="BI20:BL20"/>
    <mergeCell ref="AM20:AQ20"/>
    <mergeCell ref="AZ20:BD20"/>
    <mergeCell ref="BM20:BQ20"/>
    <mergeCell ref="AG1:AH9"/>
    <mergeCell ref="CJ14:CL14"/>
    <mergeCell ref="CM14:CO14"/>
    <mergeCell ref="B16:B17"/>
    <mergeCell ref="C16:C17"/>
    <mergeCell ref="D16:D17"/>
    <mergeCell ref="E16:H16"/>
    <mergeCell ref="I16:L16"/>
    <mergeCell ref="Q16:U16"/>
    <mergeCell ref="AE16:AH16"/>
    <mergeCell ref="CN16:CN17"/>
    <mergeCell ref="CO16:CO17"/>
    <mergeCell ref="V16:Y16"/>
    <mergeCell ref="AI16:AL16"/>
    <mergeCell ref="AM16:AQ16"/>
    <mergeCell ref="AR16:AU16"/>
    <mergeCell ref="Z16:AD16"/>
    <mergeCell ref="CP16:CP17"/>
    <mergeCell ref="CI16:CI17"/>
    <mergeCell ref="CJ16:CJ17"/>
    <mergeCell ref="CK16:CK17"/>
    <mergeCell ref="CL16:CL17"/>
    <mergeCell ref="AV16:AY16"/>
    <mergeCell ref="CD16:CD17"/>
    <mergeCell ref="CE16:CE17"/>
    <mergeCell ref="CF16:CF17"/>
    <mergeCell ref="CG16:CG17"/>
    <mergeCell ref="CM16:CM17"/>
    <mergeCell ref="CH16:CH17"/>
    <mergeCell ref="AZ16:BD16"/>
    <mergeCell ref="BE16:BH16"/>
    <mergeCell ref="BI16:BL16"/>
    <mergeCell ref="AD24:AH24"/>
    <mergeCell ref="AD30:AH30"/>
    <mergeCell ref="AD32:AH32"/>
    <mergeCell ref="AD34:AH34"/>
    <mergeCell ref="CG50:CI50"/>
    <mergeCell ref="B59:C59"/>
    <mergeCell ref="B68:C70"/>
    <mergeCell ref="CI19:CI41"/>
    <mergeCell ref="B42:BC42"/>
    <mergeCell ref="AZ22:BD22"/>
    <mergeCell ref="AD21:AH21"/>
    <mergeCell ref="AI21:AL21"/>
    <mergeCell ref="AM21:AQ21"/>
    <mergeCell ref="AR21:AU21"/>
    <mergeCell ref="AV21:AY21"/>
    <mergeCell ref="AZ21:BD21"/>
    <mergeCell ref="BE21:BH21"/>
    <mergeCell ref="BI21:BL21"/>
    <mergeCell ref="BM21:BQ21"/>
    <mergeCell ref="BR21:BU21"/>
    <mergeCell ref="BV21:BY21"/>
    <mergeCell ref="BZ21:CC21"/>
    <mergeCell ref="AD22:AH22"/>
    <mergeCell ref="AV24:AY24"/>
  </mergeCells>
  <dataValidations count="1">
    <dataValidation allowBlank="1" showInputMessage="1" showErrorMessage="1" prompt="Enter:  YES or NO" sqref="C63:C64 C66:C67" xr:uid="{0AB0C4B6-28F0-4085-B641-3571EE891323}"/>
  </dataValidations>
  <hyperlinks>
    <hyperlink ref="B67" r:id="rId1" xr:uid="{E59723EE-27A0-461B-8997-D9042B090DF9}"/>
    <hyperlink ref="CN59" r:id="rId2" display="mailto:pricing@sen.com.au" xr:uid="{EEABF2F2-DD0F-4A40-A716-23D97A7AAE60}"/>
    <hyperlink ref="CO59" r:id="rId3" display="mailto:pricing@sen.com.au" xr:uid="{FFF35BA6-B5F9-477E-95C5-31086B7CC7C1}"/>
  </hyperlinks>
  <pageMargins left="0.23622047244094491" right="0.23622047244094491" top="0.39370078740157483" bottom="0.19685039370078741" header="0.31496062992125984" footer="0.31496062992125984"/>
  <pageSetup paperSize="8" scale="13" fitToHeight="0" orientation="portrait" r:id="rId4"/>
  <headerFooter alignWithMargins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OPTION 2</vt:lpstr>
      <vt:lpstr>'OPTION 2'!Month1</vt:lpstr>
      <vt:lpstr>'OPTION 2'!Month10</vt:lpstr>
      <vt:lpstr>'OPTION 2'!Month11</vt:lpstr>
      <vt:lpstr>'OPTION 2'!Month12</vt:lpstr>
      <vt:lpstr>'OPTION 2'!Month13</vt:lpstr>
      <vt:lpstr>'OPTION 2'!Month14</vt:lpstr>
      <vt:lpstr>'OPTION 2'!Month15</vt:lpstr>
      <vt:lpstr>'OPTION 2'!Month16</vt:lpstr>
      <vt:lpstr>'OPTION 2'!Month17</vt:lpstr>
      <vt:lpstr>'OPTION 2'!Month18</vt:lpstr>
      <vt:lpstr>'OPTION 2'!Month19</vt:lpstr>
      <vt:lpstr>'OPTION 2'!Month2</vt:lpstr>
      <vt:lpstr>'OPTION 2'!Month20</vt:lpstr>
      <vt:lpstr>'OPTION 2'!Month21</vt:lpstr>
      <vt:lpstr>'OPTION 2'!Month22</vt:lpstr>
      <vt:lpstr>'OPTION 2'!Month23</vt:lpstr>
      <vt:lpstr>'OPTION 2'!Month24</vt:lpstr>
      <vt:lpstr>'OPTION 2'!Month3</vt:lpstr>
      <vt:lpstr>'OPTION 2'!Month4</vt:lpstr>
      <vt:lpstr>'OPTION 2'!Month5</vt:lpstr>
      <vt:lpstr>'OPTION 2'!Month6</vt:lpstr>
      <vt:lpstr>'OPTION 2'!Month7</vt:lpstr>
      <vt:lpstr>'OPTION 2'!Month8</vt:lpstr>
      <vt:lpstr>'OPTION 2'!Month9</vt:lpstr>
      <vt:lpstr>'OPTION 2'!Print_Area</vt:lpstr>
      <vt:lpstr>'OPTION 2'!Print_Titles</vt:lpstr>
      <vt:lpstr>'OPTION 2'!ProductCodes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Perreau</dc:creator>
  <cp:lastModifiedBy>Tessa Moritz</cp:lastModifiedBy>
  <dcterms:created xsi:type="dcterms:W3CDTF">2023-04-11T01:09:55Z</dcterms:created>
  <dcterms:modified xsi:type="dcterms:W3CDTF">2025-05-12T01:12:22Z</dcterms:modified>
</cp:coreProperties>
</file>