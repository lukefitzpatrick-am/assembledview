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/>
  <xr:revisionPtr revIDLastSave="0" documentId="13_ncr:1_{6FC1DAD5-683E-4C1E-A597-BA5DF41BC301}" xr6:coauthVersionLast="47" xr6:coauthVersionMax="47" xr10:uidLastSave="{00000000-0000-0000-0000-000000000000}"/>
  <bookViews>
    <workbookView xWindow="19090" yWindow="2260" windowWidth="19420" windowHeight="10300" tabRatio="730" activeTab="1" xr2:uid="{80DA0208-4910-4F52-B2D5-0B7A9AADC407}"/>
  </bookViews>
  <sheets>
    <sheet name="Campaign MOVE Summary" sheetId="48" r:id="rId1"/>
    <sheet name="QMS_2026_Paid" sheetId="53" r:id="rId2"/>
    <sheet name="QMS_2026_Bonus" sheetId="47" r:id="rId3"/>
  </sheets>
  <externalReferences>
    <externalReference r:id="rId4"/>
  </externalReferences>
  <definedNames>
    <definedName name="_xlnm._FilterDatabase" localSheetId="2" hidden="1">QMS_2026_Bonus!$A$12:$DZ$46</definedName>
    <definedName name="_xlnm._FilterDatabase" localSheetId="1" hidden="1">QMS_2026_Paid!$A$12:$DZ$64</definedName>
    <definedName name="category" localSheetId="2">#REF!</definedName>
    <definedName name="category" localSheetId="1">#REF!</definedName>
    <definedName name="category">#REF!</definedName>
    <definedName name="status">[1]Hide!$A$1:$A$3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U64" i="53" l="1"/>
  <c r="DR55" i="53"/>
  <c r="DQ55" i="53"/>
  <c r="DP55" i="53"/>
  <c r="DR54" i="53"/>
  <c r="DQ54" i="53"/>
  <c r="DP54" i="53"/>
  <c r="DR53" i="53"/>
  <c r="DQ53" i="53"/>
  <c r="DP53" i="53"/>
  <c r="DR52" i="53"/>
  <c r="DQ52" i="53"/>
  <c r="DP52" i="53"/>
  <c r="DR51" i="53"/>
  <c r="DQ51" i="53"/>
  <c r="DP51" i="53"/>
  <c r="DR50" i="53"/>
  <c r="DQ50" i="53"/>
  <c r="DP50" i="53"/>
  <c r="DR49" i="53"/>
  <c r="DQ49" i="53"/>
  <c r="DP49" i="53"/>
  <c r="DR48" i="53"/>
  <c r="DQ48" i="53"/>
  <c r="DP48" i="53"/>
  <c r="DR47" i="53"/>
  <c r="DQ47" i="53"/>
  <c r="DP47" i="53"/>
  <c r="DR46" i="53"/>
  <c r="DQ46" i="53"/>
  <c r="DP46" i="53"/>
  <c r="DR45" i="53"/>
  <c r="DQ45" i="53"/>
  <c r="DP45" i="53"/>
  <c r="DR44" i="53"/>
  <c r="DQ44" i="53"/>
  <c r="DP44" i="53"/>
  <c r="DR42" i="53"/>
  <c r="DQ42" i="53"/>
  <c r="DP42" i="53"/>
  <c r="DR41" i="53"/>
  <c r="DQ41" i="53"/>
  <c r="DP41" i="53"/>
  <c r="DR40" i="53"/>
  <c r="DQ40" i="53"/>
  <c r="DP40" i="53"/>
  <c r="DR39" i="53"/>
  <c r="DQ39" i="53"/>
  <c r="DP39" i="53"/>
  <c r="DR38" i="53"/>
  <c r="DQ38" i="53"/>
  <c r="DP38" i="53"/>
  <c r="DR37" i="53"/>
  <c r="DQ37" i="53"/>
  <c r="DP37" i="53"/>
  <c r="DR36" i="53"/>
  <c r="DQ36" i="53"/>
  <c r="DP36" i="53"/>
  <c r="DR35" i="53"/>
  <c r="DQ35" i="53"/>
  <c r="DP35" i="53"/>
  <c r="DR34" i="53"/>
  <c r="DQ34" i="53"/>
  <c r="DP34" i="53"/>
  <c r="DR33" i="53"/>
  <c r="DQ33" i="53"/>
  <c r="DP33" i="53"/>
  <c r="DR32" i="53"/>
  <c r="DQ32" i="53"/>
  <c r="DP32" i="53"/>
  <c r="DR31" i="53"/>
  <c r="DQ31" i="53"/>
  <c r="DP31" i="53"/>
  <c r="DR30" i="53"/>
  <c r="DQ30" i="53"/>
  <c r="DP30" i="53"/>
  <c r="DR29" i="53"/>
  <c r="DQ29" i="53"/>
  <c r="DP29" i="53"/>
  <c r="DR28" i="53"/>
  <c r="DQ28" i="53"/>
  <c r="DP28" i="53"/>
  <c r="DR27" i="53"/>
  <c r="DQ27" i="53"/>
  <c r="DP27" i="53"/>
  <c r="DR26" i="53"/>
  <c r="DQ26" i="53"/>
  <c r="DP26" i="53"/>
  <c r="DR24" i="53"/>
  <c r="DQ24" i="53"/>
  <c r="DP24" i="53"/>
  <c r="DR23" i="53"/>
  <c r="DQ23" i="53"/>
  <c r="DP23" i="53"/>
  <c r="DR22" i="53"/>
  <c r="DQ22" i="53"/>
  <c r="DP22" i="53"/>
  <c r="DR21" i="53"/>
  <c r="DQ21" i="53"/>
  <c r="DP21" i="53"/>
  <c r="DR20" i="53"/>
  <c r="DQ20" i="53"/>
  <c r="DP20" i="53"/>
  <c r="DR19" i="53"/>
  <c r="DQ19" i="53"/>
  <c r="DP19" i="53"/>
  <c r="DR18" i="53"/>
  <c r="DQ18" i="53"/>
  <c r="DP18" i="53"/>
  <c r="DR17" i="53"/>
  <c r="DQ17" i="53"/>
  <c r="DP17" i="53"/>
  <c r="DR16" i="53"/>
  <c r="DQ16" i="53"/>
  <c r="DP16" i="53"/>
  <c r="DR15" i="53"/>
  <c r="DQ15" i="53"/>
  <c r="DP15" i="53"/>
  <c r="DR14" i="53"/>
  <c r="DQ14" i="53"/>
  <c r="DP14" i="53"/>
  <c r="DR13" i="53"/>
  <c r="DQ13" i="53"/>
  <c r="DP13" i="53"/>
  <c r="DH8" i="53"/>
  <c r="DI8" i="53" s="1"/>
  <c r="DJ8" i="53" s="1"/>
  <c r="DK8" i="53" s="1"/>
  <c r="DL8" i="53" s="1"/>
  <c r="DM8" i="53" s="1"/>
  <c r="DN8" i="53" s="1"/>
  <c r="DO8" i="53" s="1"/>
  <c r="DH8" i="47"/>
  <c r="DS54" i="53" l="1"/>
  <c r="DS52" i="53"/>
  <c r="DS51" i="53"/>
  <c r="DS50" i="53"/>
  <c r="DS49" i="53"/>
  <c r="DS48" i="53"/>
  <c r="DS47" i="53"/>
  <c r="DS46" i="53"/>
  <c r="DS42" i="53"/>
  <c r="DS41" i="53"/>
  <c r="DS40" i="53"/>
  <c r="DS39" i="53"/>
  <c r="DS37" i="53"/>
  <c r="DS36" i="53"/>
  <c r="DS35" i="53"/>
  <c r="DS24" i="53"/>
  <c r="DS23" i="53"/>
  <c r="DS34" i="53"/>
  <c r="DS22" i="53"/>
  <c r="DS33" i="53"/>
  <c r="DS31" i="53"/>
  <c r="DS30" i="53"/>
  <c r="DS28" i="53"/>
  <c r="DS55" i="53"/>
  <c r="DS29" i="53"/>
  <c r="DS27" i="53"/>
  <c r="DS26" i="53"/>
  <c r="DS53" i="53"/>
  <c r="DS45" i="53"/>
  <c r="DS44" i="53"/>
  <c r="DS32" i="53"/>
  <c r="DS38" i="53"/>
  <c r="DS21" i="53"/>
  <c r="DS20" i="53"/>
  <c r="DS19" i="53"/>
  <c r="DS18" i="53"/>
  <c r="DS17" i="53"/>
  <c r="DS16" i="53"/>
  <c r="DS15" i="53"/>
  <c r="DS14" i="53"/>
  <c r="DS13" i="53"/>
  <c r="DU62" i="53"/>
  <c r="DU60" i="53"/>
  <c r="DI8" i="47"/>
  <c r="DR56" i="53" l="1"/>
  <c r="DQ56" i="53"/>
  <c r="DU61" i="53"/>
  <c r="DS56" i="53"/>
  <c r="DT56" i="53"/>
  <c r="DU63" i="53"/>
  <c r="DP56" i="53"/>
  <c r="DJ8" i="47"/>
  <c r="DK8" i="47" s="1"/>
  <c r="DL8" i="47" s="1"/>
  <c r="DM8" i="47" s="1"/>
  <c r="DN8" i="47" s="1"/>
  <c r="DO8" i="47" s="1"/>
  <c r="DU56" i="53" l="1"/>
  <c r="C10" i="48" l="1"/>
  <c r="C7" i="48"/>
  <c r="C6" i="48"/>
  <c r="DU46" i="47"/>
  <c r="DR37" i="47"/>
  <c r="DQ37" i="47"/>
  <c r="DP37" i="47"/>
  <c r="DR36" i="47"/>
  <c r="DQ36" i="47"/>
  <c r="DP36" i="47"/>
  <c r="DR35" i="47"/>
  <c r="DQ35" i="47"/>
  <c r="DP35" i="47"/>
  <c r="DS34" i="47"/>
  <c r="DR34" i="47"/>
  <c r="DQ34" i="47"/>
  <c r="DP34" i="47"/>
  <c r="DS33" i="47"/>
  <c r="DR33" i="47"/>
  <c r="DQ33" i="47"/>
  <c r="DP33" i="47"/>
  <c r="DR32" i="47"/>
  <c r="DQ32" i="47"/>
  <c r="DP32" i="47"/>
  <c r="DS31" i="47"/>
  <c r="DR31" i="47"/>
  <c r="DQ31" i="47"/>
  <c r="DP31" i="47"/>
  <c r="DS30" i="47"/>
  <c r="DR30" i="47"/>
  <c r="DQ30" i="47"/>
  <c r="DP30" i="47"/>
  <c r="DR28" i="47"/>
  <c r="DQ28" i="47"/>
  <c r="DP28" i="47"/>
  <c r="DS27" i="47"/>
  <c r="DR27" i="47"/>
  <c r="DQ27" i="47"/>
  <c r="DP27" i="47"/>
  <c r="DR26" i="47"/>
  <c r="DQ26" i="47"/>
  <c r="DP26" i="47"/>
  <c r="DS25" i="47"/>
  <c r="DR25" i="47"/>
  <c r="DQ25" i="47"/>
  <c r="DP25" i="47"/>
  <c r="DR24" i="47"/>
  <c r="DQ24" i="47"/>
  <c r="DP24" i="47"/>
  <c r="DR23" i="47"/>
  <c r="DQ23" i="47"/>
  <c r="DP23" i="47"/>
  <c r="DR22" i="47"/>
  <c r="DQ22" i="47"/>
  <c r="DP22" i="47"/>
  <c r="DS21" i="47"/>
  <c r="DR21" i="47"/>
  <c r="DQ21" i="47"/>
  <c r="DP21" i="47"/>
  <c r="DR20" i="47"/>
  <c r="DQ20" i="47"/>
  <c r="DP20" i="47"/>
  <c r="DR18" i="47"/>
  <c r="DQ18" i="47"/>
  <c r="DP18" i="47"/>
  <c r="DR17" i="47"/>
  <c r="DQ17" i="47"/>
  <c r="DP17" i="47"/>
  <c r="DS16" i="47"/>
  <c r="DR16" i="47"/>
  <c r="DQ16" i="47"/>
  <c r="DP16" i="47"/>
  <c r="DS15" i="47"/>
  <c r="DR15" i="47"/>
  <c r="DQ15" i="47"/>
  <c r="DP15" i="47"/>
  <c r="DR14" i="47"/>
  <c r="DQ14" i="47"/>
  <c r="DP14" i="47"/>
  <c r="DR13" i="47"/>
  <c r="DQ13" i="47"/>
  <c r="DP13" i="47"/>
  <c r="C8" i="48" l="1"/>
  <c r="C9" i="48"/>
  <c r="DS26" i="47"/>
  <c r="DS32" i="47"/>
  <c r="DS24" i="47"/>
  <c r="DS22" i="47"/>
  <c r="DS35" i="47"/>
  <c r="DS14" i="47"/>
  <c r="DS13" i="47"/>
  <c r="DS17" i="47"/>
  <c r="DU42" i="47"/>
  <c r="DS18" i="47"/>
  <c r="DS20" i="47"/>
  <c r="DS36" i="47"/>
  <c r="DS23" i="47"/>
  <c r="DS28" i="47"/>
  <c r="DS37" i="47"/>
  <c r="DU45" i="47" l="1"/>
  <c r="DP38" i="47"/>
  <c r="DU38" i="47"/>
  <c r="DR38" i="47"/>
  <c r="DQ38" i="47"/>
  <c r="DS38" i="47" l="1"/>
  <c r="DT38" i="47"/>
</calcChain>
</file>

<file path=xl/sharedStrings.xml><?xml version="1.0" encoding="utf-8"?>
<sst xmlns="http://schemas.openxmlformats.org/spreadsheetml/2006/main" count="1281" uniqueCount="458">
  <si>
    <t>p</t>
  </si>
  <si>
    <t>B</t>
  </si>
  <si>
    <t>STA</t>
  </si>
  <si>
    <t>LUNAR 4</t>
  </si>
  <si>
    <t>LUNAR 5</t>
  </si>
  <si>
    <t>LUNAR 6</t>
  </si>
  <si>
    <t>LUNAR 8</t>
  </si>
  <si>
    <t>LUNAR 9</t>
  </si>
  <si>
    <t>LUNAR 10</t>
  </si>
  <si>
    <t>LUNAR 11</t>
  </si>
  <si>
    <t>LUNAR 12</t>
  </si>
  <si>
    <t>LUNAR 13</t>
  </si>
  <si>
    <t>PRODUCTION</t>
  </si>
  <si>
    <t>INSTALL</t>
  </si>
  <si>
    <t>MEDIA 
BOUGHT RATE</t>
  </si>
  <si>
    <t>EFFECTIVE MEDIA DISCOUNT:</t>
  </si>
  <si>
    <t>QMN-D1</t>
  </si>
  <si>
    <t xml:space="preserve">Princess Hwy &amp; Rocky Point Road </t>
  </si>
  <si>
    <t>Kogarah</t>
  </si>
  <si>
    <t>NSW</t>
  </si>
  <si>
    <t>Outbound</t>
  </si>
  <si>
    <t>7.68m x 1.92m</t>
  </si>
  <si>
    <t>Digital</t>
  </si>
  <si>
    <t>QMN-D17</t>
  </si>
  <si>
    <t xml:space="preserve">Wentworth Avenue </t>
  </si>
  <si>
    <t>Inbound</t>
  </si>
  <si>
    <t>12.44m x 3.29m</t>
  </si>
  <si>
    <t>Macquarie Park</t>
  </si>
  <si>
    <t>12m x 4m</t>
  </si>
  <si>
    <t>QMN-D41</t>
  </si>
  <si>
    <t>M2 Mwy (Pennant Hills Rd Bridge)</t>
  </si>
  <si>
    <t>West Pennant Hills</t>
  </si>
  <si>
    <t>Rozelle</t>
  </si>
  <si>
    <t>SUBURB</t>
  </si>
  <si>
    <t>STATE</t>
  </si>
  <si>
    <t>DIRECTION</t>
  </si>
  <si>
    <t>SIZE</t>
  </si>
  <si>
    <t>FORMAT</t>
  </si>
  <si>
    <t>PROD</t>
  </si>
  <si>
    <t>CBD</t>
  </si>
  <si>
    <t>QMV-D9</t>
  </si>
  <si>
    <t>Cnr Nepean Hwy &amp; South Rd</t>
  </si>
  <si>
    <t>Moorabbin</t>
  </si>
  <si>
    <t>26.9m x 5.85m</t>
  </si>
  <si>
    <t>Southbank</t>
  </si>
  <si>
    <t xml:space="preserve">Digital </t>
  </si>
  <si>
    <t>QMV-D41</t>
  </si>
  <si>
    <t>165 Moorabool Street</t>
  </si>
  <si>
    <t>Geelong</t>
  </si>
  <si>
    <t>12m x 3m</t>
  </si>
  <si>
    <t>Eastern Fwy</t>
  </si>
  <si>
    <t>Clifton Hill</t>
  </si>
  <si>
    <t>Richmond</t>
  </si>
  <si>
    <t>QMV-D161</t>
  </si>
  <si>
    <t>Nepean Highway</t>
  </si>
  <si>
    <t>Brighton</t>
  </si>
  <si>
    <t>18.65m x 4.39m</t>
  </si>
  <si>
    <t>QMV-D225</t>
  </si>
  <si>
    <t>Metropolitan Ring Rd</t>
  </si>
  <si>
    <t>Fawkner</t>
  </si>
  <si>
    <t>Eastbound</t>
  </si>
  <si>
    <t>QMV-D233</t>
  </si>
  <si>
    <t>12.66m x 3.35m</t>
  </si>
  <si>
    <t xml:space="preserve">248 Ipswich Road </t>
  </si>
  <si>
    <t>Woolloongabba</t>
  </si>
  <si>
    <t>15m x 4.75m</t>
  </si>
  <si>
    <t>Fortitude Valley</t>
  </si>
  <si>
    <t>QMQ-D25</t>
  </si>
  <si>
    <t>224 Barry Parade</t>
  </si>
  <si>
    <t>QMQ-D49</t>
  </si>
  <si>
    <t>Olsen Avenue</t>
  </si>
  <si>
    <t>Southport</t>
  </si>
  <si>
    <t>Southbound</t>
  </si>
  <si>
    <t xml:space="preserve">12.48m x 3.36m </t>
  </si>
  <si>
    <t>Northbound</t>
  </si>
  <si>
    <t>QMQ-D65</t>
  </si>
  <si>
    <t>Inner City Bypass (105 Mayne Road)</t>
  </si>
  <si>
    <t>Bowen Hills</t>
  </si>
  <si>
    <t>12.07m x 4.02m</t>
  </si>
  <si>
    <t>QMQ-D73</t>
  </si>
  <si>
    <t>Bermuda Street (16 Newcastle Street)</t>
  </si>
  <si>
    <t>Burleigh Heads</t>
  </si>
  <si>
    <t>9m x 3m</t>
  </si>
  <si>
    <t>Paid Activity</t>
  </si>
  <si>
    <t>Bonus</t>
  </si>
  <si>
    <t>71 Victoria Road</t>
  </si>
  <si>
    <t>Beecroft</t>
  </si>
  <si>
    <t>M2 Mwy (Ixion St Bridge)</t>
  </si>
  <si>
    <t>Winston Hills</t>
  </si>
  <si>
    <t>M2 Mwy (Murray Farm Rd Bridge)</t>
  </si>
  <si>
    <t>M4 Motorway</t>
  </si>
  <si>
    <t>Parramatta</t>
  </si>
  <si>
    <t>18m x 6m</t>
  </si>
  <si>
    <t>Rhodes</t>
  </si>
  <si>
    <t>Westgate Freeway (60 Moray St)</t>
  </si>
  <si>
    <t>Punt Rd, Richmond Station</t>
  </si>
  <si>
    <t>South</t>
  </si>
  <si>
    <t>Western Ring Rd</t>
  </si>
  <si>
    <t>St Albans</t>
  </si>
  <si>
    <t>Portrait</t>
  </si>
  <si>
    <t>Melbourne</t>
  </si>
  <si>
    <t>9.00m x 3.00m</t>
  </si>
  <si>
    <t>4m x 6m</t>
  </si>
  <si>
    <t>Port Melbourne</t>
  </si>
  <si>
    <t>Spring Hill</t>
  </si>
  <si>
    <t>1115 Stanley Street</t>
  </si>
  <si>
    <t>Coorparoo</t>
  </si>
  <si>
    <t>32m x 3m</t>
  </si>
  <si>
    <t>QMN-D105</t>
  </si>
  <si>
    <t>QMV-D257</t>
  </si>
  <si>
    <t>QMV-D273</t>
  </si>
  <si>
    <t>LATITUDE</t>
  </si>
  <si>
    <t>LONGITUDE</t>
  </si>
  <si>
    <t>-33.7586755</t>
  </si>
  <si>
    <t>151.0486066</t>
  </si>
  <si>
    <t>-33.772307</t>
  </si>
  <si>
    <t>150.979196</t>
  </si>
  <si>
    <t>-33.938056</t>
  </si>
  <si>
    <t>151.211915</t>
  </si>
  <si>
    <t>-33.9693368</t>
  </si>
  <si>
    <t>-33.8657105</t>
  </si>
  <si>
    <t>151.173077</t>
  </si>
  <si>
    <t>-33.7589604</t>
  </si>
  <si>
    <t>151.066034</t>
  </si>
  <si>
    <t>-37.8233906</t>
  </si>
  <si>
    <t>144.9890508</t>
  </si>
  <si>
    <t>-37.7952214</t>
  </si>
  <si>
    <t>144.9950042</t>
  </si>
  <si>
    <t>-37.8283879</t>
  </si>
  <si>
    <t>144.9606927</t>
  </si>
  <si>
    <t>-37.6919329</t>
  </si>
  <si>
    <t>144.9568301</t>
  </si>
  <si>
    <t>-37.9328176</t>
  </si>
  <si>
    <t>145.0349492</t>
  </si>
  <si>
    <t>-37.895064</t>
  </si>
  <si>
    <t>145.0043982</t>
  </si>
  <si>
    <t>-38.1494756</t>
  </si>
  <si>
    <t>144.3599321</t>
  </si>
  <si>
    <t>-27.4997628</t>
  </si>
  <si>
    <t>153.0357648</t>
  </si>
  <si>
    <t>-27.457713</t>
  </si>
  <si>
    <t>153.031102</t>
  </si>
  <si>
    <t>-27.44331</t>
  </si>
  <si>
    <t>153.0377893</t>
  </si>
  <si>
    <t>-28.101715</t>
  </si>
  <si>
    <t>153.4250803</t>
  </si>
  <si>
    <t>Kangaroo Point</t>
  </si>
  <si>
    <t>-27.487584</t>
  </si>
  <si>
    <t>153.0541</t>
  </si>
  <si>
    <t>Milton</t>
  </si>
  <si>
    <t>ILLUMINATION</t>
  </si>
  <si>
    <t>QMN-D161</t>
  </si>
  <si>
    <t>QMV-D305</t>
  </si>
  <si>
    <t>1 Hoddle Street</t>
  </si>
  <si>
    <t>All Day</t>
  </si>
  <si>
    <t>5am to 10pm</t>
  </si>
  <si>
    <t>QLD</t>
  </si>
  <si>
    <t>VIC</t>
  </si>
  <si>
    <t>QMV-D345</t>
  </si>
  <si>
    <t>Princes Freeway</t>
  </si>
  <si>
    <t>Laverton</t>
  </si>
  <si>
    <t>QMV-D241</t>
  </si>
  <si>
    <t>Princes Highway</t>
  </si>
  <si>
    <t>Williams Landing</t>
  </si>
  <si>
    <t>18.6m 4.39m</t>
  </si>
  <si>
    <t>QMQ-D145</t>
  </si>
  <si>
    <t>QMQ-D161</t>
  </si>
  <si>
    <t>12.44m 3.29m</t>
  </si>
  <si>
    <t>Tullamarine</t>
  </si>
  <si>
    <t>6am to 10pm</t>
  </si>
  <si>
    <t>POSTCODE</t>
  </si>
  <si>
    <t>QMQ-D1</t>
  </si>
  <si>
    <t>Milton Road (Corner Baroona Rd)</t>
  </si>
  <si>
    <t>768 pixels x 192 pixels</t>
  </si>
  <si>
    <t>1188 pixels x 396 pixels</t>
  </si>
  <si>
    <t>1224 pixels x 324 pixels</t>
  </si>
  <si>
    <t>952 pixels x 252 pixels</t>
  </si>
  <si>
    <t>1428 pixels x 336 pixels</t>
  </si>
  <si>
    <t>1836 pixels x 432 pixels</t>
  </si>
  <si>
    <t>3312 pixels x 288 pixels</t>
  </si>
  <si>
    <t>864 pixels x 288 pixels</t>
  </si>
  <si>
    <t xml:space="preserve">902 pixels x 286 pixels </t>
  </si>
  <si>
    <t>924 pixels x 308 pixels</t>
  </si>
  <si>
    <t>1248 pixels x 336 pixels</t>
  </si>
  <si>
    <t>DIGITAL SPECS (WxH)</t>
  </si>
  <si>
    <t>West</t>
  </si>
  <si>
    <t>Inner West</t>
  </si>
  <si>
    <t>North West</t>
  </si>
  <si>
    <t>South East</t>
  </si>
  <si>
    <t>Inner East</t>
  </si>
  <si>
    <t>East</t>
  </si>
  <si>
    <t>Inner South</t>
  </si>
  <si>
    <t>Regional</t>
  </si>
  <si>
    <t>North</t>
  </si>
  <si>
    <t>GEOGRAPHY</t>
  </si>
  <si>
    <t>MEDIA VALUE 
(INC BONUS)</t>
  </si>
  <si>
    <t xml:space="preserve">BONUS 
MEDIA VALUE </t>
  </si>
  <si>
    <t>ILLUMINATION (HOURS)</t>
  </si>
  <si>
    <t>1184 pixels x 288 pixels</t>
  </si>
  <si>
    <t>QMN-D249</t>
  </si>
  <si>
    <t>QMQ-D193</t>
  </si>
  <si>
    <t>Main Street</t>
  </si>
  <si>
    <t>LUNAR 3</t>
  </si>
  <si>
    <t>N/A</t>
  </si>
  <si>
    <t>Not Available</t>
  </si>
  <si>
    <t xml:space="preserve">Tullamarine Freeway </t>
  </si>
  <si>
    <t>Essendon Airport</t>
  </si>
  <si>
    <t>QMV-D401</t>
  </si>
  <si>
    <t>Ormond</t>
  </si>
  <si>
    <t>762 North Road</t>
  </si>
  <si>
    <t xml:space="preserve">1000 pixels x 260 pixels </t>
  </si>
  <si>
    <t>12m x 3.12m</t>
  </si>
  <si>
    <t>12.48m x 3.2m</t>
  </si>
  <si>
    <t>523 Bridge Road</t>
  </si>
  <si>
    <t>QMV-D417</t>
  </si>
  <si>
    <t>1248 pixels x 320 pixels</t>
  </si>
  <si>
    <t>QMV-D425</t>
  </si>
  <si>
    <t>Lower Heidelberg Road</t>
  </si>
  <si>
    <t>Heidelberg</t>
  </si>
  <si>
    <t>528 pixels x 800 pixels</t>
  </si>
  <si>
    <t>QMV-D457</t>
  </si>
  <si>
    <t>1372 pixels x 448 pixels</t>
  </si>
  <si>
    <t>Bankstown</t>
  </si>
  <si>
    <t>Ormeau</t>
  </si>
  <si>
    <t>Dandenong</t>
  </si>
  <si>
    <t>Keysborough</t>
  </si>
  <si>
    <t>Cnr Ann &amp; James Street</t>
  </si>
  <si>
    <t>QMQ-D265</t>
  </si>
  <si>
    <t>QMN-D281</t>
  </si>
  <si>
    <t>Sydney</t>
  </si>
  <si>
    <t>12.8m x 3.35m</t>
  </si>
  <si>
    <t>QMQ-D305</t>
  </si>
  <si>
    <t xml:space="preserve">12.48m x 3.20m </t>
  </si>
  <si>
    <t>QMQ-D313</t>
  </si>
  <si>
    <t>2540 Gold Coast Highway</t>
  </si>
  <si>
    <t>Mermaid Beach</t>
  </si>
  <si>
    <t>5.28m x 8.00m</t>
  </si>
  <si>
    <t>Tullamarine Freeway</t>
  </si>
  <si>
    <t>Cnr Edward &amp; Leichardt St</t>
  </si>
  <si>
    <t>QMV-D481</t>
  </si>
  <si>
    <t>QMV-D489</t>
  </si>
  <si>
    <t>16.00m x 4.0m</t>
  </si>
  <si>
    <t>1600 pixels x 400 pixels</t>
  </si>
  <si>
    <t>Kings Way</t>
  </si>
  <si>
    <t>12.00m x 4.00m</t>
  </si>
  <si>
    <t xml:space="preserve">1184 pixels x 384 pixels </t>
  </si>
  <si>
    <t>LUNAR 1</t>
  </si>
  <si>
    <t>LUNAR 2</t>
  </si>
  <si>
    <t>QMQ-D345</t>
  </si>
  <si>
    <t>1 Compton Road</t>
  </si>
  <si>
    <t>Underwood</t>
  </si>
  <si>
    <t>12.48m x 3.35m</t>
  </si>
  <si>
    <t>RATIO (W/H)</t>
  </si>
  <si>
    <t>LARGE FORMAT</t>
  </si>
  <si>
    <t>LARGE FORMAT INVESTMENT (inc. P&amp;I):</t>
  </si>
  <si>
    <t>LUNAR 7</t>
  </si>
  <si>
    <t>QMQ-D361</t>
  </si>
  <si>
    <t>433 Old Cleveland Road</t>
  </si>
  <si>
    <t>384 pixels x 592 pixels</t>
  </si>
  <si>
    <t>SHARE OF TIME</t>
  </si>
  <si>
    <t>AD DURATION (SECS)</t>
  </si>
  <si>
    <t>QMN-D289</t>
  </si>
  <si>
    <t>Homebush Bay Drive (Canada Bay)</t>
  </si>
  <si>
    <t>MARKET VALUE</t>
  </si>
  <si>
    <t>QMV-D537</t>
  </si>
  <si>
    <t>622 Bell Street</t>
  </si>
  <si>
    <t>Preston</t>
  </si>
  <si>
    <t>CATEGORY PACKS</t>
  </si>
  <si>
    <t>12.48m x 3.20m</t>
  </si>
  <si>
    <t>* All schedules have 2 week sunset clause on pricing and pack weights. No inventory is secured until a contract has been issued by QMS</t>
  </si>
  <si>
    <t>425-429 Pacific Hwy</t>
  </si>
  <si>
    <t>Crows Nest</t>
  </si>
  <si>
    <t>10.6m x 2.6m</t>
  </si>
  <si>
    <t>1056 pixels x 256 pixels</t>
  </si>
  <si>
    <t>QMN-D305</t>
  </si>
  <si>
    <t>7am to 11pm</t>
  </si>
  <si>
    <t>QMN-D313</t>
  </si>
  <si>
    <t>611 Princess Hwy</t>
  </si>
  <si>
    <t>Blakehurst</t>
  </si>
  <si>
    <t xml:space="preserve">12.44m x 3.29m </t>
  </si>
  <si>
    <t>900 pixels x 300 pixels</t>
  </si>
  <si>
    <t>QMQ-D409</t>
  </si>
  <si>
    <t>8 Campbell Street</t>
  </si>
  <si>
    <t>1216 pixels x 400 pixels</t>
  </si>
  <si>
    <t>Landscape</t>
  </si>
  <si>
    <t>PORTRAIT / LANDSCAPE</t>
  </si>
  <si>
    <t>1184 pixels x 384 pixels</t>
  </si>
  <si>
    <t>QMQ-D449</t>
  </si>
  <si>
    <t>1717 Ipswich Road</t>
  </si>
  <si>
    <t>Rocklea</t>
  </si>
  <si>
    <t>GreenPower</t>
  </si>
  <si>
    <t>GREEN POWERED SITES</t>
  </si>
  <si>
    <t>Eastlakes</t>
  </si>
  <si>
    <t>QMQ-D465</t>
  </si>
  <si>
    <t>826 Main Street</t>
  </si>
  <si>
    <t>6.00m x 9.00m</t>
  </si>
  <si>
    <t>608 pixels x 960 pixels</t>
  </si>
  <si>
    <t>6am to 8pm</t>
  </si>
  <si>
    <t>QMQ-D481</t>
  </si>
  <si>
    <t>M1 Motorway (111 Lahrs Road)</t>
  </si>
  <si>
    <t>12.48m x 2.88m</t>
  </si>
  <si>
    <t>1248 pixels x 288 pixels</t>
  </si>
  <si>
    <t>QMN-D329</t>
  </si>
  <si>
    <t>Fairford Road (2-4 Warren Avenue)</t>
  </si>
  <si>
    <t>Monash Freeway</t>
  </si>
  <si>
    <t>Mulgrave</t>
  </si>
  <si>
    <t>16.00m x 4.00m</t>
  </si>
  <si>
    <t>All Day. 8.00am - 9:30am &amp; 2:30pm - 4:00pm One Advertiser Only.</t>
  </si>
  <si>
    <t>Rosehill</t>
  </si>
  <si>
    <t>Equine Bridge at Oak Street</t>
  </si>
  <si>
    <t xml:space="preserve">James Ruse Drive south of Hope Street </t>
  </si>
  <si>
    <t>10.24m x 2.56m</t>
  </si>
  <si>
    <t>8.00m x 2.00m</t>
  </si>
  <si>
    <t>Cremorne</t>
  </si>
  <si>
    <t>Wiley Park</t>
  </si>
  <si>
    <t>King Georges Road</t>
  </si>
  <si>
    <t>Military Road</t>
  </si>
  <si>
    <t>Inner North</t>
  </si>
  <si>
    <t>QMN-D345</t>
  </si>
  <si>
    <t>QMN-D369</t>
  </si>
  <si>
    <t>QMN-D401</t>
  </si>
  <si>
    <t>992 pixels x 256 pixels</t>
  </si>
  <si>
    <t>Warringah Freeway (M1 Mwy)</t>
  </si>
  <si>
    <t>QMS FORMAT</t>
  </si>
  <si>
    <t>LARGE FORMAT MEDIA VALUE</t>
  </si>
  <si>
    <t>LARGE FORMAT MEDIA INVESTMENT (ex. P&amp;I):</t>
  </si>
  <si>
    <t>City &amp; Inner</t>
  </si>
  <si>
    <t>Inner South West</t>
  </si>
  <si>
    <t>Inner North West</t>
  </si>
  <si>
    <t>Inner South East</t>
  </si>
  <si>
    <t>Inner North East</t>
  </si>
  <si>
    <t>Gold Coast North</t>
  </si>
  <si>
    <t>Gold Coast South</t>
  </si>
  <si>
    <t>City &amp; Inner West</t>
  </si>
  <si>
    <t>City &amp; Inner South</t>
  </si>
  <si>
    <t>City &amp; Inner East</t>
  </si>
  <si>
    <t>City &amp; Inner North</t>
  </si>
  <si>
    <t>Digital Large Format</t>
  </si>
  <si>
    <t>*WEEKLY MARKET RATE
(STATIC LF - 4 WEEKS)</t>
  </si>
  <si>
    <t>* Weekly Market Rates are at 10% SOT for Digital Large Format, 15% SOT for Digital Small Formats, 100% for Static Formats &amp; Static Large Format is a 4-Week Market Rate</t>
  </si>
  <si>
    <t>PANEL EXCLUSIVITY</t>
  </si>
  <si>
    <t>290 Bruce Highway</t>
  </si>
  <si>
    <t>Burpengary</t>
  </si>
  <si>
    <t>QMQ-D513</t>
  </si>
  <si>
    <t>CPM</t>
  </si>
  <si>
    <t>CLIMATE ONE? (YES/NO)</t>
  </si>
  <si>
    <t>NO</t>
  </si>
  <si>
    <t>SITE NUMBER / NO. OF PANELS</t>
  </si>
  <si>
    <t>ADDRESS / PACK DETAILS</t>
  </si>
  <si>
    <t>JUNE 26</t>
  </si>
  <si>
    <t>QMN-D465</t>
  </si>
  <si>
    <t>M2 Motorway (Cropley Drive)</t>
  </si>
  <si>
    <t>Baulkham Hills</t>
  </si>
  <si>
    <t>QMN-D505</t>
  </si>
  <si>
    <t>QMN-D545</t>
  </si>
  <si>
    <t>QMV-D713</t>
  </si>
  <si>
    <t>QMN-D473</t>
  </si>
  <si>
    <t>M2 Motorway - Eden Gardens</t>
  </si>
  <si>
    <t>QMV-D721</t>
  </si>
  <si>
    <t>2656 pixels x  576 pixels</t>
  </si>
  <si>
    <t>Alcohol Child Safe (40)</t>
  </si>
  <si>
    <t>Beauty (40)</t>
  </si>
  <si>
    <t>Convenience / Snack Food (40)</t>
  </si>
  <si>
    <t>Entertainment (40)</t>
  </si>
  <si>
    <t>Finance (40)</t>
  </si>
  <si>
    <t>FMCG (40)</t>
  </si>
  <si>
    <t>Health &amp; Wellbeing (40)</t>
  </si>
  <si>
    <t>Homeowners &amp; Improvements (40)</t>
  </si>
  <si>
    <t>Mass Fashion (40)</t>
  </si>
  <si>
    <t>Movie Goers (40)</t>
  </si>
  <si>
    <t>QSR Child Safe (40)</t>
  </si>
  <si>
    <t>JULY 26</t>
  </si>
  <si>
    <t>1026 pixels x 256 pixels</t>
  </si>
  <si>
    <t>QMV-D729</t>
  </si>
  <si>
    <t>Eastlink (8 Bridge Road) </t>
  </si>
  <si>
    <t>3173 </t>
  </si>
  <si>
    <t>12.66m x 3.35m </t>
  </si>
  <si>
    <t>Landscape </t>
  </si>
  <si>
    <t>1040 pixels x 272 pixels </t>
  </si>
  <si>
    <t>QMV-D753</t>
  </si>
  <si>
    <t>Western Ring Road (1-5 Slater Parade) </t>
  </si>
  <si>
    <t>3033 </t>
  </si>
  <si>
    <t>15.00m x 5.00m </t>
  </si>
  <si>
    <t>1200 pixels x 400 pixels </t>
  </si>
  <si>
    <t>QMQ-D529</t>
  </si>
  <si>
    <t>448 Nudgee Road </t>
  </si>
  <si>
    <t>Hendra</t>
  </si>
  <si>
    <t>12.48m x 3.20m </t>
  </si>
  <si>
    <t>1888 pixels x 448 pixels</t>
  </si>
  <si>
    <t>JUL/AUG 26</t>
  </si>
  <si>
    <t>AUG/SEPT 26</t>
  </si>
  <si>
    <t>SEPT/OCT 26</t>
  </si>
  <si>
    <t>OCT/NOV 26</t>
  </si>
  <si>
    <t>NOV/DEC 26</t>
  </si>
  <si>
    <t>DEC 26/JAN 27</t>
  </si>
  <si>
    <t>JAN/FEB 27</t>
  </si>
  <si>
    <t>FEB/MAR 27</t>
  </si>
  <si>
    <t>MAR/APR 27</t>
  </si>
  <si>
    <t>APR/MAY 27</t>
  </si>
  <si>
    <t>QMV-D777</t>
  </si>
  <si>
    <t>City Link (1-3 Harcourt Parade) </t>
  </si>
  <si>
    <t>18.95m x 5.30m </t>
  </si>
  <si>
    <t>1888 pixels x 480 pixels </t>
  </si>
  <si>
    <t>CAMPAIGN OVERVIEW</t>
  </si>
  <si>
    <t>Campaign Markets</t>
  </si>
  <si>
    <t>Demographic</t>
  </si>
  <si>
    <t>Total Potentials</t>
  </si>
  <si>
    <t>Campaign Reach (000's)</t>
  </si>
  <si>
    <t>Campaign Reach (%)</t>
  </si>
  <si>
    <t xml:space="preserve">Campaign Frequency </t>
  </si>
  <si>
    <t>Neuro Impact Factor (NIF)</t>
  </si>
  <si>
    <t>Campaign Impressions</t>
  </si>
  <si>
    <t xml:space="preserve">All results based on MOVE VAC (visibiliy adjusted contacts) </t>
  </si>
  <si>
    <t>CAMPAIGN MARKET BREAKDOWN</t>
  </si>
  <si>
    <t>Brisbane</t>
  </si>
  <si>
    <t>Potentials</t>
  </si>
  <si>
    <t>Reach (000's)</t>
  </si>
  <si>
    <t>Reach (%)</t>
  </si>
  <si>
    <t>Average Frequency</t>
  </si>
  <si>
    <t>Impressions</t>
  </si>
  <si>
    <t>Westbound</t>
  </si>
  <si>
    <t xml:space="preserve">Inbound </t>
  </si>
  <si>
    <t>Keilor East</t>
  </si>
  <si>
    <t>Malvern East</t>
  </si>
  <si>
    <t>QMV-D817</t>
  </si>
  <si>
    <t>QMV-D825</t>
  </si>
  <si>
    <t>QMV-D833</t>
  </si>
  <si>
    <t>QMV-D841</t>
  </si>
  <si>
    <t xml:space="preserve"> Outbound </t>
  </si>
  <si>
    <t xml:space="preserve"> Landscape </t>
  </si>
  <si>
    <t xml:space="preserve">324-328 Hoddle Street  </t>
  </si>
  <si>
    <t xml:space="preserve">Westgate Fwy (138 Salmon St)  </t>
  </si>
  <si>
    <t>Cheltenham Road</t>
  </si>
  <si>
    <t>Abbotsford</t>
  </si>
  <si>
    <t xml:space="preserve">18.88m x 4.48m </t>
  </si>
  <si>
    <t xml:space="preserve">Landscape </t>
  </si>
  <si>
    <t xml:space="preserve">1888 pixels x 448 pixels </t>
  </si>
  <si>
    <t>MAY 27</t>
  </si>
  <si>
    <t>969 &amp; 971 Ipswich Road</t>
  </si>
  <si>
    <t>QMQ-D561</t>
  </si>
  <si>
    <t>JUN 27</t>
  </si>
  <si>
    <t>JUL 27</t>
  </si>
  <si>
    <t>JUL/AUG 27</t>
  </si>
  <si>
    <t>AUG/SEP 27</t>
  </si>
  <si>
    <t>SEP/OCT 27</t>
  </si>
  <si>
    <t>OCT/NOV 27</t>
  </si>
  <si>
    <t>NOV/DEC 27</t>
  </si>
  <si>
    <t>DEC 27 / JAN 28</t>
  </si>
  <si>
    <t>1024 pixels x 256 pixels</t>
  </si>
  <si>
    <t>JAN 28</t>
  </si>
  <si>
    <t>FEB / MAR 28</t>
  </si>
  <si>
    <t>MAR / APR 28</t>
  </si>
  <si>
    <t xml:space="preserve"> 943 Dandenong Road  </t>
  </si>
  <si>
    <t>Moorooka</t>
  </si>
  <si>
    <t>NO INSTALL CHARGE</t>
  </si>
  <si>
    <t>BONUS MEDIA VALUE</t>
  </si>
  <si>
    <t xml:space="preserve">ESB </t>
  </si>
  <si>
    <t>P18-39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</si>
</sst>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C09]dd\-mmm;@"/>
    <numFmt numFmtId="168" formatCode="_-&quot;$&quot;* #,##0_-;\-&quot;$&quot;* #,##0_-;_-&quot;$&quot;* &quot;-&quot;??_-;_-@_-"/>
    <numFmt numFmtId="169" formatCode="&quot;$&quot;#,##0"/>
    <numFmt numFmtId="170" formatCode="0.000"/>
    <numFmt numFmtId="171" formatCode="0.0"/>
    <numFmt numFmtId="172" formatCode="_-* #,##0.0_-;\-* #,##0.0_-;_-* &quot;-&quot;??_-;_-@_-"/>
    <numFmt numFmtId="173" formatCode="#,##0_ ;\-#,##0\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Bookshelf Symbol 7"/>
      <family val="2"/>
      <charset val="2"/>
    </font>
    <font>
      <sz val="9"/>
      <color indexed="9"/>
      <name val="Arial"/>
      <family val="2"/>
    </font>
    <font>
      <sz val="11"/>
      <color rgb="FF9C0006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sz val="9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1"/>
      <color rgb="FF9C000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sz val="11"/>
      <color theme="0"/>
      <name val="Arial"/>
      <family val="2"/>
    </font>
    <font>
      <u/>
      <sz val="9"/>
      <color theme="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i/>
      <sz val="8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197D"/>
        <bgColor indexed="64"/>
      </patternFill>
    </fill>
    <fill>
      <patternFill patternType="solid">
        <fgColor rgb="FF00B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249977111117893"/>
        <bgColor indexed="64"/>
      </patternFill>
    </fill>
  </fills>
  <borders count="33">
    <border>
      <left/>
      <right/>
      <top/>
      <bottom/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4" tint="0.79998168889431442"/>
      </bottom>
      <diagonal/>
    </border>
    <border>
      <left/>
      <right style="thin">
        <color theme="4" tint="0.79998168889431442"/>
      </right>
      <top/>
      <bottom/>
      <diagonal/>
    </border>
    <border>
      <left/>
      <right style="thin">
        <color theme="4" tint="0.79995117038483843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0"/>
      </bottom>
      <diagonal/>
    </border>
    <border>
      <left/>
      <right style="thin">
        <color theme="4" tint="0.79995117038483843"/>
      </right>
      <top style="thin">
        <color theme="4" tint="0.79998168889431442"/>
      </top>
      <bottom style="thin">
        <color theme="0"/>
      </bottom>
      <diagonal/>
    </border>
    <border>
      <left style="thin">
        <color rgb="FFD3EEFB"/>
      </left>
      <right style="thin">
        <color rgb="FFD3EEFB"/>
      </right>
      <top style="thin">
        <color theme="4" tint="0.79998168889431442"/>
      </top>
      <bottom style="thin">
        <color theme="0"/>
      </bottom>
      <diagonal/>
    </border>
    <border>
      <left style="thin">
        <color rgb="FFD3EEFB"/>
      </left>
      <right style="thin">
        <color theme="4" tint="0.79995117038483843"/>
      </right>
      <top style="thin">
        <color theme="4" tint="0.79998168889431442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4" tint="0.79998168889431442"/>
      </right>
      <top/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79998168889431442"/>
      </bottom>
      <diagonal/>
    </border>
  </borders>
  <cellStyleXfs count="200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" fillId="2" borderId="0" applyNumberFormat="0" applyBorder="0" applyAlignment="0" applyProtection="0"/>
    <xf numFmtId="164" fontId="2" fillId="0" borderId="0" applyFont="0" applyFill="0" applyBorder="0" applyAlignment="0" applyProtection="0"/>
    <xf numFmtId="0" fontId="9" fillId="2" borderId="0" applyNumberFormat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65">
    <xf numFmtId="0" fontId="0" fillId="0" borderId="0" xfId="0"/>
    <xf numFmtId="165" fontId="10" fillId="10" borderId="2" xfId="4" applyNumberFormat="1" applyFont="1" applyFill="1" applyBorder="1" applyAlignment="1">
      <alignment horizontal="left" vertical="center" wrapText="1"/>
    </xf>
    <xf numFmtId="168" fontId="10" fillId="10" borderId="2" xfId="1" applyNumberFormat="1" applyFont="1" applyFill="1" applyBorder="1" applyAlignment="1">
      <alignment horizontal="left" vertical="center" wrapText="1"/>
    </xf>
    <xf numFmtId="49" fontId="8" fillId="9" borderId="2" xfId="3" applyNumberFormat="1" applyFont="1" applyFill="1" applyBorder="1" applyAlignment="1">
      <alignment horizontal="center" vertical="center"/>
    </xf>
    <xf numFmtId="49" fontId="8" fillId="7" borderId="2" xfId="3" applyNumberFormat="1" applyFont="1" applyFill="1" applyBorder="1" applyAlignment="1">
      <alignment horizontal="center" vertical="center"/>
    </xf>
    <xf numFmtId="49" fontId="7" fillId="14" borderId="2" xfId="3" applyNumberFormat="1" applyFont="1" applyFill="1" applyBorder="1" applyAlignment="1">
      <alignment horizontal="center" vertical="center"/>
    </xf>
    <xf numFmtId="49" fontId="8" fillId="5" borderId="2" xfId="3" applyNumberFormat="1" applyFont="1" applyFill="1" applyBorder="1" applyAlignment="1">
      <alignment horizontal="center" vertical="center"/>
    </xf>
    <xf numFmtId="0" fontId="17" fillId="10" borderId="0" xfId="0" applyFont="1" applyFill="1" applyAlignment="1" applyProtection="1">
      <alignment horizontal="center" vertical="center"/>
      <protection locked="0"/>
    </xf>
    <xf numFmtId="0" fontId="3" fillId="10" borderId="0" xfId="0" applyFont="1" applyFill="1" applyAlignment="1" applyProtection="1">
      <alignment horizontal="center" vertical="center"/>
      <protection locked="0"/>
    </xf>
    <xf numFmtId="0" fontId="18" fillId="10" borderId="0" xfId="0" applyFont="1" applyFill="1" applyAlignment="1">
      <alignment horizontal="center" vertical="center"/>
    </xf>
    <xf numFmtId="169" fontId="18" fillId="10" borderId="0" xfId="0" applyNumberFormat="1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168" fontId="18" fillId="10" borderId="0" xfId="0" applyNumberFormat="1" applyFont="1" applyFill="1" applyAlignment="1">
      <alignment horizontal="center" vertical="center"/>
    </xf>
    <xf numFmtId="0" fontId="18" fillId="10" borderId="0" xfId="0" applyFont="1" applyFill="1" applyAlignment="1" applyProtection="1">
      <alignment horizontal="center" vertical="center"/>
      <protection locked="0"/>
    </xf>
    <xf numFmtId="0" fontId="14" fillId="10" borderId="0" xfId="0" applyFont="1" applyFill="1" applyAlignment="1" applyProtection="1">
      <alignment horizontal="center" vertical="center"/>
      <protection locked="0"/>
    </xf>
    <xf numFmtId="0" fontId="20" fillId="10" borderId="0" xfId="0" applyFont="1" applyFill="1" applyAlignment="1" applyProtection="1">
      <alignment horizontal="center" vertical="center"/>
      <protection locked="0"/>
    </xf>
    <xf numFmtId="0" fontId="21" fillId="10" borderId="0" xfId="0" quotePrefix="1" applyFont="1" applyFill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169" fontId="21" fillId="10" borderId="0" xfId="4" applyNumberFormat="1" applyFont="1" applyFill="1" applyBorder="1" applyAlignment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165" fontId="21" fillId="10" borderId="0" xfId="4" applyNumberFormat="1" applyFont="1" applyFill="1" applyBorder="1" applyAlignment="1">
      <alignment horizontal="center" vertical="center" wrapText="1"/>
    </xf>
    <xf numFmtId="168" fontId="21" fillId="10" borderId="0" xfId="4" applyNumberFormat="1" applyFont="1" applyFill="1" applyBorder="1" applyAlignment="1">
      <alignment horizontal="center" vertical="center" wrapText="1"/>
    </xf>
    <xf numFmtId="165" fontId="23" fillId="10" borderId="0" xfId="4" applyNumberFormat="1" applyFont="1" applyFill="1" applyBorder="1" applyAlignment="1">
      <alignment horizontal="center" vertical="center" wrapText="1"/>
    </xf>
    <xf numFmtId="0" fontId="20" fillId="10" borderId="0" xfId="0" applyFont="1" applyFill="1" applyAlignment="1">
      <alignment horizontal="center" vertical="center"/>
    </xf>
    <xf numFmtId="168" fontId="26" fillId="10" borderId="0" xfId="0" applyNumberFormat="1" applyFont="1" applyFill="1" applyAlignment="1">
      <alignment horizontal="center" vertical="center"/>
    </xf>
    <xf numFmtId="167" fontId="15" fillId="6" borderId="5" xfId="0" applyNumberFormat="1" applyFont="1" applyFill="1" applyBorder="1" applyAlignment="1">
      <alignment horizontal="center" vertical="center" textRotation="90" wrapText="1"/>
    </xf>
    <xf numFmtId="0" fontId="14" fillId="6" borderId="5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left" vertical="center"/>
    </xf>
    <xf numFmtId="0" fontId="19" fillId="10" borderId="0" xfId="6" applyFont="1" applyFill="1" applyAlignment="1">
      <alignment horizontal="center" vertical="center"/>
    </xf>
    <xf numFmtId="0" fontId="5" fillId="10" borderId="0" xfId="0" applyFont="1" applyFill="1" applyAlignment="1" applyProtection="1">
      <alignment horizontal="center" vertical="center"/>
      <protection locked="0"/>
    </xf>
    <xf numFmtId="0" fontId="15" fillId="10" borderId="0" xfId="0" applyFont="1" applyFill="1" applyAlignment="1" applyProtection="1">
      <alignment horizontal="center" vertical="center"/>
      <protection locked="0"/>
    </xf>
    <xf numFmtId="169" fontId="18" fillId="10" borderId="0" xfId="0" applyNumberFormat="1" applyFont="1" applyFill="1" applyAlignment="1" applyProtection="1">
      <alignment horizontal="center" vertical="center"/>
      <protection locked="0"/>
    </xf>
    <xf numFmtId="168" fontId="18" fillId="10" borderId="0" xfId="0" applyNumberFormat="1" applyFont="1" applyFill="1" applyAlignment="1" applyProtection="1">
      <alignment horizontal="center" vertical="center"/>
      <protection locked="0"/>
    </xf>
    <xf numFmtId="169" fontId="14" fillId="6" borderId="5" xfId="0" applyNumberFormat="1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170" fontId="13" fillId="19" borderId="2" xfId="0" applyNumberFormat="1" applyFont="1" applyFill="1" applyBorder="1" applyAlignment="1">
      <alignment horizontal="center" vertical="center" wrapText="1"/>
    </xf>
    <xf numFmtId="170" fontId="10" fillId="10" borderId="2" xfId="0" applyNumberFormat="1" applyFont="1" applyFill="1" applyBorder="1" applyAlignment="1">
      <alignment horizontal="center" vertical="center" wrapText="1"/>
    </xf>
    <xf numFmtId="170" fontId="13" fillId="3" borderId="2" xfId="0" applyNumberFormat="1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 applyProtection="1">
      <alignment horizontal="center" vertical="center"/>
      <protection locked="0"/>
    </xf>
    <xf numFmtId="169" fontId="18" fillId="10" borderId="0" xfId="0" applyNumberFormat="1" applyFont="1" applyFill="1" applyAlignment="1">
      <alignment vertical="center"/>
    </xf>
    <xf numFmtId="0" fontId="18" fillId="10" borderId="5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168" fontId="18" fillId="10" borderId="5" xfId="0" applyNumberFormat="1" applyFont="1" applyFill="1" applyBorder="1" applyAlignment="1">
      <alignment horizontal="center" vertical="center"/>
    </xf>
    <xf numFmtId="0" fontId="19" fillId="10" borderId="5" xfId="6" applyFont="1" applyFill="1" applyBorder="1" applyAlignment="1">
      <alignment horizontal="center" vertical="center"/>
    </xf>
    <xf numFmtId="0" fontId="18" fillId="10" borderId="5" xfId="0" applyFont="1" applyFill="1" applyBorder="1" applyAlignment="1" applyProtection="1">
      <alignment horizontal="center" vertical="center"/>
      <protection locked="0"/>
    </xf>
    <xf numFmtId="0" fontId="14" fillId="10" borderId="5" xfId="0" applyFont="1" applyFill="1" applyBorder="1" applyAlignment="1">
      <alignment horizontal="center" vertical="center"/>
    </xf>
    <xf numFmtId="169" fontId="18" fillId="10" borderId="5" xfId="0" applyNumberFormat="1" applyFont="1" applyFill="1" applyBorder="1" applyAlignment="1">
      <alignment horizontal="center" vertical="center"/>
    </xf>
    <xf numFmtId="169" fontId="18" fillId="10" borderId="5" xfId="0" applyNumberFormat="1" applyFont="1" applyFill="1" applyBorder="1" applyAlignment="1">
      <alignment vertical="center"/>
    </xf>
    <xf numFmtId="0" fontId="18" fillId="10" borderId="0" xfId="0" applyFont="1" applyFill="1" applyAlignment="1" applyProtection="1">
      <alignment horizontal="left" vertical="center"/>
      <protection locked="0"/>
    </xf>
    <xf numFmtId="0" fontId="11" fillId="10" borderId="2" xfId="0" applyFont="1" applyFill="1" applyBorder="1" applyAlignment="1">
      <alignment horizontal="center" vertical="center"/>
    </xf>
    <xf numFmtId="0" fontId="27" fillId="10" borderId="0" xfId="0" applyFont="1" applyFill="1" applyAlignment="1" applyProtection="1">
      <alignment horizontal="center" vertical="center"/>
      <protection locked="0"/>
    </xf>
    <xf numFmtId="169" fontId="18" fillId="10" borderId="0" xfId="0" applyNumberFormat="1" applyFont="1" applyFill="1" applyAlignment="1">
      <alignment horizontal="left" vertical="center"/>
    </xf>
    <xf numFmtId="169" fontId="18" fillId="10" borderId="5" xfId="0" applyNumberFormat="1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center" vertical="center" wrapText="1"/>
    </xf>
    <xf numFmtId="9" fontId="6" fillId="10" borderId="2" xfId="2" applyFont="1" applyFill="1" applyBorder="1" applyAlignment="1">
      <alignment horizontal="center" vertical="center" wrapText="1"/>
    </xf>
    <xf numFmtId="169" fontId="6" fillId="10" borderId="2" xfId="1" applyNumberFormat="1" applyFont="1" applyFill="1" applyBorder="1" applyAlignment="1">
      <alignment horizontal="center" vertical="center" wrapText="1"/>
    </xf>
    <xf numFmtId="1" fontId="6" fillId="10" borderId="2" xfId="0" applyNumberFormat="1" applyFont="1" applyFill="1" applyBorder="1" applyAlignment="1">
      <alignment horizontal="center" vertical="center"/>
    </xf>
    <xf numFmtId="170" fontId="6" fillId="10" borderId="2" xfId="0" applyNumberFormat="1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 applyProtection="1">
      <alignment horizontal="center" vertical="center"/>
      <protection locked="0"/>
    </xf>
    <xf numFmtId="0" fontId="13" fillId="8" borderId="14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vertical="center" wrapText="1"/>
    </xf>
    <xf numFmtId="0" fontId="13" fillId="6" borderId="16" xfId="0" applyFont="1" applyFill="1" applyBorder="1" applyAlignment="1">
      <alignment vertical="center" wrapText="1"/>
    </xf>
    <xf numFmtId="170" fontId="13" fillId="6" borderId="15" xfId="0" applyNumberFormat="1" applyFont="1" applyFill="1" applyBorder="1" applyAlignment="1">
      <alignment vertical="center" wrapText="1"/>
    </xf>
    <xf numFmtId="169" fontId="13" fillId="6" borderId="15" xfId="0" applyNumberFormat="1" applyFont="1" applyFill="1" applyBorder="1" applyAlignment="1">
      <alignment vertical="center" wrapText="1"/>
    </xf>
    <xf numFmtId="165" fontId="22" fillId="6" borderId="17" xfId="4" applyNumberFormat="1" applyFont="1" applyFill="1" applyBorder="1" applyAlignment="1">
      <alignment horizontal="center" vertical="center" wrapText="1"/>
    </xf>
    <xf numFmtId="168" fontId="22" fillId="6" borderId="17" xfId="4" applyNumberFormat="1" applyFont="1" applyFill="1" applyBorder="1" applyAlignment="1">
      <alignment horizontal="center" vertical="center" wrapText="1"/>
    </xf>
    <xf numFmtId="165" fontId="22" fillId="6" borderId="18" xfId="4" applyNumberFormat="1" applyFont="1" applyFill="1" applyBorder="1" applyAlignment="1">
      <alignment horizontal="center" vertical="center" wrapText="1"/>
    </xf>
    <xf numFmtId="0" fontId="21" fillId="10" borderId="0" xfId="0" quotePrefix="1" applyFont="1" applyFill="1" applyAlignment="1">
      <alignment horizontal="left" vertical="center"/>
    </xf>
    <xf numFmtId="168" fontId="14" fillId="6" borderId="5" xfId="0" applyNumberFormat="1" applyFont="1" applyFill="1" applyBorder="1" applyAlignment="1">
      <alignment horizontal="center" vertical="center" wrapText="1"/>
    </xf>
    <xf numFmtId="169" fontId="18" fillId="10" borderId="10" xfId="0" applyNumberFormat="1" applyFont="1" applyFill="1" applyBorder="1" applyAlignment="1">
      <alignment horizontal="center" vertical="center"/>
    </xf>
    <xf numFmtId="0" fontId="15" fillId="5" borderId="8" xfId="0" quotePrefix="1" applyFont="1" applyFill="1" applyBorder="1" applyAlignment="1">
      <alignment horizontal="centerContinuous" vertical="center" wrapText="1"/>
    </xf>
    <xf numFmtId="0" fontId="15" fillId="5" borderId="9" xfId="0" quotePrefix="1" applyFont="1" applyFill="1" applyBorder="1" applyAlignment="1">
      <alignment horizontal="centerContinuous" vertical="center" wrapText="1"/>
    </xf>
    <xf numFmtId="0" fontId="15" fillId="5" borderId="10" xfId="0" quotePrefix="1" applyFont="1" applyFill="1" applyBorder="1" applyAlignment="1">
      <alignment horizontal="centerContinuous" vertical="center" wrapText="1"/>
    </xf>
    <xf numFmtId="0" fontId="13" fillId="6" borderId="20" xfId="0" applyFont="1" applyFill="1" applyBorder="1" applyAlignment="1">
      <alignment vertical="center"/>
    </xf>
    <xf numFmtId="168" fontId="13" fillId="6" borderId="21" xfId="0" applyNumberFormat="1" applyFont="1" applyFill="1" applyBorder="1" applyAlignment="1">
      <alignment vertical="center"/>
    </xf>
    <xf numFmtId="165" fontId="13" fillId="6" borderId="22" xfId="4" applyNumberFormat="1" applyFont="1" applyFill="1" applyBorder="1" applyAlignment="1">
      <alignment horizontal="left" vertical="center" wrapText="1"/>
    </xf>
    <xf numFmtId="0" fontId="13" fillId="6" borderId="24" xfId="0" applyFont="1" applyFill="1" applyBorder="1" applyAlignment="1">
      <alignment vertical="center"/>
    </xf>
    <xf numFmtId="168" fontId="13" fillId="6" borderId="0" xfId="0" applyNumberFormat="1" applyFont="1" applyFill="1" applyAlignment="1">
      <alignment horizontal="center" vertical="center"/>
    </xf>
    <xf numFmtId="165" fontId="22" fillId="5" borderId="25" xfId="4" applyNumberFormat="1" applyFont="1" applyFill="1" applyBorder="1" applyAlignment="1">
      <alignment horizontal="left" vertical="center" wrapText="1"/>
    </xf>
    <xf numFmtId="168" fontId="25" fillId="6" borderId="0" xfId="0" applyNumberFormat="1" applyFont="1" applyFill="1" applyAlignment="1">
      <alignment vertical="center"/>
    </xf>
    <xf numFmtId="165" fontId="13" fillId="6" borderId="25" xfId="4" applyNumberFormat="1" applyFont="1" applyFill="1" applyBorder="1" applyAlignment="1">
      <alignment horizontal="left" vertical="center" wrapText="1"/>
    </xf>
    <xf numFmtId="167" fontId="15" fillId="23" borderId="5" xfId="0" applyNumberFormat="1" applyFont="1" applyFill="1" applyBorder="1" applyAlignment="1">
      <alignment horizontal="center" vertical="center" textRotation="90" wrapText="1"/>
    </xf>
    <xf numFmtId="167" fontId="15" fillId="7" borderId="5" xfId="0" applyNumberFormat="1" applyFont="1" applyFill="1" applyBorder="1" applyAlignment="1">
      <alignment horizontal="center" vertical="center" textRotation="90" wrapText="1"/>
    </xf>
    <xf numFmtId="0" fontId="11" fillId="10" borderId="2" xfId="0" applyFont="1" applyFill="1" applyBorder="1" applyAlignment="1">
      <alignment horizontal="center" vertical="center" wrapText="1"/>
    </xf>
    <xf numFmtId="170" fontId="13" fillId="13" borderId="2" xfId="0" applyNumberFormat="1" applyFont="1" applyFill="1" applyBorder="1" applyAlignment="1">
      <alignment horizontal="center" vertical="center" wrapText="1"/>
    </xf>
    <xf numFmtId="170" fontId="10" fillId="12" borderId="2" xfId="0" applyNumberFormat="1" applyFont="1" applyFill="1" applyBorder="1" applyAlignment="1">
      <alignment horizontal="center" vertical="center" wrapText="1"/>
    </xf>
    <xf numFmtId="170" fontId="13" fillId="14" borderId="2" xfId="0" applyNumberFormat="1" applyFont="1" applyFill="1" applyBorder="1" applyAlignment="1">
      <alignment horizontal="center" vertical="center" wrapText="1"/>
    </xf>
    <xf numFmtId="170" fontId="13" fillId="11" borderId="2" xfId="0" applyNumberFormat="1" applyFont="1" applyFill="1" applyBorder="1" applyAlignment="1">
      <alignment horizontal="center" vertical="center" wrapText="1"/>
    </xf>
    <xf numFmtId="170" fontId="4" fillId="10" borderId="2" xfId="0" applyNumberFormat="1" applyFont="1" applyFill="1" applyBorder="1" applyAlignment="1">
      <alignment horizontal="center" vertical="center" wrapText="1"/>
    </xf>
    <xf numFmtId="168" fontId="13" fillId="6" borderId="0" xfId="0" applyNumberFormat="1" applyFont="1" applyFill="1" applyAlignment="1">
      <alignment vertical="center"/>
    </xf>
    <xf numFmtId="166" fontId="13" fillId="6" borderId="25" xfId="2" applyNumberFormat="1" applyFont="1" applyFill="1" applyBorder="1" applyAlignment="1">
      <alignment horizontal="right" vertical="center"/>
    </xf>
    <xf numFmtId="0" fontId="13" fillId="6" borderId="27" xfId="0" applyFont="1" applyFill="1" applyBorder="1" applyAlignment="1">
      <alignment vertical="center"/>
    </xf>
    <xf numFmtId="168" fontId="13" fillId="6" borderId="28" xfId="0" applyNumberFormat="1" applyFont="1" applyFill="1" applyBorder="1" applyAlignment="1">
      <alignment vertical="center"/>
    </xf>
    <xf numFmtId="168" fontId="22" fillId="6" borderId="28" xfId="0" applyNumberFormat="1" applyFont="1" applyFill="1" applyBorder="1" applyAlignment="1">
      <alignment vertical="center"/>
    </xf>
    <xf numFmtId="165" fontId="13" fillId="6" borderId="29" xfId="4" applyNumberFormat="1" applyFont="1" applyFill="1" applyBorder="1" applyAlignment="1">
      <alignment horizontal="left" vertical="center" wrapText="1"/>
    </xf>
    <xf numFmtId="169" fontId="6" fillId="10" borderId="2" xfId="55" applyNumberFormat="1" applyFont="1" applyFill="1" applyBorder="1" applyAlignment="1">
      <alignment horizontal="center" vertical="center" wrapText="1"/>
    </xf>
    <xf numFmtId="170" fontId="13" fillId="21" borderId="2" xfId="0" applyNumberFormat="1" applyFont="1" applyFill="1" applyBorder="1" applyAlignment="1">
      <alignment horizontal="center" vertical="center" wrapText="1"/>
    </xf>
    <xf numFmtId="170" fontId="10" fillId="22" borderId="2" xfId="0" applyNumberFormat="1" applyFont="1" applyFill="1" applyBorder="1" applyAlignment="1">
      <alignment horizontal="center" vertical="center" wrapText="1"/>
    </xf>
    <xf numFmtId="170" fontId="10" fillId="15" borderId="2" xfId="0" applyNumberFormat="1" applyFont="1" applyFill="1" applyBorder="1" applyAlignment="1">
      <alignment horizontal="center" vertical="center" wrapText="1"/>
    </xf>
    <xf numFmtId="170" fontId="13" fillId="16" borderId="2" xfId="0" applyNumberFormat="1" applyFont="1" applyFill="1" applyBorder="1" applyAlignment="1">
      <alignment horizontal="center" vertical="center" wrapText="1"/>
    </xf>
    <xf numFmtId="170" fontId="13" fillId="5" borderId="2" xfId="0" applyNumberFormat="1" applyFont="1" applyFill="1" applyBorder="1" applyAlignment="1">
      <alignment horizontal="center" vertical="center" wrapText="1"/>
    </xf>
    <xf numFmtId="170" fontId="10" fillId="17" borderId="2" xfId="0" applyNumberFormat="1" applyFont="1" applyFill="1" applyBorder="1" applyAlignment="1">
      <alignment horizontal="center" vertical="center" wrapText="1"/>
    </xf>
    <xf numFmtId="170" fontId="6" fillId="20" borderId="2" xfId="0" applyNumberFormat="1" applyFont="1" applyFill="1" applyBorder="1" applyAlignment="1">
      <alignment horizontal="center" vertical="center" wrapText="1"/>
    </xf>
    <xf numFmtId="1" fontId="10" fillId="10" borderId="2" xfId="0" applyNumberFormat="1" applyFont="1" applyFill="1" applyBorder="1" applyAlignment="1">
      <alignment horizontal="center" vertical="center"/>
    </xf>
    <xf numFmtId="9" fontId="10" fillId="10" borderId="2" xfId="2" applyFont="1" applyFill="1" applyBorder="1" applyAlignment="1">
      <alignment horizontal="center" vertical="center" wrapText="1"/>
    </xf>
    <xf numFmtId="169" fontId="10" fillId="10" borderId="2" xfId="1" applyNumberFormat="1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" fillId="10" borderId="0" xfId="0" applyFont="1" applyFill="1"/>
    <xf numFmtId="0" fontId="29" fillId="6" borderId="5" xfId="0" applyFont="1" applyFill="1" applyBorder="1" applyAlignment="1">
      <alignment horizontal="center" vertical="center"/>
    </xf>
    <xf numFmtId="173" fontId="30" fillId="10" borderId="2" xfId="199" applyNumberFormat="1" applyFont="1" applyFill="1" applyBorder="1" applyAlignment="1">
      <alignment horizontal="center" vertical="center"/>
    </xf>
    <xf numFmtId="166" fontId="30" fillId="10" borderId="2" xfId="2" applyNumberFormat="1" applyFont="1" applyFill="1" applyBorder="1" applyAlignment="1">
      <alignment horizontal="center" vertical="center"/>
    </xf>
    <xf numFmtId="171" fontId="30" fillId="10" borderId="2" xfId="0" applyNumberFormat="1" applyFont="1" applyFill="1" applyBorder="1" applyAlignment="1">
      <alignment horizontal="center" vertical="center"/>
    </xf>
    <xf numFmtId="0" fontId="31" fillId="10" borderId="0" xfId="0" applyFont="1" applyFill="1" applyAlignment="1">
      <alignment vertical="top"/>
    </xf>
    <xf numFmtId="0" fontId="1" fillId="0" borderId="0" xfId="0" applyFont="1"/>
    <xf numFmtId="0" fontId="14" fillId="6" borderId="5" xfId="0" applyFont="1" applyFill="1" applyBorder="1" applyAlignment="1">
      <alignment horizontal="center" vertical="center"/>
    </xf>
    <xf numFmtId="3" fontId="3" fillId="10" borderId="2" xfId="199" applyNumberFormat="1" applyFont="1" applyFill="1" applyBorder="1" applyAlignment="1">
      <alignment horizontal="center" vertical="center"/>
    </xf>
    <xf numFmtId="166" fontId="3" fillId="10" borderId="2" xfId="2" applyNumberFormat="1" applyFont="1" applyFill="1" applyBorder="1" applyAlignment="1">
      <alignment horizontal="center" vertical="center"/>
    </xf>
    <xf numFmtId="171" fontId="3" fillId="10" borderId="2" xfId="0" applyNumberFormat="1" applyFont="1" applyFill="1" applyBorder="1" applyAlignment="1">
      <alignment horizontal="center" vertical="center"/>
    </xf>
    <xf numFmtId="173" fontId="3" fillId="10" borderId="2" xfId="199" applyNumberFormat="1" applyFont="1" applyFill="1" applyBorder="1" applyAlignment="1">
      <alignment horizontal="center" vertical="center"/>
    </xf>
    <xf numFmtId="44" fontId="1" fillId="10" borderId="0" xfId="1" applyFont="1" applyFill="1"/>
    <xf numFmtId="0" fontId="13" fillId="10" borderId="0" xfId="0" applyFont="1" applyFill="1" applyAlignment="1" applyProtection="1">
      <alignment horizontal="center" vertical="center"/>
      <protection locked="0"/>
    </xf>
    <xf numFmtId="170" fontId="13" fillId="23" borderId="2" xfId="0" applyNumberFormat="1" applyFont="1" applyFill="1" applyBorder="1" applyAlignment="1">
      <alignment horizontal="center" vertical="center" wrapText="1"/>
    </xf>
    <xf numFmtId="169" fontId="18" fillId="10" borderId="8" xfId="0" applyNumberFormat="1" applyFont="1" applyFill="1" applyBorder="1" applyAlignment="1">
      <alignment horizontal="center" vertical="center"/>
    </xf>
    <xf numFmtId="170" fontId="13" fillId="24" borderId="2" xfId="0" applyNumberFormat="1" applyFont="1" applyFill="1" applyBorder="1" applyAlignment="1">
      <alignment horizontal="center" vertical="center" wrapText="1"/>
    </xf>
    <xf numFmtId="0" fontId="10" fillId="25" borderId="2" xfId="0" applyFont="1" applyFill="1" applyBorder="1" applyAlignment="1">
      <alignment horizontal="center" vertical="center" wrapText="1"/>
    </xf>
    <xf numFmtId="170" fontId="10" fillId="25" borderId="2" xfId="0" applyNumberFormat="1" applyFont="1" applyFill="1" applyBorder="1" applyAlignment="1">
      <alignment horizontal="center" vertical="center" wrapText="1"/>
    </xf>
    <xf numFmtId="170" fontId="13" fillId="26" borderId="2" xfId="0" applyNumberFormat="1" applyFont="1" applyFill="1" applyBorder="1" applyAlignment="1">
      <alignment horizontal="center" vertical="center" wrapText="1"/>
    </xf>
    <xf numFmtId="0" fontId="24" fillId="5" borderId="5" xfId="6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167" fontId="15" fillId="5" borderId="5" xfId="0" applyNumberFormat="1" applyFont="1" applyFill="1" applyBorder="1" applyAlignment="1">
      <alignment horizontal="center" vertical="center" textRotation="90" wrapText="1"/>
    </xf>
    <xf numFmtId="167" fontId="15" fillId="18" borderId="5" xfId="0" applyNumberFormat="1" applyFont="1" applyFill="1" applyBorder="1" applyAlignment="1">
      <alignment horizontal="center" vertical="center" textRotation="90" wrapText="1"/>
    </xf>
    <xf numFmtId="165" fontId="3" fillId="10" borderId="0" xfId="0" applyNumberFormat="1" applyFont="1" applyFill="1" applyAlignment="1" applyProtection="1">
      <alignment horizontal="right" vertical="center"/>
      <protection locked="0"/>
    </xf>
    <xf numFmtId="166" fontId="3" fillId="10" borderId="0" xfId="2" applyNumberFormat="1" applyFont="1" applyFill="1" applyBorder="1" applyAlignment="1">
      <alignment horizontal="right" vertical="center"/>
    </xf>
    <xf numFmtId="168" fontId="10" fillId="10" borderId="3" xfId="1" applyNumberFormat="1" applyFont="1" applyFill="1" applyBorder="1" applyAlignment="1">
      <alignment horizontal="left" vertical="center" wrapText="1"/>
    </xf>
    <xf numFmtId="168" fontId="14" fillId="6" borderId="11" xfId="0" applyNumberFormat="1" applyFont="1" applyFill="1" applyBorder="1" applyAlignment="1">
      <alignment horizontal="center" vertical="center" wrapText="1"/>
    </xf>
    <xf numFmtId="168" fontId="18" fillId="10" borderId="32" xfId="0" applyNumberFormat="1" applyFont="1" applyFill="1" applyBorder="1" applyAlignment="1">
      <alignment horizontal="center" vertical="center"/>
    </xf>
    <xf numFmtId="0" fontId="14" fillId="5" borderId="5" xfId="6" applyFont="1" applyFill="1" applyBorder="1" applyAlignment="1">
      <alignment horizontal="center" vertical="center" wrapText="1"/>
    </xf>
    <xf numFmtId="172" fontId="3" fillId="10" borderId="2" xfId="199" applyNumberFormat="1" applyFont="1" applyFill="1" applyBorder="1" applyAlignment="1">
      <alignment horizontal="center" vertical="center"/>
    </xf>
    <xf numFmtId="8" fontId="30" fillId="10" borderId="2" xfId="1" applyNumberFormat="1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/>
    </xf>
    <xf numFmtId="0" fontId="28" fillId="3" borderId="23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5" fillId="10" borderId="21" xfId="0" applyFont="1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0" fontId="15" fillId="10" borderId="23" xfId="0" applyFont="1" applyFill="1" applyBorder="1" applyAlignment="1">
      <alignment horizontal="center" vertical="center" wrapText="1"/>
    </xf>
    <xf numFmtId="0" fontId="15" fillId="10" borderId="19" xfId="0" applyFont="1" applyFill="1" applyBorder="1" applyAlignment="1">
      <alignment horizontal="center" vertical="center" wrapText="1"/>
    </xf>
    <xf numFmtId="49" fontId="13" fillId="6" borderId="8" xfId="0" applyNumberFormat="1" applyFont="1" applyFill="1" applyBorder="1" applyAlignment="1">
      <alignment horizontal="center" vertical="center" wrapText="1"/>
    </xf>
    <xf numFmtId="49" fontId="13" fillId="6" borderId="9" xfId="0" applyNumberFormat="1" applyFont="1" applyFill="1" applyBorder="1" applyAlignment="1">
      <alignment horizontal="center" vertical="center" wrapText="1"/>
    </xf>
    <xf numFmtId="49" fontId="13" fillId="6" borderId="10" xfId="0" applyNumberFormat="1" applyFont="1" applyFill="1" applyBorder="1" applyAlignment="1">
      <alignment horizontal="center" vertical="center" wrapText="1"/>
    </xf>
    <xf numFmtId="165" fontId="10" fillId="10" borderId="31" xfId="4" applyNumberFormat="1" applyFont="1" applyFill="1" applyBorder="1" applyAlignment="1">
      <alignment horizontal="center" vertical="center" wrapText="1"/>
    </xf>
    <xf numFmtId="165" fontId="10" fillId="10" borderId="13" xfId="4" applyNumberFormat="1" applyFont="1" applyFill="1" applyBorder="1" applyAlignment="1">
      <alignment horizontal="center" vertical="center" wrapText="1"/>
    </xf>
    <xf numFmtId="165" fontId="10" fillId="10" borderId="30" xfId="4" applyNumberFormat="1" applyFont="1" applyFill="1" applyBorder="1" applyAlignment="1">
      <alignment horizontal="center" vertical="center" wrapText="1"/>
    </xf>
    <xf numFmtId="168" fontId="10" fillId="10" borderId="26" xfId="1" applyNumberFormat="1" applyFont="1" applyFill="1" applyBorder="1" applyAlignment="1">
      <alignment horizontal="center" vertical="center" wrapText="1"/>
    </xf>
    <xf numFmtId="168" fontId="10" fillId="10" borderId="6" xfId="1" applyNumberFormat="1" applyFont="1" applyFill="1" applyBorder="1" applyAlignment="1">
      <alignment horizontal="center" vertical="center" wrapText="1"/>
    </xf>
    <xf numFmtId="168" fontId="10" fillId="10" borderId="7" xfId="1" applyNumberFormat="1" applyFont="1" applyFill="1" applyBorder="1" applyAlignment="1">
      <alignment horizontal="center" vertical="center" wrapText="1"/>
    </xf>
  </cellXfs>
  <cellStyles count="200">
    <cellStyle name="Bad" xfId="6" builtinId="27"/>
    <cellStyle name="Bad 2" xfId="8" xr:uid="{5A80FE7A-33C8-46B7-8C8C-6180FFB37338}"/>
    <cellStyle name="Comma" xfId="199" builtinId="3"/>
    <cellStyle name="Currency" xfId="1" builtinId="4"/>
    <cellStyle name="Currency 10" xfId="55" xr:uid="{82875A60-0A2E-418D-8B4F-14A23B6D7B7C}"/>
    <cellStyle name="Currency 2" xfId="5" xr:uid="{B349906C-085B-4C40-A12B-1D19DEE1D440}"/>
    <cellStyle name="Currency 2 2" xfId="11" xr:uid="{5E461E22-A4CD-45B0-9ACA-6D84A9D4DB1E}"/>
    <cellStyle name="Currency 2 2 2" xfId="17" xr:uid="{DDDB16F4-9E87-497F-850A-30EBD1CF33FE}"/>
    <cellStyle name="Currency 2 2 2 2" xfId="29" xr:uid="{146CE802-0C5B-4AB9-8ABB-CDE18B8457DD}"/>
    <cellStyle name="Currency 2 2 2 2 2" xfId="53" xr:uid="{E817E8B2-5F03-4B1E-AC44-FE1A06D0D0F7}"/>
    <cellStyle name="Currency 2 2 2 2 2 2" xfId="197" xr:uid="{ACB100CA-46FF-4E52-8E59-7BAD441BC1E2}"/>
    <cellStyle name="Currency 2 2 2 2 2 3" xfId="125" xr:uid="{2298CED5-136E-4F5A-A630-F74146E7EB6E}"/>
    <cellStyle name="Currency 2 2 2 2 3" xfId="101" xr:uid="{8C6F2AEF-A5B8-43DD-AE86-A7DA06CBB276}"/>
    <cellStyle name="Currency 2 2 2 2 3 2" xfId="173" xr:uid="{3D718AAC-726F-4C62-9076-95917AB53815}"/>
    <cellStyle name="Currency 2 2 2 2 4" xfId="149" xr:uid="{BD0246B0-92CA-4040-9901-C08C8E1E6019}"/>
    <cellStyle name="Currency 2 2 2 2 5" xfId="77" xr:uid="{6B028D57-0D11-407D-AFA9-B03E76D5D77A}"/>
    <cellStyle name="Currency 2 2 2 3" xfId="41" xr:uid="{02581B9C-2E08-4FD4-86E6-2C82D5A25CC7}"/>
    <cellStyle name="Currency 2 2 2 3 2" xfId="185" xr:uid="{B49E78B1-274F-4190-A6BC-215F3DFD5A09}"/>
    <cellStyle name="Currency 2 2 2 3 3" xfId="113" xr:uid="{8555C1E0-5592-4B83-9BBC-C7EED4A14FD0}"/>
    <cellStyle name="Currency 2 2 2 4" xfId="89" xr:uid="{F6C7F222-1F2D-4E20-BBD1-A22E2E8D7BCD}"/>
    <cellStyle name="Currency 2 2 2 4 2" xfId="161" xr:uid="{956CA91E-7FD7-483F-A0C0-15AF626881E7}"/>
    <cellStyle name="Currency 2 2 2 5" xfId="137" xr:uid="{89BFD7B1-E705-417D-AFD8-E4EAC7FA33D8}"/>
    <cellStyle name="Currency 2 2 2 6" xfId="65" xr:uid="{D95BBEC6-66A5-49DF-B2B0-D9C5032E1816}"/>
    <cellStyle name="Currency 2 2 3" xfId="23" xr:uid="{F9753C03-9F0E-4E2A-BE62-C7FBCA7D6ED8}"/>
    <cellStyle name="Currency 2 2 3 2" xfId="47" xr:uid="{EC690035-3F58-45CE-A621-098730E1E466}"/>
    <cellStyle name="Currency 2 2 3 2 2" xfId="191" xr:uid="{F41C51AC-745D-4385-A646-D6AA9B5A09F6}"/>
    <cellStyle name="Currency 2 2 3 2 3" xfId="119" xr:uid="{528B573D-C614-47AB-B5EF-0DBF2D4ED023}"/>
    <cellStyle name="Currency 2 2 3 3" xfId="95" xr:uid="{F195963A-0D5E-46C2-B63A-1F892E92890F}"/>
    <cellStyle name="Currency 2 2 3 3 2" xfId="167" xr:uid="{BD8FC5CA-22CF-4780-911A-0B3770C70110}"/>
    <cellStyle name="Currency 2 2 3 4" xfId="143" xr:uid="{124CCDC5-3B51-49F6-A73E-E8FC604E615E}"/>
    <cellStyle name="Currency 2 2 3 5" xfId="71" xr:uid="{2E62C519-FD69-436A-9D8D-725DC58311ED}"/>
    <cellStyle name="Currency 2 2 4" xfId="35" xr:uid="{32F35689-D667-47D6-B667-FD6EA100EC95}"/>
    <cellStyle name="Currency 2 2 4 2" xfId="179" xr:uid="{F421CB0B-B321-452A-A3F3-3E14BBD97C88}"/>
    <cellStyle name="Currency 2 2 4 3" xfId="107" xr:uid="{8372FD6B-60B2-48B6-946C-A52C97914033}"/>
    <cellStyle name="Currency 2 2 5" xfId="83" xr:uid="{08666D04-DF67-4453-9BAF-881E0AAB5731}"/>
    <cellStyle name="Currency 2 2 5 2" xfId="155" xr:uid="{68356B99-16CA-4EE8-8220-0C98CA2FDD49}"/>
    <cellStyle name="Currency 2 2 6" xfId="131" xr:uid="{86ABA7C2-65CF-4634-B28C-7728F49D5419}"/>
    <cellStyle name="Currency 2 2 7" xfId="59" xr:uid="{0E12031D-18A8-4EF9-8140-42F6E78418F3}"/>
    <cellStyle name="Currency 2 3" xfId="14" xr:uid="{0E4018AF-3A82-46D6-88E6-819388B4DBEF}"/>
    <cellStyle name="Currency 2 3 2" xfId="26" xr:uid="{8421FF93-D3BC-494E-BA82-30425D88F6BD}"/>
    <cellStyle name="Currency 2 3 2 2" xfId="50" xr:uid="{8B0F0D9A-9F90-4E63-B38E-3CECA1387CD3}"/>
    <cellStyle name="Currency 2 3 2 2 2" xfId="194" xr:uid="{8A39E08E-C2C6-4B5E-A4FC-196712A07FB0}"/>
    <cellStyle name="Currency 2 3 2 2 3" xfId="122" xr:uid="{D9D71876-C0D1-44BB-8816-553C802A442A}"/>
    <cellStyle name="Currency 2 3 2 3" xfId="98" xr:uid="{2731F225-37B0-46EB-9D2D-057658D3B101}"/>
    <cellStyle name="Currency 2 3 2 3 2" xfId="170" xr:uid="{7C2D9C7F-A87B-4701-9A4D-A3446CC6AFDC}"/>
    <cellStyle name="Currency 2 3 2 4" xfId="146" xr:uid="{2DC648BE-8388-4ADF-BBC1-E667026D5CF9}"/>
    <cellStyle name="Currency 2 3 2 5" xfId="74" xr:uid="{9EC99488-ECA3-402F-882B-DFB5B4130562}"/>
    <cellStyle name="Currency 2 3 3" xfId="38" xr:uid="{46BBF992-CB40-495A-B4CA-8806B144EF98}"/>
    <cellStyle name="Currency 2 3 3 2" xfId="182" xr:uid="{60EE7B45-ADDE-497A-93A2-CD04F12DE1B0}"/>
    <cellStyle name="Currency 2 3 3 3" xfId="110" xr:uid="{E94D70A8-1CF1-46F2-B4DC-7817F3E21D8E}"/>
    <cellStyle name="Currency 2 3 4" xfId="86" xr:uid="{CCCDFF14-9F32-4571-B9B5-C4EACFAF14AF}"/>
    <cellStyle name="Currency 2 3 4 2" xfId="158" xr:uid="{6D4F9F25-75A0-4172-8443-74FC9E0EFD29}"/>
    <cellStyle name="Currency 2 3 5" xfId="134" xr:uid="{C1A84C65-E893-4B41-8E46-066AD98EB3C9}"/>
    <cellStyle name="Currency 2 3 6" xfId="62" xr:uid="{6960676D-8ACD-459A-9055-D1446E65D66D}"/>
    <cellStyle name="Currency 2 4" xfId="20" xr:uid="{50964041-E36A-4C3C-A4E1-00B2EC3B6C73}"/>
    <cellStyle name="Currency 2 4 2" xfId="44" xr:uid="{73C645EA-B3AC-40D6-B3D6-301C5270AF56}"/>
    <cellStyle name="Currency 2 4 2 2" xfId="188" xr:uid="{4F7661B1-D564-4E08-8D20-BC645BE16AE0}"/>
    <cellStyle name="Currency 2 4 2 3" xfId="116" xr:uid="{FA51EAED-06B9-4A5A-A99B-46C2FEE77E64}"/>
    <cellStyle name="Currency 2 4 3" xfId="92" xr:uid="{4192C96D-96C9-40D3-BED0-74C090AFB2E3}"/>
    <cellStyle name="Currency 2 4 3 2" xfId="164" xr:uid="{CCDAF0F5-ACCC-400B-97BB-DAA1E1392FCD}"/>
    <cellStyle name="Currency 2 4 4" xfId="140" xr:uid="{9B8902E3-A44D-4D2B-B8FD-730FD9D5638B}"/>
    <cellStyle name="Currency 2 4 5" xfId="68" xr:uid="{1E34C532-ED52-4B89-A8C1-F69EAFFAC282}"/>
    <cellStyle name="Currency 2 5" xfId="32" xr:uid="{2E43D0C5-7AC2-4003-A72D-D067D3E40BF9}"/>
    <cellStyle name="Currency 2 5 2" xfId="176" xr:uid="{28191B94-DBB9-4A42-9784-C82551554410}"/>
    <cellStyle name="Currency 2 5 3" xfId="104" xr:uid="{C4DE70CF-1970-472A-A66B-623ADCE51908}"/>
    <cellStyle name="Currency 2 6" xfId="80" xr:uid="{A3534038-A499-41AF-905C-314986BEE57F}"/>
    <cellStyle name="Currency 2 6 2" xfId="152" xr:uid="{D885C5B0-9543-40ED-A89F-0C08AFE3F43C}"/>
    <cellStyle name="Currency 2 7" xfId="128" xr:uid="{86E42A3B-3C1A-4A5B-9565-F9D32C71CAA3}"/>
    <cellStyle name="Currency 2 8" xfId="56" xr:uid="{1C9B5B14-4F94-4869-9AB4-C0672C142CA6}"/>
    <cellStyle name="Currency 3" xfId="9" xr:uid="{8818DA76-9AF0-461E-97FC-BAFF70C29B41}"/>
    <cellStyle name="Currency 3 2" xfId="15" xr:uid="{15E7F6E3-6A2E-4622-AF49-8136C7C1F176}"/>
    <cellStyle name="Currency 3 2 2" xfId="27" xr:uid="{7C475FED-34CD-413A-A153-BB22458062AC}"/>
    <cellStyle name="Currency 3 2 2 2" xfId="51" xr:uid="{E12A9FAB-8E7D-49AF-8F05-0B01E374108A}"/>
    <cellStyle name="Currency 3 2 2 2 2" xfId="195" xr:uid="{E82AEF09-E495-4BF7-AAEA-10CEE4F860E6}"/>
    <cellStyle name="Currency 3 2 2 2 3" xfId="123" xr:uid="{FC1DCF0A-3FD3-4409-83DB-43BD6325C418}"/>
    <cellStyle name="Currency 3 2 2 3" xfId="99" xr:uid="{458AFE49-6880-4DD1-B1DA-EB4EDACDECE6}"/>
    <cellStyle name="Currency 3 2 2 3 2" xfId="171" xr:uid="{D9982A02-7509-45D0-A0D5-31BC4EB595B5}"/>
    <cellStyle name="Currency 3 2 2 4" xfId="147" xr:uid="{B9A01B91-8A3C-470F-9312-EB40DF0F0CAC}"/>
    <cellStyle name="Currency 3 2 2 5" xfId="75" xr:uid="{10543CAF-C9E4-416E-A5CC-87E17A3F523C}"/>
    <cellStyle name="Currency 3 2 3" xfId="39" xr:uid="{169627CE-6B53-4E4A-9537-9AB14E3DE265}"/>
    <cellStyle name="Currency 3 2 3 2" xfId="183" xr:uid="{F20C192E-C092-4ACE-AA2F-2664F09F3F0E}"/>
    <cellStyle name="Currency 3 2 3 3" xfId="111" xr:uid="{CAF5EA1F-8276-4CB6-8851-756263D64267}"/>
    <cellStyle name="Currency 3 2 4" xfId="87" xr:uid="{D8EBF0E5-7B56-4957-A737-C001AA074083}"/>
    <cellStyle name="Currency 3 2 4 2" xfId="159" xr:uid="{710B2E37-6567-47F7-9676-57D86A0AB4FA}"/>
    <cellStyle name="Currency 3 2 5" xfId="135" xr:uid="{C203731B-2AA1-400C-9175-25012E845F78}"/>
    <cellStyle name="Currency 3 2 6" xfId="63" xr:uid="{8B1B60D9-24F6-4ED1-9C01-95F9877E9908}"/>
    <cellStyle name="Currency 3 3" xfId="21" xr:uid="{7155BBA2-7438-49D2-8DA1-E7F2F9BBDD68}"/>
    <cellStyle name="Currency 3 3 2" xfId="45" xr:uid="{1B090B06-1A82-494A-9325-F8EB25FA4474}"/>
    <cellStyle name="Currency 3 3 2 2" xfId="189" xr:uid="{32E2AE9A-E618-43AF-AFCA-4B6E0735E908}"/>
    <cellStyle name="Currency 3 3 2 3" xfId="117" xr:uid="{173BE2F2-56CD-40E1-831E-89797398BED3}"/>
    <cellStyle name="Currency 3 3 3" xfId="93" xr:uid="{B685B135-1045-40B8-AFBD-1E034383CC83}"/>
    <cellStyle name="Currency 3 3 3 2" xfId="165" xr:uid="{5A15EF9C-98EB-48B0-8679-0C9877E2B0BC}"/>
    <cellStyle name="Currency 3 3 4" xfId="141" xr:uid="{2FBDBBB0-3A8C-409E-9D21-6A9275BE2BC3}"/>
    <cellStyle name="Currency 3 3 5" xfId="69" xr:uid="{40FA2242-6BE7-4455-8041-29597C484903}"/>
    <cellStyle name="Currency 3 4" xfId="33" xr:uid="{FF5077C6-5E54-49AF-A9D0-0EC14FEBA9CE}"/>
    <cellStyle name="Currency 3 4 2" xfId="177" xr:uid="{DBB0422F-3573-4FD2-A42C-8DB4BCCEF36B}"/>
    <cellStyle name="Currency 3 4 3" xfId="105" xr:uid="{B28BBBD2-CF2D-4152-AC95-FDDE675CE55E}"/>
    <cellStyle name="Currency 3 5" xfId="81" xr:uid="{5DFDD0B8-9F92-43AF-A24B-2080DC0EA2FB}"/>
    <cellStyle name="Currency 3 5 2" xfId="153" xr:uid="{CB54BFE3-E260-46D9-BF80-16EB39E0BADF}"/>
    <cellStyle name="Currency 3 6" xfId="129" xr:uid="{1C13EBC9-E24B-46A7-9888-5C739857C119}"/>
    <cellStyle name="Currency 3 7" xfId="57" xr:uid="{32028808-0690-42E8-959B-E6E3DADA83DE}"/>
    <cellStyle name="Currency 4" xfId="13" xr:uid="{619A568E-EC65-4EC4-93E5-F34E7A9C7030}"/>
    <cellStyle name="Currency 4 2" xfId="25" xr:uid="{D4F9AF77-AEFC-4483-8FD1-27274F5513A9}"/>
    <cellStyle name="Currency 4 2 2" xfId="49" xr:uid="{5FDC7C35-95A8-40A3-B501-0965432C3B44}"/>
    <cellStyle name="Currency 4 2 2 2" xfId="193" xr:uid="{0869B89A-BDB2-4ABA-B0CF-51583E77021A}"/>
    <cellStyle name="Currency 4 2 2 3" xfId="121" xr:uid="{9FB59470-CDE5-4978-BF73-1CB027D28743}"/>
    <cellStyle name="Currency 4 2 3" xfId="97" xr:uid="{F880A240-D72E-47D5-A0F4-D4941E4265A0}"/>
    <cellStyle name="Currency 4 2 3 2" xfId="169" xr:uid="{B901CD51-BA3F-4B7C-B88F-42863F5CF0A9}"/>
    <cellStyle name="Currency 4 2 4" xfId="145" xr:uid="{58DA58A9-993C-41E6-B02A-485345C3C2CB}"/>
    <cellStyle name="Currency 4 2 5" xfId="73" xr:uid="{821E5151-109C-4F3C-BBE7-91736A1916CF}"/>
    <cellStyle name="Currency 4 3" xfId="37" xr:uid="{0242D5E1-9497-40E9-91D8-DE0D63DA5251}"/>
    <cellStyle name="Currency 4 3 2" xfId="181" xr:uid="{49E5E33C-8849-4759-8126-603A347BC231}"/>
    <cellStyle name="Currency 4 3 3" xfId="109" xr:uid="{20BC3E1E-094E-4B79-A526-CCCFFCCC7EBC}"/>
    <cellStyle name="Currency 4 4" xfId="85" xr:uid="{92E9DF4A-63D3-4994-9F46-2561C1939423}"/>
    <cellStyle name="Currency 4 4 2" xfId="157" xr:uid="{E2D9048F-8C74-4C49-AA25-55C5719CB7F5}"/>
    <cellStyle name="Currency 4 5" xfId="133" xr:uid="{F1624EB6-0106-4B73-BA85-DF670EBEA4CE}"/>
    <cellStyle name="Currency 4 6" xfId="61" xr:uid="{2B8C92AD-20F5-495A-BEBD-11C2A506D3CE}"/>
    <cellStyle name="Currency 5" xfId="19" xr:uid="{A840575B-C29E-4666-BBD2-AF1242386E51}"/>
    <cellStyle name="Currency 5 2" xfId="43" xr:uid="{47C62A80-53B3-4ABF-8EEF-7BF472C6AA18}"/>
    <cellStyle name="Currency 5 2 2" xfId="187" xr:uid="{7FE60348-8E00-411B-9F19-AA32D0D53890}"/>
    <cellStyle name="Currency 5 2 3" xfId="115" xr:uid="{9222DF2B-3C91-4589-B8E0-3A7BDE406956}"/>
    <cellStyle name="Currency 5 3" xfId="91" xr:uid="{16D3533E-ABC7-4C33-A4F0-BF3DB74E3B04}"/>
    <cellStyle name="Currency 5 3 2" xfId="163" xr:uid="{A18D99C0-7DC8-4B55-AF43-EAF6EC02FE08}"/>
    <cellStyle name="Currency 5 4" xfId="139" xr:uid="{838DE81F-58DC-4693-BA98-0F39E2F6E914}"/>
    <cellStyle name="Currency 5 5" xfId="67" xr:uid="{84F911D2-0245-413B-838D-0F86F3DAEA8F}"/>
    <cellStyle name="Currency 6" xfId="31" xr:uid="{9FC634AC-EB8D-41A0-9F06-AF26210DE8C7}"/>
    <cellStyle name="Currency 6 2" xfId="175" xr:uid="{62BB3475-F069-4F19-B004-8B547E0B947A}"/>
    <cellStyle name="Currency 6 3" xfId="103" xr:uid="{093270E4-6915-47FE-B41D-9C214F9072AE}"/>
    <cellStyle name="Currency 7" xfId="79" xr:uid="{6BF233A9-1D9C-4F94-BFF2-AA9588A3E0F6}"/>
    <cellStyle name="Currency 7 2" xfId="151" xr:uid="{358660A0-BC0E-47B4-85A5-F88DE96B3E3C}"/>
    <cellStyle name="Currency 8" xfId="4" xr:uid="{2F924340-F494-4143-A7FC-B2FFEA53F988}"/>
    <cellStyle name="Currency 8 2" xfId="10" xr:uid="{5B7C0DC1-CEC0-46C6-9DB0-BDA1BA35F7EE}"/>
    <cellStyle name="Currency 8 2 2" xfId="16" xr:uid="{57B690CB-A31A-4B87-B282-D1B4DCF9EE69}"/>
    <cellStyle name="Currency 8 2 2 2" xfId="28" xr:uid="{E413C5FF-09B3-4647-85B2-A93C0C5036E5}"/>
    <cellStyle name="Currency 8 2 2 2 2" xfId="52" xr:uid="{8FC4842C-C81B-489A-871F-FDD1A14C9A2E}"/>
    <cellStyle name="Currency 8 2 2 2 2 2" xfId="196" xr:uid="{7A8AFEF0-A71C-4F6F-9E7D-0B96D6072154}"/>
    <cellStyle name="Currency 8 2 2 2 2 3" xfId="124" xr:uid="{EDBFE751-8D9B-4E43-90DB-02AD860DA3E2}"/>
    <cellStyle name="Currency 8 2 2 2 3" xfId="100" xr:uid="{09735847-5A89-4D00-9E8E-76779C6F4D45}"/>
    <cellStyle name="Currency 8 2 2 2 3 2" xfId="172" xr:uid="{AD37743A-FD07-41CD-8A27-27B7857DA51E}"/>
    <cellStyle name="Currency 8 2 2 2 4" xfId="148" xr:uid="{09489789-814B-478E-BFB0-8778A45AED6B}"/>
    <cellStyle name="Currency 8 2 2 2 5" xfId="76" xr:uid="{9C0CEC46-8F49-4194-AB33-9985B332BBD2}"/>
    <cellStyle name="Currency 8 2 2 3" xfId="40" xr:uid="{43DFACCF-9990-41AE-A463-EF8BF35611D6}"/>
    <cellStyle name="Currency 8 2 2 3 2" xfId="184" xr:uid="{63C4191C-BB3D-4B9F-9964-CE6A3399C289}"/>
    <cellStyle name="Currency 8 2 2 3 3" xfId="112" xr:uid="{9D8E3E3B-7F9C-43B2-B036-18CF840F0500}"/>
    <cellStyle name="Currency 8 2 2 4" xfId="88" xr:uid="{B0370548-7C86-4983-BBE7-08E6C31221F9}"/>
    <cellStyle name="Currency 8 2 2 4 2" xfId="160" xr:uid="{490C2947-7B99-4F07-8E2E-08FA8413A932}"/>
    <cellStyle name="Currency 8 2 2 5" xfId="136" xr:uid="{0E00158C-648E-4E64-A5B4-D0915457501F}"/>
    <cellStyle name="Currency 8 2 2 6" xfId="64" xr:uid="{E1255FF4-0CCC-4DCB-A47C-9CEEA8B9595F}"/>
    <cellStyle name="Currency 8 2 3" xfId="22" xr:uid="{D2826B1D-7802-44A0-B993-3CB47AE0C043}"/>
    <cellStyle name="Currency 8 2 3 2" xfId="46" xr:uid="{6B88AED1-E45D-4DD1-AEB6-08B26BB5B82F}"/>
    <cellStyle name="Currency 8 2 3 2 2" xfId="190" xr:uid="{D7D67553-DF96-4D2E-8789-443D564093C5}"/>
    <cellStyle name="Currency 8 2 3 2 3" xfId="118" xr:uid="{645258BD-3F69-4591-9EA5-97CC448E80E4}"/>
    <cellStyle name="Currency 8 2 3 3" xfId="94" xr:uid="{1AA96477-2669-4139-A71F-77E00379E858}"/>
    <cellStyle name="Currency 8 2 3 3 2" xfId="166" xr:uid="{6DE7EF70-499D-41E1-B147-4A5F0FE4A769}"/>
    <cellStyle name="Currency 8 2 3 4" xfId="142" xr:uid="{A27D208C-B2C8-419A-8131-48C48C024E1F}"/>
    <cellStyle name="Currency 8 2 3 5" xfId="70" xr:uid="{C3B0A34A-7D29-4ECC-ACC9-A8926969EEF0}"/>
    <cellStyle name="Currency 8 2 4" xfId="34" xr:uid="{0068B22B-91CE-4D93-AC5A-39FEE9705F59}"/>
    <cellStyle name="Currency 8 2 4 2" xfId="178" xr:uid="{CAD6A031-2E27-4036-BD49-96A38681555F}"/>
    <cellStyle name="Currency 8 2 4 3" xfId="106" xr:uid="{4319EFF8-7D3F-44AE-9B04-43BBCD588675}"/>
    <cellStyle name="Currency 8 2 5" xfId="82" xr:uid="{0BF2B376-C562-4AAE-BD29-22F08899EEBD}"/>
    <cellStyle name="Currency 8 2 5 2" xfId="154" xr:uid="{98F80A52-6700-4C64-887B-038063C6EAE1}"/>
    <cellStyle name="Currency 8 2 6" xfId="130" xr:uid="{4E11A9A6-02C6-4761-939F-D3F7F1220771}"/>
    <cellStyle name="Currency 8 2 7" xfId="58" xr:uid="{2B62F9C6-D961-4397-B807-8D430818909C}"/>
    <cellStyle name="Currency 8 3" xfId="7" xr:uid="{4495D157-1973-4F3A-9D52-0642201C2C28}"/>
    <cellStyle name="Currency 8 3 2" xfId="12" xr:uid="{B1400E2A-DBD7-48FC-B7B8-87BEE61FB9AD}"/>
    <cellStyle name="Currency 8 3 2 2" xfId="18" xr:uid="{2159006F-FECD-484F-B08E-FF6CDBE0795B}"/>
    <cellStyle name="Currency 8 3 2 2 2" xfId="30" xr:uid="{385AC2B9-3AA2-4710-A47F-F2F8ED970F23}"/>
    <cellStyle name="Currency 8 3 2 2 2 2" xfId="54" xr:uid="{7170809F-C237-4B38-979B-D5D1ADF9C301}"/>
    <cellStyle name="Currency 8 3 2 2 2 2 2" xfId="198" xr:uid="{D5ADB7DC-2E2C-4E15-9F87-AF00B002817C}"/>
    <cellStyle name="Currency 8 3 2 2 2 2 3" xfId="126" xr:uid="{041EEC8A-6566-4D9A-B9C7-D846CA86950E}"/>
    <cellStyle name="Currency 8 3 2 2 2 3" xfId="102" xr:uid="{512A0D52-E121-44C2-90D8-AC3E683C0036}"/>
    <cellStyle name="Currency 8 3 2 2 2 3 2" xfId="174" xr:uid="{C181A242-360F-455E-823E-2579D7429695}"/>
    <cellStyle name="Currency 8 3 2 2 2 4" xfId="150" xr:uid="{4CAB5847-A727-4FE0-AA2D-326D8A5CE511}"/>
    <cellStyle name="Currency 8 3 2 2 2 5" xfId="78" xr:uid="{CB3458E2-13CF-4234-8AB3-ABBD0E487862}"/>
    <cellStyle name="Currency 8 3 2 2 3" xfId="42" xr:uid="{B03A30B6-C0C3-42D6-A0DF-BDE0C9A71087}"/>
    <cellStyle name="Currency 8 3 2 2 3 2" xfId="186" xr:uid="{7EE2118E-EEF6-4929-B8E9-03CFA873C895}"/>
    <cellStyle name="Currency 8 3 2 2 3 3" xfId="114" xr:uid="{6E68E237-82A2-46B0-B21A-E1C170B41888}"/>
    <cellStyle name="Currency 8 3 2 2 4" xfId="90" xr:uid="{6B04B0F0-22FF-4728-AD39-F5C562F3A562}"/>
    <cellStyle name="Currency 8 3 2 2 4 2" xfId="162" xr:uid="{BED8C21D-BD99-445F-AF0F-D8FE27D55265}"/>
    <cellStyle name="Currency 8 3 2 2 5" xfId="138" xr:uid="{49613D7E-D3C5-4FEB-8235-555FDDBDF7F6}"/>
    <cellStyle name="Currency 8 3 2 2 6" xfId="66" xr:uid="{E778AC86-4A43-467D-8F71-43A2ADF450CF}"/>
    <cellStyle name="Currency 8 3 2 3" xfId="24" xr:uid="{7C47BECC-F897-4FD1-A3A0-C79912BC35D2}"/>
    <cellStyle name="Currency 8 3 2 3 2" xfId="48" xr:uid="{6222EB7A-B9AC-4808-91C8-3A1F6E054E2C}"/>
    <cellStyle name="Currency 8 3 2 3 2 2" xfId="192" xr:uid="{5E9A9CE1-0D0C-4D09-A3BA-A612E5DCF481}"/>
    <cellStyle name="Currency 8 3 2 3 2 3" xfId="120" xr:uid="{2DE7D03A-DEC0-46FC-810D-EBDEE6B6411C}"/>
    <cellStyle name="Currency 8 3 2 3 3" xfId="96" xr:uid="{2580B025-67C8-4360-A57C-9DDF2DAAF96F}"/>
    <cellStyle name="Currency 8 3 2 3 3 2" xfId="168" xr:uid="{B7D7B978-C7B8-4236-84D2-B28EB8FBF087}"/>
    <cellStyle name="Currency 8 3 2 3 4" xfId="144" xr:uid="{47996884-DA97-49AC-BB50-4BD41016C9FC}"/>
    <cellStyle name="Currency 8 3 2 3 5" xfId="72" xr:uid="{507F52F8-CD84-4ACA-8102-51C44B6B1F92}"/>
    <cellStyle name="Currency 8 3 2 4" xfId="36" xr:uid="{AE1AC055-DFDC-4B50-A75D-21F5889E6E35}"/>
    <cellStyle name="Currency 8 3 2 4 2" xfId="180" xr:uid="{F074BCBC-8C89-4C6B-8766-0EED7125A700}"/>
    <cellStyle name="Currency 8 3 2 4 3" xfId="108" xr:uid="{F822A17D-A55D-4BEB-97A5-1AEB1664B97B}"/>
    <cellStyle name="Currency 8 3 2 5" xfId="84" xr:uid="{7973698F-5486-4E7B-9BFC-61E619F8543C}"/>
    <cellStyle name="Currency 8 3 2 5 2" xfId="156" xr:uid="{945201F9-78DE-4C85-8474-94ADA4579946}"/>
    <cellStyle name="Currency 8 3 2 6" xfId="132" xr:uid="{57890F53-2986-48B6-9AD0-FCD6F23F7CEF}"/>
    <cellStyle name="Currency 8 3 2 7" xfId="60" xr:uid="{16AEDB9F-ECE0-4D74-94A3-942E2F6EE0B8}"/>
    <cellStyle name="Currency 9" xfId="127" xr:uid="{E944FD63-3E6B-4568-9563-94F1BD3E7BA3}"/>
    <cellStyle name="Normal" xfId="0" builtinId="0"/>
    <cellStyle name="Normal 3" xfId="3" xr:uid="{AA6F3E08-9278-4C51-B399-2931375DF001}"/>
    <cellStyle name="Percent" xfId="2" builtinId="5"/>
  </cellStyles>
  <dxfs count="0"/>
  <tableStyles count="0" defaultTableStyle="TableStyleMedium2" defaultPivotStyle="PivotStyleLight16"/>
  <colors>
    <mruColors>
      <color rgb="FFFFCCCC"/>
      <color rgb="FFFF197D"/>
      <color rgb="FF00B7FF"/>
      <color rgb="FF000000"/>
      <color rgb="FF00CD69"/>
      <color rgb="FF00FFFF"/>
      <color rgb="FFF68B1F"/>
      <color rgb="FF004282"/>
      <color rgb="FFD3EEFB"/>
      <color rgb="FFFFFC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127000</xdr:colOff>
      <xdr:row>0</xdr:row>
      <xdr:rowOff>108858</xdr:rowOff>
    </xdr:from>
    <xdr:to>
      <xdr:col>6</xdr:col>
      <xdr:colOff>2740312</xdr:colOff>
      <xdr:row>5</xdr:row>
      <xdr:rowOff>206708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FD39E0BF-B4C4-4BE0-8838-F4B5028A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8285" y="106953"/>
          <a:ext cx="2609502" cy="109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127000</xdr:colOff>
      <xdr:row>0</xdr:row>
      <xdr:rowOff>108858</xdr:rowOff>
    </xdr:from>
    <xdr:to>
      <xdr:col>6</xdr:col>
      <xdr:colOff>2740312</xdr:colOff>
      <xdr:row>5</xdr:row>
      <xdr:rowOff>206708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24F18DA-94B4-4C8C-B2E8-43E613209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5850" y="108858"/>
          <a:ext cx="2613312" cy="109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nettlefold/Downloads/Install%20tracker%20(1).xlsx" TargetMode="External"/><Relationship Id="rId1" Type="http://schemas.openxmlformats.org/officeDocument/2006/relationships/externalLinkPath" Target="/Users/jnettlefold/Downloads/Install%20tracker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Look up data"/>
      <sheetName val="Hide"/>
      <sheetName val="Installation tracking"/>
      <sheetName val="Sheet1"/>
      <sheetName val="Ad Faces Tracking"/>
      <sheetName val="SCHOOL SITES"/>
      <sheetName val="Static Details"/>
      <sheetName val="Static Creative - destroyed"/>
      <sheetName val="Look_up_data"/>
      <sheetName val="Installation_tracking"/>
      <sheetName val="Ad_Faces_Tracking"/>
      <sheetName val="SCHOOL_SITES"/>
      <sheetName val="Static_Details"/>
      <sheetName val="Static_Creative_-_destroyed"/>
    </sheetNames>
    <sheetDataSet>
      <sheetData sheetId="0"/>
      <sheetData sheetId="1"/>
      <sheetData sheetId="2">
        <row r="1">
          <cell r="A1" t="str">
            <v>Planned</v>
          </cell>
        </row>
        <row r="2">
          <cell r="A2" t="str">
            <v>Installed</v>
          </cell>
        </row>
        <row r="3">
          <cell r="A3" t="str">
            <v>Saleable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QM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197D"/>
      </a:accent1>
      <a:accent2>
        <a:srgbClr val="00B7FF"/>
      </a:accent2>
      <a:accent3>
        <a:srgbClr val="FFFF00"/>
      </a:accent3>
      <a:accent4>
        <a:srgbClr val="964BFA"/>
      </a:accent4>
      <a:accent5>
        <a:srgbClr val="00CD69"/>
      </a:accent5>
      <a:accent6>
        <a:srgbClr val="A5A5A5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9F49-6604-468D-BDA5-D36A762BD7FE}">
  <sheetPr>
    <tabColor theme="3"/>
  </sheetPr>
  <dimension ref="B2:G29"/>
  <sheetViews>
    <sheetView topLeftCell="A5" zoomScale="80" zoomScaleNormal="80" workbookViewId="0">
      <selection activeCell="C30" sqref="C30"/>
    </sheetView>
  </sheetViews>
  <sheetFormatPr defaultColWidth="9.140625" defaultRowHeight="14.25" x14ac:dyDescent="0.2"/>
  <cols>
    <col min="1" max="1" width="9.140625" style="115"/>
    <col min="2" max="2" width="23.42578125" style="115" bestFit="1" customWidth="1"/>
    <col min="3" max="8" width="15.42578125" style="115" customWidth="1"/>
    <col min="9" max="16384" width="9.140625" style="115"/>
  </cols>
  <sheetData>
    <row r="2" spans="2:7" ht="15.75" x14ac:dyDescent="0.25">
      <c r="B2" s="147" t="s">
        <v>403</v>
      </c>
      <c r="C2" s="147"/>
      <c r="D2" s="147"/>
      <c r="E2" s="147"/>
      <c r="F2" s="147"/>
      <c r="G2" s="147"/>
    </row>
    <row r="4" spans="2:7" x14ac:dyDescent="0.2">
      <c r="B4" s="116" t="s">
        <v>404</v>
      </c>
      <c r="C4" s="145" t="s">
        <v>456</v>
      </c>
    </row>
    <row r="5" spans="2:7" x14ac:dyDescent="0.2">
      <c r="B5" s="116" t="s">
        <v>405</v>
      </c>
      <c r="C5" s="145" t="s">
        <v>457</v>
      </c>
    </row>
    <row r="6" spans="2:7" x14ac:dyDescent="0.2">
      <c r="B6" s="116" t="s">
        <v>406</v>
      </c>
      <c r="C6" s="117">
        <f>SUM(C17:G17)</f>
        <v>5057652.2800833201</v>
      </c>
    </row>
    <row r="7" spans="2:7" x14ac:dyDescent="0.2">
      <c r="B7" s="116" t="s">
        <v>407</v>
      </c>
      <c r="C7" s="117">
        <f>SUM(C18:G18)</f>
        <v>2328096.1406495143</v>
      </c>
    </row>
    <row r="8" spans="2:7" x14ac:dyDescent="0.2">
      <c r="B8" s="116" t="s">
        <v>408</v>
      </c>
      <c r="C8" s="118">
        <f>C7/C6</f>
        <v>0.46031162518178514</v>
      </c>
    </row>
    <row r="9" spans="2:7" x14ac:dyDescent="0.2">
      <c r="B9" s="116" t="s">
        <v>409</v>
      </c>
      <c r="C9" s="119">
        <f>C10/C7</f>
        <v>2.491200403154386</v>
      </c>
    </row>
    <row r="10" spans="2:7" x14ac:dyDescent="0.2">
      <c r="B10" s="116" t="s">
        <v>411</v>
      </c>
      <c r="C10" s="117">
        <f>SUM(C21:G21)</f>
        <v>5799754.0441682404</v>
      </c>
    </row>
    <row r="11" spans="2:7" x14ac:dyDescent="0.2">
      <c r="B11" s="116" t="s">
        <v>410</v>
      </c>
      <c r="C11" s="119">
        <v>2.8</v>
      </c>
    </row>
    <row r="12" spans="2:7" x14ac:dyDescent="0.2">
      <c r="B12" s="116" t="s">
        <v>344</v>
      </c>
      <c r="C12" s="146">
        <v>14.67</v>
      </c>
    </row>
    <row r="13" spans="2:7" x14ac:dyDescent="0.2">
      <c r="B13" s="120" t="s">
        <v>412</v>
      </c>
    </row>
    <row r="14" spans="2:7" ht="15.75" x14ac:dyDescent="0.25">
      <c r="B14" s="148" t="s">
        <v>413</v>
      </c>
      <c r="C14" s="148"/>
      <c r="D14" s="148"/>
      <c r="E14" s="148"/>
      <c r="F14" s="148"/>
      <c r="G14" s="148"/>
    </row>
    <row r="15" spans="2:7" x14ac:dyDescent="0.2">
      <c r="B15" s="121"/>
    </row>
    <row r="16" spans="2:7" x14ac:dyDescent="0.2">
      <c r="C16" s="122" t="s">
        <v>229</v>
      </c>
      <c r="D16" s="122" t="s">
        <v>100</v>
      </c>
      <c r="E16" s="122" t="s">
        <v>414</v>
      </c>
    </row>
    <row r="17" spans="2:5" x14ac:dyDescent="0.2">
      <c r="B17" s="122" t="s">
        <v>415</v>
      </c>
      <c r="C17" s="123">
        <v>1875580.3059457201</v>
      </c>
      <c r="D17" s="123">
        <v>1968929.6149709499</v>
      </c>
      <c r="E17" s="123">
        <v>1213142.3591666501</v>
      </c>
    </row>
    <row r="18" spans="2:5" x14ac:dyDescent="0.2">
      <c r="B18" s="122" t="s">
        <v>416</v>
      </c>
      <c r="C18" s="123">
        <v>639686.08575222001</v>
      </c>
      <c r="D18" s="123">
        <v>990348.87090906</v>
      </c>
      <c r="E18" s="123">
        <v>698061.18398823403</v>
      </c>
    </row>
    <row r="19" spans="2:5" x14ac:dyDescent="0.2">
      <c r="B19" s="122" t="s">
        <v>417</v>
      </c>
      <c r="C19" s="124">
        <v>0.34106035541339902</v>
      </c>
      <c r="D19" s="124">
        <v>0.50298845798185998</v>
      </c>
      <c r="E19" s="124">
        <v>0.57541571993887897</v>
      </c>
    </row>
    <row r="20" spans="2:5" x14ac:dyDescent="0.2">
      <c r="B20" s="122" t="s">
        <v>418</v>
      </c>
      <c r="C20" s="125">
        <v>1.8693948767847299</v>
      </c>
      <c r="D20" s="125">
        <v>2.2047858767603299</v>
      </c>
      <c r="E20" s="125">
        <v>3.46734785515237</v>
      </c>
    </row>
    <row r="21" spans="2:5" x14ac:dyDescent="0.2">
      <c r="B21" s="122" t="s">
        <v>419</v>
      </c>
      <c r="C21" s="126">
        <v>1195825.8914556799</v>
      </c>
      <c r="D21" s="126">
        <v>2183507.20364583</v>
      </c>
      <c r="E21" s="126">
        <v>2420420.9490667302</v>
      </c>
    </row>
    <row r="22" spans="2:5" x14ac:dyDescent="0.2">
      <c r="B22" s="122" t="s">
        <v>410</v>
      </c>
      <c r="C22" s="125">
        <v>2.5</v>
      </c>
      <c r="D22" s="125">
        <v>2.7</v>
      </c>
      <c r="E22" s="125">
        <v>2.9</v>
      </c>
    </row>
    <row r="29" spans="2:5" x14ac:dyDescent="0.2">
      <c r="B29" s="127"/>
    </row>
  </sheetData>
  <mergeCells count="2">
    <mergeCell ref="B2:G2"/>
    <mergeCell ref="B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CA61-2E84-4C02-8A2E-FCE786EABD49}">
  <sheetPr>
    <tabColor theme="4"/>
    <pageSetUpPr fitToPage="1"/>
  </sheetPr>
  <dimension ref="A1:DZ223"/>
  <sheetViews>
    <sheetView tabSelected="1" zoomScale="50" zoomScaleNormal="50" workbookViewId="0">
      <pane xSplit="7" ySplit="8" topLeftCell="H15" activePane="bottomRight" state="frozen"/>
      <selection pane="topRight" activeCell="I1" sqref="I1"/>
      <selection pane="bottomLeft" activeCell="A9" sqref="A9"/>
      <selection pane="bottomRight" activeCell="AL13" sqref="AL13:CA24"/>
    </sheetView>
  </sheetViews>
  <sheetFormatPr defaultColWidth="9.42578125" defaultRowHeight="12.75" x14ac:dyDescent="0.25"/>
  <cols>
    <col min="1" max="1" width="3.28515625" style="7" customWidth="1"/>
    <col min="2" max="2" width="13" style="13" customWidth="1"/>
    <col min="3" max="3" width="13.5703125" style="13" customWidth="1"/>
    <col min="4" max="4" width="23.85546875" style="13" customWidth="1"/>
    <col min="5" max="5" width="8.7109375" style="13" customWidth="1"/>
    <col min="6" max="6" width="21.42578125" style="13" bestFit="1" customWidth="1"/>
    <col min="7" max="7" width="56.140625" style="13" bestFit="1" customWidth="1"/>
    <col min="8" max="8" width="22.42578125" style="13" bestFit="1" customWidth="1"/>
    <col min="9" max="9" width="13.5703125" style="13" customWidth="1"/>
    <col min="10" max="11" width="20" style="13" customWidth="1"/>
    <col min="12" max="12" width="23.85546875" style="13" bestFit="1" customWidth="1"/>
    <col min="13" max="13" width="15.5703125" style="13" bestFit="1" customWidth="1"/>
    <col min="14" max="14" width="13.5703125" style="13" customWidth="1"/>
    <col min="15" max="15" width="22.7109375" style="13" customWidth="1"/>
    <col min="16" max="18" width="13.5703125" style="13" customWidth="1"/>
    <col min="19" max="19" width="17.5703125" style="13" customWidth="1"/>
    <col min="20" max="20" width="21.42578125" style="13" customWidth="1"/>
    <col min="21" max="21" width="23.85546875" style="31" customWidth="1"/>
    <col min="22" max="23" width="10" style="31" customWidth="1"/>
    <col min="24" max="35" width="3.7109375" style="7" hidden="1" customWidth="1"/>
    <col min="36" max="67" width="3.7109375" style="7" customWidth="1"/>
    <col min="68" max="79" width="3.5703125" style="7" customWidth="1"/>
    <col min="80" max="119" width="3.5703125" style="7" hidden="1" customWidth="1"/>
    <col min="120" max="122" width="16.42578125" style="13" customWidth="1"/>
    <col min="123" max="124" width="16.42578125" style="32" customWidth="1"/>
    <col min="125" max="125" width="16.42578125" style="13" customWidth="1"/>
    <col min="126" max="126" width="3.5703125" style="7" customWidth="1"/>
    <col min="127" max="127" width="27.42578125" style="13" customWidth="1"/>
    <col min="128" max="128" width="14.140625" style="7" customWidth="1"/>
    <col min="129" max="130" width="14.140625" style="13" customWidth="1"/>
    <col min="131" max="16384" width="9.42578125" style="7"/>
  </cols>
  <sheetData>
    <row r="1" spans="1:130" ht="15.75" customHeight="1" x14ac:dyDescent="0.25">
      <c r="B1" s="152"/>
      <c r="C1" s="153"/>
      <c r="D1" s="9"/>
      <c r="E1" s="9"/>
      <c r="F1" s="9"/>
      <c r="G1" s="9"/>
      <c r="H1" s="41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0"/>
      <c r="V1" s="10"/>
      <c r="W1" s="10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9"/>
      <c r="DQ1" s="9"/>
      <c r="DR1" s="9"/>
      <c r="DS1" s="12"/>
      <c r="DT1" s="12"/>
      <c r="DU1" s="9"/>
      <c r="DV1" s="11"/>
      <c r="DW1" s="9"/>
      <c r="DY1" s="9"/>
      <c r="DZ1" s="9"/>
    </row>
    <row r="2" spans="1:130" ht="15.75" customHeight="1" x14ac:dyDescent="0.25">
      <c r="B2" s="154"/>
      <c r="C2" s="155"/>
      <c r="E2" s="5" t="s">
        <v>0</v>
      </c>
      <c r="F2" s="27" t="s">
        <v>83</v>
      </c>
      <c r="G2" s="10"/>
      <c r="H2" s="41"/>
      <c r="I2" s="10"/>
      <c r="J2" s="10"/>
      <c r="K2" s="10"/>
      <c r="L2" s="10"/>
      <c r="M2" s="10"/>
      <c r="N2" s="10"/>
      <c r="O2" s="9"/>
      <c r="P2" s="10"/>
      <c r="Q2" s="10"/>
      <c r="R2" s="9"/>
      <c r="S2" s="10"/>
      <c r="T2" s="10"/>
      <c r="U2" s="10"/>
      <c r="V2" s="10"/>
      <c r="W2" s="10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9"/>
      <c r="DQ2" s="11"/>
      <c r="DR2" s="9"/>
      <c r="DS2" s="12"/>
      <c r="DT2" s="12"/>
      <c r="DU2" s="9"/>
      <c r="DV2" s="11"/>
      <c r="DW2" s="9"/>
      <c r="DY2" s="10"/>
      <c r="DZ2" s="10"/>
    </row>
    <row r="3" spans="1:130" ht="15.75" customHeight="1" x14ac:dyDescent="0.25">
      <c r="B3" s="7"/>
      <c r="C3" s="139"/>
      <c r="E3" s="6" t="s">
        <v>1</v>
      </c>
      <c r="F3" s="27" t="s">
        <v>84</v>
      </c>
      <c r="G3" s="10"/>
      <c r="H3" s="41"/>
      <c r="I3" s="10"/>
      <c r="J3" s="53"/>
      <c r="K3" s="10"/>
      <c r="L3" s="10"/>
      <c r="M3" s="10"/>
      <c r="N3" s="10"/>
      <c r="O3" s="9"/>
      <c r="P3" s="10"/>
      <c r="Q3" s="10"/>
      <c r="R3" s="9"/>
      <c r="S3" s="10"/>
      <c r="T3" s="10"/>
      <c r="U3" s="10"/>
      <c r="V3" s="10"/>
      <c r="W3" s="10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9"/>
      <c r="DQ3" s="11"/>
      <c r="DR3" s="9"/>
      <c r="DS3" s="12"/>
      <c r="DT3" s="12"/>
      <c r="DU3" s="9"/>
      <c r="DV3" s="11"/>
      <c r="DW3" s="9"/>
      <c r="DY3" s="10"/>
      <c r="DZ3" s="10"/>
    </row>
    <row r="4" spans="1:130" ht="15.75" customHeight="1" x14ac:dyDescent="0.25">
      <c r="B4" s="7"/>
      <c r="C4" s="139"/>
      <c r="D4" s="7"/>
      <c r="E4" s="3" t="s">
        <v>2</v>
      </c>
      <c r="F4" s="27" t="s">
        <v>2</v>
      </c>
      <c r="G4" s="10"/>
      <c r="H4" s="41"/>
      <c r="I4" s="10"/>
      <c r="J4" s="53"/>
      <c r="K4" s="10"/>
      <c r="L4" s="10"/>
      <c r="M4" s="10"/>
      <c r="N4" s="10"/>
      <c r="O4" s="9"/>
      <c r="P4" s="10"/>
      <c r="Q4" s="10"/>
      <c r="R4" s="9"/>
      <c r="S4" s="10"/>
      <c r="T4" s="10"/>
      <c r="U4" s="10"/>
      <c r="V4" s="10"/>
      <c r="W4" s="10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9"/>
      <c r="DQ4" s="11"/>
      <c r="DR4" s="9"/>
      <c r="DS4" s="12"/>
      <c r="DT4" s="12"/>
      <c r="DU4" s="9"/>
      <c r="DV4" s="11"/>
      <c r="DW4" s="9"/>
      <c r="DY4" s="10"/>
      <c r="DZ4" s="10"/>
    </row>
    <row r="5" spans="1:130" ht="15.75" customHeight="1" x14ac:dyDescent="0.25">
      <c r="B5" s="7"/>
      <c r="C5" s="140"/>
      <c r="E5" s="4" t="s">
        <v>203</v>
      </c>
      <c r="F5" s="27" t="s">
        <v>204</v>
      </c>
      <c r="G5" s="10"/>
      <c r="H5" s="49"/>
      <c r="I5" s="10"/>
      <c r="J5" s="53"/>
      <c r="K5" s="10"/>
      <c r="L5" s="10"/>
      <c r="M5" s="10"/>
      <c r="N5" s="10"/>
      <c r="O5" s="9"/>
      <c r="P5" s="10"/>
      <c r="Q5" s="10"/>
      <c r="R5" s="9"/>
      <c r="S5" s="10"/>
      <c r="T5" s="10"/>
      <c r="U5" s="10"/>
      <c r="V5" s="10"/>
      <c r="W5" s="10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9"/>
      <c r="DQ5" s="11"/>
      <c r="DR5" s="9"/>
      <c r="DS5" s="12"/>
      <c r="DT5" s="12"/>
      <c r="DU5" s="28"/>
      <c r="DV5" s="11"/>
      <c r="DW5" s="9"/>
      <c r="DY5" s="10"/>
      <c r="DZ5" s="10"/>
    </row>
    <row r="6" spans="1:130" s="13" customFormat="1" ht="18.75" customHeight="1" x14ac:dyDescent="0.25">
      <c r="A6" s="7"/>
      <c r="B6" s="7"/>
      <c r="C6" s="139"/>
      <c r="D6" s="72"/>
      <c r="E6" s="48"/>
      <c r="F6" s="48"/>
      <c r="G6" s="48"/>
      <c r="H6" s="54"/>
      <c r="I6" s="48"/>
      <c r="J6" s="54"/>
      <c r="K6" s="130"/>
      <c r="L6" s="72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149" t="s">
        <v>5</v>
      </c>
      <c r="Y6" s="150"/>
      <c r="Z6" s="150"/>
      <c r="AA6" s="151"/>
      <c r="AB6" s="149" t="s">
        <v>255</v>
      </c>
      <c r="AC6" s="150"/>
      <c r="AD6" s="150"/>
      <c r="AE6" s="151"/>
      <c r="AF6" s="149" t="s">
        <v>6</v>
      </c>
      <c r="AG6" s="150"/>
      <c r="AH6" s="150"/>
      <c r="AI6" s="151"/>
      <c r="AJ6" s="149" t="s">
        <v>7</v>
      </c>
      <c r="AK6" s="150"/>
      <c r="AL6" s="150"/>
      <c r="AM6" s="151"/>
      <c r="AN6" s="149" t="s">
        <v>8</v>
      </c>
      <c r="AO6" s="150"/>
      <c r="AP6" s="150"/>
      <c r="AQ6" s="151"/>
      <c r="AR6" s="149" t="s">
        <v>9</v>
      </c>
      <c r="AS6" s="150"/>
      <c r="AT6" s="150"/>
      <c r="AU6" s="151"/>
      <c r="AV6" s="149" t="s">
        <v>10</v>
      </c>
      <c r="AW6" s="150"/>
      <c r="AX6" s="150"/>
      <c r="AY6" s="151"/>
      <c r="AZ6" s="149" t="s">
        <v>11</v>
      </c>
      <c r="BA6" s="150"/>
      <c r="BB6" s="150"/>
      <c r="BC6" s="151"/>
      <c r="BD6" s="149" t="s">
        <v>246</v>
      </c>
      <c r="BE6" s="150"/>
      <c r="BF6" s="150"/>
      <c r="BG6" s="151"/>
      <c r="BH6" s="149" t="s">
        <v>247</v>
      </c>
      <c r="BI6" s="150"/>
      <c r="BJ6" s="150"/>
      <c r="BK6" s="151"/>
      <c r="BL6" s="149" t="s">
        <v>202</v>
      </c>
      <c r="BM6" s="150"/>
      <c r="BN6" s="150"/>
      <c r="BO6" s="151"/>
      <c r="BP6" s="149" t="s">
        <v>3</v>
      </c>
      <c r="BQ6" s="150"/>
      <c r="BR6" s="150"/>
      <c r="BS6" s="151"/>
      <c r="BT6" s="149" t="s">
        <v>4</v>
      </c>
      <c r="BU6" s="150"/>
      <c r="BV6" s="150"/>
      <c r="BW6" s="151"/>
      <c r="BX6" s="149" t="s">
        <v>5</v>
      </c>
      <c r="BY6" s="150"/>
      <c r="BZ6" s="150"/>
      <c r="CA6" s="151"/>
      <c r="CB6" s="149" t="s">
        <v>255</v>
      </c>
      <c r="CC6" s="150"/>
      <c r="CD6" s="150"/>
      <c r="CE6" s="151"/>
      <c r="CF6" s="149" t="s">
        <v>6</v>
      </c>
      <c r="CG6" s="150"/>
      <c r="CH6" s="150"/>
      <c r="CI6" s="151"/>
      <c r="CJ6" s="149" t="s">
        <v>7</v>
      </c>
      <c r="CK6" s="150"/>
      <c r="CL6" s="150"/>
      <c r="CM6" s="151"/>
      <c r="CN6" s="149" t="s">
        <v>8</v>
      </c>
      <c r="CO6" s="150"/>
      <c r="CP6" s="150"/>
      <c r="CQ6" s="151"/>
      <c r="CR6" s="149" t="s">
        <v>9</v>
      </c>
      <c r="CS6" s="150"/>
      <c r="CT6" s="150"/>
      <c r="CU6" s="151"/>
      <c r="CV6" s="149" t="s">
        <v>10</v>
      </c>
      <c r="CW6" s="150"/>
      <c r="CX6" s="150"/>
      <c r="CY6" s="151"/>
      <c r="CZ6" s="149" t="s">
        <v>11</v>
      </c>
      <c r="DA6" s="150"/>
      <c r="DB6" s="150"/>
      <c r="DC6" s="151"/>
      <c r="DD6" s="149" t="s">
        <v>246</v>
      </c>
      <c r="DE6" s="150"/>
      <c r="DF6" s="150"/>
      <c r="DG6" s="151"/>
      <c r="DH6" s="149" t="s">
        <v>247</v>
      </c>
      <c r="DI6" s="150"/>
      <c r="DJ6" s="150"/>
      <c r="DK6" s="151"/>
      <c r="DL6" s="149" t="s">
        <v>202</v>
      </c>
      <c r="DM6" s="150"/>
      <c r="DN6" s="150"/>
      <c r="DO6" s="151"/>
      <c r="DP6" s="42"/>
      <c r="DQ6" s="43"/>
      <c r="DR6" s="42"/>
      <c r="DS6" s="44"/>
      <c r="DT6" s="44"/>
      <c r="DU6" s="45"/>
      <c r="DV6" s="43"/>
      <c r="DW6" s="46"/>
      <c r="DX6" s="46"/>
      <c r="DY6" s="46"/>
      <c r="DZ6" s="46"/>
    </row>
    <row r="7" spans="1:130" s="13" customFormat="1" ht="18.75" customHeight="1" x14ac:dyDescent="0.25">
      <c r="A7" s="7"/>
      <c r="B7" s="7"/>
      <c r="C7" s="139"/>
      <c r="D7" s="72"/>
      <c r="E7" s="48"/>
      <c r="F7" s="48"/>
      <c r="G7" s="48"/>
      <c r="H7" s="48"/>
      <c r="I7" s="48"/>
      <c r="J7" s="54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156" t="s">
        <v>349</v>
      </c>
      <c r="Y7" s="157"/>
      <c r="Z7" s="157"/>
      <c r="AA7" s="158"/>
      <c r="AB7" s="156" t="s">
        <v>371</v>
      </c>
      <c r="AC7" s="157"/>
      <c r="AD7" s="157"/>
      <c r="AE7" s="158"/>
      <c r="AF7" s="156" t="s">
        <v>389</v>
      </c>
      <c r="AG7" s="157"/>
      <c r="AH7" s="157"/>
      <c r="AI7" s="158"/>
      <c r="AJ7" s="156" t="s">
        <v>390</v>
      </c>
      <c r="AK7" s="157"/>
      <c r="AL7" s="157"/>
      <c r="AM7" s="158"/>
      <c r="AN7" s="156" t="s">
        <v>391</v>
      </c>
      <c r="AO7" s="157"/>
      <c r="AP7" s="157"/>
      <c r="AQ7" s="158"/>
      <c r="AR7" s="156" t="s">
        <v>392</v>
      </c>
      <c r="AS7" s="157"/>
      <c r="AT7" s="157"/>
      <c r="AU7" s="158"/>
      <c r="AV7" s="156" t="s">
        <v>393</v>
      </c>
      <c r="AW7" s="157"/>
      <c r="AX7" s="157"/>
      <c r="AY7" s="158"/>
      <c r="AZ7" s="156" t="s">
        <v>394</v>
      </c>
      <c r="BA7" s="157"/>
      <c r="BB7" s="157"/>
      <c r="BC7" s="158"/>
      <c r="BD7" s="156" t="s">
        <v>395</v>
      </c>
      <c r="BE7" s="157"/>
      <c r="BF7" s="157"/>
      <c r="BG7" s="158"/>
      <c r="BH7" s="156" t="s">
        <v>396</v>
      </c>
      <c r="BI7" s="157"/>
      <c r="BJ7" s="157"/>
      <c r="BK7" s="158"/>
      <c r="BL7" s="156" t="s">
        <v>397</v>
      </c>
      <c r="BM7" s="157"/>
      <c r="BN7" s="157"/>
      <c r="BO7" s="158"/>
      <c r="BP7" s="156" t="s">
        <v>398</v>
      </c>
      <c r="BQ7" s="157"/>
      <c r="BR7" s="157"/>
      <c r="BS7" s="158"/>
      <c r="BT7" s="156" t="s">
        <v>437</v>
      </c>
      <c r="BU7" s="157"/>
      <c r="BV7" s="157"/>
      <c r="BW7" s="158"/>
      <c r="BX7" s="156" t="s">
        <v>440</v>
      </c>
      <c r="BY7" s="157"/>
      <c r="BZ7" s="157"/>
      <c r="CA7" s="158"/>
      <c r="CB7" s="156" t="s">
        <v>441</v>
      </c>
      <c r="CC7" s="157"/>
      <c r="CD7" s="157"/>
      <c r="CE7" s="158"/>
      <c r="CF7" s="156" t="s">
        <v>442</v>
      </c>
      <c r="CG7" s="157"/>
      <c r="CH7" s="157"/>
      <c r="CI7" s="158"/>
      <c r="CJ7" s="156" t="s">
        <v>443</v>
      </c>
      <c r="CK7" s="157"/>
      <c r="CL7" s="157"/>
      <c r="CM7" s="158"/>
      <c r="CN7" s="156" t="s">
        <v>444</v>
      </c>
      <c r="CO7" s="157"/>
      <c r="CP7" s="157"/>
      <c r="CQ7" s="158"/>
      <c r="CR7" s="156" t="s">
        <v>445</v>
      </c>
      <c r="CS7" s="157"/>
      <c r="CT7" s="157"/>
      <c r="CU7" s="158"/>
      <c r="CV7" s="156" t="s">
        <v>446</v>
      </c>
      <c r="CW7" s="157"/>
      <c r="CX7" s="157"/>
      <c r="CY7" s="158"/>
      <c r="CZ7" s="156" t="s">
        <v>447</v>
      </c>
      <c r="DA7" s="157"/>
      <c r="DB7" s="157"/>
      <c r="DC7" s="158"/>
      <c r="DD7" s="156" t="s">
        <v>449</v>
      </c>
      <c r="DE7" s="157"/>
      <c r="DF7" s="157"/>
      <c r="DG7" s="158"/>
      <c r="DH7" s="156" t="s">
        <v>450</v>
      </c>
      <c r="DI7" s="157"/>
      <c r="DJ7" s="157"/>
      <c r="DK7" s="158"/>
      <c r="DL7" s="156" t="s">
        <v>451</v>
      </c>
      <c r="DM7" s="157"/>
      <c r="DN7" s="157"/>
      <c r="DO7" s="158"/>
      <c r="DP7" s="42"/>
      <c r="DQ7" s="43"/>
      <c r="DR7" s="42"/>
      <c r="DS7" s="44"/>
      <c r="DT7" s="143"/>
      <c r="DU7" s="45"/>
      <c r="DV7" s="43"/>
      <c r="DW7" s="46"/>
      <c r="DX7" s="46"/>
      <c r="DY7" s="46"/>
      <c r="DZ7" s="46"/>
    </row>
    <row r="8" spans="1:130" s="14" customFormat="1" ht="54" customHeight="1" x14ac:dyDescent="0.25">
      <c r="A8" s="7"/>
      <c r="B8" s="135" t="s">
        <v>111</v>
      </c>
      <c r="C8" s="135" t="s">
        <v>112</v>
      </c>
      <c r="D8" s="60" t="s">
        <v>323</v>
      </c>
      <c r="E8" s="26" t="s">
        <v>34</v>
      </c>
      <c r="F8" s="26" t="s">
        <v>347</v>
      </c>
      <c r="G8" s="26" t="s">
        <v>348</v>
      </c>
      <c r="H8" s="26" t="s">
        <v>33</v>
      </c>
      <c r="I8" s="26" t="s">
        <v>170</v>
      </c>
      <c r="J8" s="26" t="s">
        <v>35</v>
      </c>
      <c r="K8" s="60" t="s">
        <v>194</v>
      </c>
      <c r="L8" s="26" t="s">
        <v>37</v>
      </c>
      <c r="M8" s="26" t="s">
        <v>36</v>
      </c>
      <c r="N8" s="26" t="s">
        <v>285</v>
      </c>
      <c r="O8" s="26" t="s">
        <v>184</v>
      </c>
      <c r="P8" s="26" t="s">
        <v>259</v>
      </c>
      <c r="Q8" s="26" t="s">
        <v>260</v>
      </c>
      <c r="R8" s="26" t="s">
        <v>197</v>
      </c>
      <c r="S8" s="26" t="s">
        <v>150</v>
      </c>
      <c r="T8" s="26" t="s">
        <v>340</v>
      </c>
      <c r="U8" s="33" t="s">
        <v>338</v>
      </c>
      <c r="V8" s="33" t="s">
        <v>38</v>
      </c>
      <c r="W8" s="33" t="s">
        <v>13</v>
      </c>
      <c r="X8" s="85">
        <v>46174</v>
      </c>
      <c r="Y8" s="25">
        <v>46181</v>
      </c>
      <c r="Z8" s="25">
        <v>46188</v>
      </c>
      <c r="AA8" s="25">
        <v>46195</v>
      </c>
      <c r="AB8" s="25">
        <v>46202</v>
      </c>
      <c r="AC8" s="84">
        <v>46209</v>
      </c>
      <c r="AD8" s="84">
        <v>46216</v>
      </c>
      <c r="AE8" s="25">
        <v>46223</v>
      </c>
      <c r="AF8" s="25">
        <v>46230</v>
      </c>
      <c r="AG8" s="25">
        <v>46237</v>
      </c>
      <c r="AH8" s="25">
        <v>46244</v>
      </c>
      <c r="AI8" s="25">
        <v>46251</v>
      </c>
      <c r="AJ8" s="25">
        <v>46258</v>
      </c>
      <c r="AK8" s="25">
        <v>46265</v>
      </c>
      <c r="AL8" s="138">
        <v>46272</v>
      </c>
      <c r="AM8" s="138">
        <v>46279</v>
      </c>
      <c r="AN8" s="138">
        <v>46286</v>
      </c>
      <c r="AO8" s="138">
        <v>46293</v>
      </c>
      <c r="AP8" s="138">
        <v>46300</v>
      </c>
      <c r="AQ8" s="138">
        <v>46307</v>
      </c>
      <c r="AR8" s="138">
        <v>46314</v>
      </c>
      <c r="AS8" s="138">
        <v>46321</v>
      </c>
      <c r="AT8" s="137">
        <v>46328</v>
      </c>
      <c r="AU8" s="137">
        <v>46335</v>
      </c>
      <c r="AV8" s="137">
        <v>46342</v>
      </c>
      <c r="AW8" s="137">
        <v>46349</v>
      </c>
      <c r="AX8" s="137">
        <v>46356</v>
      </c>
      <c r="AY8" s="137">
        <v>46363</v>
      </c>
      <c r="AZ8" s="137">
        <v>46370</v>
      </c>
      <c r="BA8" s="137">
        <v>46377</v>
      </c>
      <c r="BB8" s="137">
        <v>46384</v>
      </c>
      <c r="BC8" s="138">
        <v>46391</v>
      </c>
      <c r="BD8" s="138">
        <v>46398</v>
      </c>
      <c r="BE8" s="138">
        <v>46405</v>
      </c>
      <c r="BF8" s="138">
        <v>46412</v>
      </c>
      <c r="BG8" s="138">
        <v>46419</v>
      </c>
      <c r="BH8" s="138">
        <v>46426</v>
      </c>
      <c r="BI8" s="138">
        <v>46433</v>
      </c>
      <c r="BJ8" s="138">
        <v>46440</v>
      </c>
      <c r="BK8" s="138">
        <v>46447</v>
      </c>
      <c r="BL8" s="138">
        <v>46454</v>
      </c>
      <c r="BM8" s="138">
        <v>46461</v>
      </c>
      <c r="BN8" s="138">
        <v>46468</v>
      </c>
      <c r="BO8" s="137">
        <v>46475</v>
      </c>
      <c r="BP8" s="137">
        <v>46482</v>
      </c>
      <c r="BQ8" s="137">
        <v>46489</v>
      </c>
      <c r="BR8" s="137">
        <v>46496</v>
      </c>
      <c r="BS8" s="137">
        <v>46503</v>
      </c>
      <c r="BT8" s="137">
        <v>46510</v>
      </c>
      <c r="BU8" s="137">
        <v>46517</v>
      </c>
      <c r="BV8" s="137">
        <v>46524</v>
      </c>
      <c r="BW8" s="137">
        <v>46531</v>
      </c>
      <c r="BX8" s="137">
        <v>46538</v>
      </c>
      <c r="BY8" s="137">
        <v>46545</v>
      </c>
      <c r="BZ8" s="137">
        <v>46552</v>
      </c>
      <c r="CA8" s="137">
        <v>46559</v>
      </c>
      <c r="CB8" s="25">
        <v>46566</v>
      </c>
      <c r="CC8" s="25">
        <v>46573</v>
      </c>
      <c r="CD8" s="25">
        <v>46580</v>
      </c>
      <c r="CE8" s="25">
        <v>46587</v>
      </c>
      <c r="CF8" s="25">
        <v>46594</v>
      </c>
      <c r="CG8" s="25">
        <v>46601</v>
      </c>
      <c r="CH8" s="25">
        <v>46608</v>
      </c>
      <c r="CI8" s="25">
        <v>46615</v>
      </c>
      <c r="CJ8" s="25">
        <v>46622</v>
      </c>
      <c r="CK8" s="25">
        <v>46629</v>
      </c>
      <c r="CL8" s="25">
        <v>46636</v>
      </c>
      <c r="CM8" s="25">
        <v>46643</v>
      </c>
      <c r="CN8" s="25">
        <v>46650</v>
      </c>
      <c r="CO8" s="25">
        <v>46657</v>
      </c>
      <c r="CP8" s="25">
        <v>46664</v>
      </c>
      <c r="CQ8" s="25">
        <v>46671</v>
      </c>
      <c r="CR8" s="25">
        <v>46678</v>
      </c>
      <c r="CS8" s="25">
        <v>46685</v>
      </c>
      <c r="CT8" s="25">
        <v>46692</v>
      </c>
      <c r="CU8" s="25">
        <v>46699</v>
      </c>
      <c r="CV8" s="25">
        <v>46706</v>
      </c>
      <c r="CW8" s="25">
        <v>46713</v>
      </c>
      <c r="CX8" s="25">
        <v>46720</v>
      </c>
      <c r="CY8" s="25">
        <v>46727</v>
      </c>
      <c r="CZ8" s="25">
        <v>46734</v>
      </c>
      <c r="DA8" s="25">
        <v>46741</v>
      </c>
      <c r="DB8" s="25">
        <v>46748</v>
      </c>
      <c r="DC8" s="25">
        <v>46755</v>
      </c>
      <c r="DD8" s="25">
        <v>46762</v>
      </c>
      <c r="DE8" s="25">
        <v>46769</v>
      </c>
      <c r="DF8" s="25">
        <v>46776</v>
      </c>
      <c r="DG8" s="25">
        <v>46783</v>
      </c>
      <c r="DH8" s="25">
        <f>DG8+7</f>
        <v>46790</v>
      </c>
      <c r="DI8" s="25">
        <f t="shared" ref="DI8:DO8" si="0">DH8+7</f>
        <v>46797</v>
      </c>
      <c r="DJ8" s="25">
        <f t="shared" si="0"/>
        <v>46804</v>
      </c>
      <c r="DK8" s="25">
        <f t="shared" si="0"/>
        <v>46811</v>
      </c>
      <c r="DL8" s="25">
        <f t="shared" si="0"/>
        <v>46818</v>
      </c>
      <c r="DM8" s="25">
        <f t="shared" si="0"/>
        <v>46825</v>
      </c>
      <c r="DN8" s="25">
        <f t="shared" si="0"/>
        <v>46832</v>
      </c>
      <c r="DO8" s="25">
        <f t="shared" si="0"/>
        <v>46839</v>
      </c>
      <c r="DP8" s="26" t="s">
        <v>195</v>
      </c>
      <c r="DQ8" s="26" t="s">
        <v>263</v>
      </c>
      <c r="DR8" s="26" t="s">
        <v>196</v>
      </c>
      <c r="DS8" s="71" t="s">
        <v>12</v>
      </c>
      <c r="DT8" s="142" t="s">
        <v>13</v>
      </c>
      <c r="DU8" s="136" t="s">
        <v>14</v>
      </c>
      <c r="DV8" s="47"/>
      <c r="DW8" s="144" t="s">
        <v>184</v>
      </c>
      <c r="DX8" s="144" t="s">
        <v>252</v>
      </c>
      <c r="DY8" s="144" t="s">
        <v>285</v>
      </c>
      <c r="DZ8" s="144" t="s">
        <v>291</v>
      </c>
    </row>
    <row r="9" spans="1:130" s="15" customFormat="1" ht="15" customHeight="1" x14ac:dyDescent="0.25">
      <c r="A9" s="7"/>
      <c r="B9" s="16"/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/>
      <c r="V9" s="18"/>
      <c r="W9" s="18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20"/>
      <c r="DQ9" s="20"/>
      <c r="DR9" s="20"/>
      <c r="DS9" s="21"/>
      <c r="DT9" s="21"/>
      <c r="DU9" s="22"/>
      <c r="DV9" s="23"/>
      <c r="DW9" s="17"/>
      <c r="DX9" s="8"/>
      <c r="DY9" s="17"/>
      <c r="DZ9" s="17"/>
    </row>
    <row r="10" spans="1:130" s="15" customFormat="1" ht="6.6" customHeight="1" x14ac:dyDescent="0.25">
      <c r="A10" s="7"/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  <c r="V10" s="18"/>
      <c r="W10" s="18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20"/>
      <c r="DQ10" s="20"/>
      <c r="DR10" s="20"/>
      <c r="DS10" s="21"/>
      <c r="DT10" s="21"/>
      <c r="DU10" s="22"/>
      <c r="DV10" s="23"/>
      <c r="DW10" s="17"/>
      <c r="DX10" s="8"/>
      <c r="DY10" s="17"/>
      <c r="DZ10" s="17"/>
    </row>
    <row r="11" spans="1:130" s="15" customFormat="1" ht="15" hidden="1" customHeight="1" x14ac:dyDescent="0.25">
      <c r="A11" s="7"/>
      <c r="B11" s="16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8"/>
      <c r="W11" s="18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20"/>
      <c r="DQ11" s="20"/>
      <c r="DR11" s="20"/>
      <c r="DS11" s="21"/>
      <c r="DT11" s="21"/>
      <c r="DU11" s="22"/>
      <c r="DV11" s="23"/>
      <c r="DW11" s="17"/>
      <c r="DX11" s="8"/>
      <c r="DY11" s="17"/>
      <c r="DZ11" s="17"/>
    </row>
    <row r="12" spans="1:130" s="30" customFormat="1" ht="15" customHeight="1" x14ac:dyDescent="0.25">
      <c r="B12" s="38"/>
      <c r="C12" s="38"/>
      <c r="D12" s="38"/>
      <c r="E12" s="38"/>
      <c r="F12" s="39" t="s">
        <v>19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109"/>
      <c r="DV12" s="61"/>
      <c r="DW12" s="38"/>
      <c r="DX12" s="38"/>
      <c r="DY12" s="38"/>
      <c r="DZ12" s="62"/>
    </row>
    <row r="13" spans="1:130" s="128" customFormat="1" ht="15" customHeight="1" x14ac:dyDescent="0.25">
      <c r="A13" s="52"/>
      <c r="B13" s="55">
        <v>-33.821191867166299</v>
      </c>
      <c r="C13" s="55">
        <v>151.20491132638901</v>
      </c>
      <c r="D13" s="55" t="s">
        <v>337</v>
      </c>
      <c r="E13" s="55" t="s">
        <v>19</v>
      </c>
      <c r="F13" s="55" t="s">
        <v>318</v>
      </c>
      <c r="G13" s="55" t="s">
        <v>322</v>
      </c>
      <c r="H13" s="55" t="s">
        <v>271</v>
      </c>
      <c r="I13" s="58">
        <v>2065</v>
      </c>
      <c r="J13" s="55" t="s">
        <v>25</v>
      </c>
      <c r="K13" s="55" t="s">
        <v>317</v>
      </c>
      <c r="L13" s="55" t="s">
        <v>22</v>
      </c>
      <c r="M13" s="55" t="s">
        <v>268</v>
      </c>
      <c r="N13" s="55" t="s">
        <v>284</v>
      </c>
      <c r="O13" s="59" t="s">
        <v>215</v>
      </c>
      <c r="P13" s="56">
        <v>0.1</v>
      </c>
      <c r="Q13" s="55">
        <v>25</v>
      </c>
      <c r="R13" s="55">
        <v>24</v>
      </c>
      <c r="S13" s="55" t="s">
        <v>154</v>
      </c>
      <c r="T13" s="55"/>
      <c r="U13" s="57">
        <v>125000</v>
      </c>
      <c r="V13" s="57"/>
      <c r="W13" s="57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" t="s">
        <v>0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1">
        <f t="shared" ref="DP13:DP24" si="1">(((($U13)*COUNTIF($X13:$DO13,$E$3))*(P13*10))+((($U13)*COUNTIF($X13:$DO13,$E$4))*(P13*10))+(($U13)*COUNTIF($X13:$DO13,$E$2))*(P13*10))</f>
        <v>125000</v>
      </c>
      <c r="DQ13" s="1">
        <f t="shared" ref="DQ13:DQ24" si="2">(($U13)*COUNTIF($X13:$DO13,$E$2))*(P13*10)</f>
        <v>125000</v>
      </c>
      <c r="DR13" s="1">
        <f t="shared" ref="DR13:DR24" si="3">(($U13)*(COUNTIF($X13:$DO13,$E$4))+(($U13)*COUNTIF($X13:$DO13,$E$3)))*(P13*10)</f>
        <v>0</v>
      </c>
      <c r="DS13" s="141">
        <f>IFERROR((V13*#REF!)/#REF!, 0)</f>
        <v>0</v>
      </c>
      <c r="DT13" s="162" t="s">
        <v>454</v>
      </c>
      <c r="DU13" s="159">
        <v>87500</v>
      </c>
      <c r="DV13" s="40"/>
      <c r="DW13" s="90" t="s">
        <v>215</v>
      </c>
      <c r="DX13" s="90">
        <v>3.9</v>
      </c>
      <c r="DY13" s="34" t="s">
        <v>284</v>
      </c>
      <c r="DZ13" s="34" t="s">
        <v>290</v>
      </c>
    </row>
    <row r="14" spans="1:130" s="15" customFormat="1" ht="15" customHeight="1" x14ac:dyDescent="0.25">
      <c r="A14" s="52"/>
      <c r="B14" s="55">
        <v>-33.830847745613802</v>
      </c>
      <c r="C14" s="55">
        <v>151.225127690807</v>
      </c>
      <c r="D14" s="55" t="s">
        <v>337</v>
      </c>
      <c r="E14" s="55" t="s">
        <v>19</v>
      </c>
      <c r="F14" s="55" t="s">
        <v>319</v>
      </c>
      <c r="G14" s="55" t="s">
        <v>316</v>
      </c>
      <c r="H14" s="55" t="s">
        <v>313</v>
      </c>
      <c r="I14" s="58">
        <v>2090</v>
      </c>
      <c r="J14" s="55" t="s">
        <v>20</v>
      </c>
      <c r="K14" s="55" t="s">
        <v>317</v>
      </c>
      <c r="L14" s="55" t="s">
        <v>22</v>
      </c>
      <c r="M14" s="55" t="s">
        <v>311</v>
      </c>
      <c r="N14" s="55" t="s">
        <v>284</v>
      </c>
      <c r="O14" s="59" t="s">
        <v>448</v>
      </c>
      <c r="P14" s="56">
        <v>0.1</v>
      </c>
      <c r="Q14" s="55">
        <v>10</v>
      </c>
      <c r="R14" s="55">
        <v>21</v>
      </c>
      <c r="S14" s="34" t="s">
        <v>307</v>
      </c>
      <c r="T14" s="55"/>
      <c r="U14" s="57">
        <v>115000</v>
      </c>
      <c r="V14" s="57"/>
      <c r="W14" s="57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" t="s">
        <v>0</v>
      </c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1">
        <f t="shared" si="1"/>
        <v>115000</v>
      </c>
      <c r="DQ14" s="1">
        <f t="shared" si="2"/>
        <v>115000</v>
      </c>
      <c r="DR14" s="1">
        <f t="shared" si="3"/>
        <v>0</v>
      </c>
      <c r="DS14" s="141">
        <f>IFERROR((V14*#REF!)/#REF!, 0)</f>
        <v>0</v>
      </c>
      <c r="DT14" s="163"/>
      <c r="DU14" s="160"/>
      <c r="DV14" s="40"/>
      <c r="DW14" s="87" t="s">
        <v>448</v>
      </c>
      <c r="DX14" s="87">
        <v>4</v>
      </c>
      <c r="DY14" s="34" t="s">
        <v>284</v>
      </c>
      <c r="DZ14" s="34" t="s">
        <v>290</v>
      </c>
    </row>
    <row r="15" spans="1:130" s="15" customFormat="1" ht="15" customHeight="1" x14ac:dyDescent="0.25">
      <c r="A15" s="52"/>
      <c r="B15" s="55" t="s">
        <v>120</v>
      </c>
      <c r="C15" s="55" t="s">
        <v>121</v>
      </c>
      <c r="D15" s="55" t="s">
        <v>337</v>
      </c>
      <c r="E15" s="55" t="s">
        <v>19</v>
      </c>
      <c r="F15" s="55" t="s">
        <v>151</v>
      </c>
      <c r="G15" s="55" t="s">
        <v>85</v>
      </c>
      <c r="H15" s="55" t="s">
        <v>32</v>
      </c>
      <c r="I15" s="58">
        <v>2039</v>
      </c>
      <c r="J15" s="55" t="s">
        <v>20</v>
      </c>
      <c r="K15" s="55" t="s">
        <v>186</v>
      </c>
      <c r="L15" s="55" t="s">
        <v>22</v>
      </c>
      <c r="M15" s="55" t="s">
        <v>28</v>
      </c>
      <c r="N15" s="55" t="s">
        <v>284</v>
      </c>
      <c r="O15" s="59" t="s">
        <v>174</v>
      </c>
      <c r="P15" s="56">
        <v>0.1</v>
      </c>
      <c r="Q15" s="55">
        <v>10</v>
      </c>
      <c r="R15" s="55">
        <v>24</v>
      </c>
      <c r="S15" s="55" t="s">
        <v>154</v>
      </c>
      <c r="T15" s="55"/>
      <c r="U15" s="57">
        <v>92000</v>
      </c>
      <c r="V15" s="57"/>
      <c r="W15" s="57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7"/>
      <c r="AK15" s="57"/>
      <c r="AL15" s="57"/>
      <c r="AM15" s="57"/>
      <c r="AN15" s="51"/>
      <c r="AO15" s="51"/>
      <c r="AP15" s="51"/>
      <c r="AQ15" s="51"/>
      <c r="AR15" s="5" t="s">
        <v>0</v>
      </c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1">
        <f t="shared" si="1"/>
        <v>92000</v>
      </c>
      <c r="DQ15" s="1">
        <f t="shared" si="2"/>
        <v>92000</v>
      </c>
      <c r="DR15" s="1">
        <f t="shared" si="3"/>
        <v>0</v>
      </c>
      <c r="DS15" s="141">
        <f>IFERROR((V15*#REF!)/#REF!, 0)</f>
        <v>0</v>
      </c>
      <c r="DT15" s="163"/>
      <c r="DU15" s="160"/>
      <c r="DV15" s="40"/>
      <c r="DW15" s="35" t="s">
        <v>174</v>
      </c>
      <c r="DX15" s="35">
        <v>3</v>
      </c>
      <c r="DY15" s="34" t="s">
        <v>284</v>
      </c>
      <c r="DZ15" s="34" t="s">
        <v>290</v>
      </c>
    </row>
    <row r="16" spans="1:130" s="15" customFormat="1" ht="15" customHeight="1" x14ac:dyDescent="0.25">
      <c r="A16" s="52"/>
      <c r="B16" s="55">
        <v>-33.827399999999997</v>
      </c>
      <c r="C16" s="55">
        <v>151.20063400000001</v>
      </c>
      <c r="D16" s="55" t="s">
        <v>337</v>
      </c>
      <c r="E16" s="55" t="s">
        <v>19</v>
      </c>
      <c r="F16" s="55" t="s">
        <v>274</v>
      </c>
      <c r="G16" s="55" t="s">
        <v>270</v>
      </c>
      <c r="H16" s="55" t="s">
        <v>271</v>
      </c>
      <c r="I16" s="58">
        <v>2065</v>
      </c>
      <c r="J16" s="55" t="s">
        <v>20</v>
      </c>
      <c r="K16" s="55" t="s">
        <v>317</v>
      </c>
      <c r="L16" s="55" t="s">
        <v>22</v>
      </c>
      <c r="M16" s="55" t="s">
        <v>272</v>
      </c>
      <c r="N16" s="55" t="s">
        <v>284</v>
      </c>
      <c r="O16" s="59" t="s">
        <v>273</v>
      </c>
      <c r="P16" s="56">
        <v>0.1</v>
      </c>
      <c r="Q16" s="55">
        <v>25</v>
      </c>
      <c r="R16" s="55">
        <v>16</v>
      </c>
      <c r="S16" s="55" t="s">
        <v>275</v>
      </c>
      <c r="T16" s="55"/>
      <c r="U16" s="57">
        <v>92000</v>
      </c>
      <c r="V16" s="57"/>
      <c r="W16" s="57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7"/>
      <c r="AK16" s="57"/>
      <c r="AL16" s="57"/>
      <c r="AM16" s="57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" t="s">
        <v>0</v>
      </c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1">
        <f t="shared" si="1"/>
        <v>92000</v>
      </c>
      <c r="DQ16" s="1">
        <f t="shared" si="2"/>
        <v>92000</v>
      </c>
      <c r="DR16" s="1">
        <f t="shared" si="3"/>
        <v>0</v>
      </c>
      <c r="DS16" s="141">
        <f>IFERROR((V16*#REF!)/#REF!, 0)</f>
        <v>0</v>
      </c>
      <c r="DT16" s="163"/>
      <c r="DU16" s="160"/>
      <c r="DV16" s="40"/>
      <c r="DW16" s="34" t="s">
        <v>273</v>
      </c>
      <c r="DX16" s="34">
        <v>4.125</v>
      </c>
      <c r="DY16" s="34" t="s">
        <v>284</v>
      </c>
      <c r="DZ16" s="34" t="s">
        <v>290</v>
      </c>
    </row>
    <row r="17" spans="1:130" s="15" customFormat="1" ht="15" customHeight="1" x14ac:dyDescent="0.25">
      <c r="A17" s="52"/>
      <c r="B17" s="55">
        <v>-33.828248000000002</v>
      </c>
      <c r="C17" s="55">
        <v>151.000089</v>
      </c>
      <c r="D17" s="55" t="s">
        <v>337</v>
      </c>
      <c r="E17" s="55" t="s">
        <v>19</v>
      </c>
      <c r="F17" s="55" t="s">
        <v>228</v>
      </c>
      <c r="G17" s="55" t="s">
        <v>90</v>
      </c>
      <c r="H17" s="55" t="s">
        <v>91</v>
      </c>
      <c r="I17" s="58">
        <v>2142</v>
      </c>
      <c r="J17" s="55" t="s">
        <v>20</v>
      </c>
      <c r="K17" s="55" t="s">
        <v>185</v>
      </c>
      <c r="L17" s="55" t="s">
        <v>22</v>
      </c>
      <c r="M17" s="55" t="s">
        <v>26</v>
      </c>
      <c r="N17" s="55" t="s">
        <v>284</v>
      </c>
      <c r="O17" s="59" t="s">
        <v>175</v>
      </c>
      <c r="P17" s="56">
        <v>0.1</v>
      </c>
      <c r="Q17" s="55">
        <v>25</v>
      </c>
      <c r="R17" s="55">
        <v>24</v>
      </c>
      <c r="S17" s="55" t="s">
        <v>154</v>
      </c>
      <c r="T17" s="55"/>
      <c r="U17" s="57">
        <v>75000</v>
      </c>
      <c r="V17" s="57"/>
      <c r="W17" s="57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5" t="s">
        <v>0</v>
      </c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1">
        <f t="shared" si="1"/>
        <v>75000</v>
      </c>
      <c r="DQ17" s="1">
        <f t="shared" si="2"/>
        <v>75000</v>
      </c>
      <c r="DR17" s="1">
        <f t="shared" si="3"/>
        <v>0</v>
      </c>
      <c r="DS17" s="141">
        <f>IFERROR((V17*#REF!)/#REF!, 0)</f>
        <v>0</v>
      </c>
      <c r="DT17" s="163"/>
      <c r="DU17" s="160"/>
      <c r="DV17" s="40"/>
      <c r="DW17" s="37" t="s">
        <v>175</v>
      </c>
      <c r="DX17" s="37">
        <v>3.7777777777777777</v>
      </c>
      <c r="DY17" s="34" t="s">
        <v>284</v>
      </c>
      <c r="DZ17" s="34" t="s">
        <v>290</v>
      </c>
    </row>
    <row r="18" spans="1:130" s="15" customFormat="1" ht="15" customHeight="1" x14ac:dyDescent="0.25">
      <c r="A18" s="52"/>
      <c r="B18" s="55">
        <v>-33.848474000000003</v>
      </c>
      <c r="C18" s="55">
        <v>151.08239800000001</v>
      </c>
      <c r="D18" s="55" t="s">
        <v>337</v>
      </c>
      <c r="E18" s="55" t="s">
        <v>19</v>
      </c>
      <c r="F18" s="55" t="s">
        <v>261</v>
      </c>
      <c r="G18" s="55" t="s">
        <v>262</v>
      </c>
      <c r="H18" s="55" t="s">
        <v>93</v>
      </c>
      <c r="I18" s="58">
        <v>2138</v>
      </c>
      <c r="J18" s="55" t="s">
        <v>20</v>
      </c>
      <c r="K18" s="55" t="s">
        <v>186</v>
      </c>
      <c r="L18" s="55" t="s">
        <v>22</v>
      </c>
      <c r="M18" s="55" t="s">
        <v>56</v>
      </c>
      <c r="N18" s="55" t="s">
        <v>284</v>
      </c>
      <c r="O18" s="59" t="s">
        <v>177</v>
      </c>
      <c r="P18" s="56">
        <v>0.1</v>
      </c>
      <c r="Q18" s="55">
        <v>25</v>
      </c>
      <c r="R18" s="55">
        <v>24</v>
      </c>
      <c r="S18" s="55" t="s">
        <v>154</v>
      </c>
      <c r="T18" s="55"/>
      <c r="U18" s="57">
        <v>75000</v>
      </c>
      <c r="V18" s="57"/>
      <c r="W18" s="57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" t="s">
        <v>0</v>
      </c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1">
        <f t="shared" si="1"/>
        <v>75000</v>
      </c>
      <c r="DQ18" s="1">
        <f t="shared" si="2"/>
        <v>75000</v>
      </c>
      <c r="DR18" s="1">
        <f t="shared" si="3"/>
        <v>0</v>
      </c>
      <c r="DS18" s="141">
        <f>IFERROR((V18*#REF!)/#REF!, 0)</f>
        <v>0</v>
      </c>
      <c r="DT18" s="163"/>
      <c r="DU18" s="160"/>
      <c r="DV18" s="40"/>
      <c r="DW18" s="104" t="s">
        <v>183</v>
      </c>
      <c r="DX18" s="104">
        <v>3.7142857142857144</v>
      </c>
      <c r="DY18" s="34" t="s">
        <v>284</v>
      </c>
      <c r="DZ18" s="34" t="s">
        <v>290</v>
      </c>
    </row>
    <row r="19" spans="1:130" s="15" customFormat="1" ht="15" customHeight="1" x14ac:dyDescent="0.25">
      <c r="A19" s="52"/>
      <c r="B19" s="55">
        <v>-33.820183</v>
      </c>
      <c r="C19" s="55">
        <v>151.02178499999999</v>
      </c>
      <c r="D19" s="55" t="s">
        <v>337</v>
      </c>
      <c r="E19" s="55" t="s">
        <v>19</v>
      </c>
      <c r="F19" s="55" t="s">
        <v>353</v>
      </c>
      <c r="G19" s="55" t="s">
        <v>309</v>
      </c>
      <c r="H19" s="55" t="s">
        <v>308</v>
      </c>
      <c r="I19" s="58">
        <v>2142</v>
      </c>
      <c r="J19" s="55" t="s">
        <v>20</v>
      </c>
      <c r="K19" s="55" t="s">
        <v>185</v>
      </c>
      <c r="L19" s="59" t="s">
        <v>22</v>
      </c>
      <c r="M19" s="55" t="s">
        <v>268</v>
      </c>
      <c r="N19" s="55" t="s">
        <v>284</v>
      </c>
      <c r="O19" s="59" t="s">
        <v>215</v>
      </c>
      <c r="P19" s="56">
        <v>0.1</v>
      </c>
      <c r="Q19" s="55">
        <v>10</v>
      </c>
      <c r="R19" s="55">
        <v>24</v>
      </c>
      <c r="S19" s="55" t="s">
        <v>154</v>
      </c>
      <c r="T19" s="55"/>
      <c r="U19" s="57">
        <v>68250</v>
      </c>
      <c r="V19" s="57"/>
      <c r="W19" s="57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5" t="s">
        <v>0</v>
      </c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1">
        <f t="shared" si="1"/>
        <v>68250</v>
      </c>
      <c r="DQ19" s="1">
        <f t="shared" si="2"/>
        <v>68250</v>
      </c>
      <c r="DR19" s="1">
        <f t="shared" si="3"/>
        <v>0</v>
      </c>
      <c r="DS19" s="141">
        <f>IFERROR((V19*#REF!)/#REF!, 0)</f>
        <v>0</v>
      </c>
      <c r="DT19" s="163"/>
      <c r="DU19" s="160"/>
      <c r="DV19" s="40"/>
      <c r="DW19" s="90" t="s">
        <v>215</v>
      </c>
      <c r="DX19" s="90">
        <v>3.9</v>
      </c>
      <c r="DY19" s="34" t="s">
        <v>284</v>
      </c>
      <c r="DZ19" s="34" t="s">
        <v>290</v>
      </c>
    </row>
    <row r="20" spans="1:130" s="15" customFormat="1" ht="15" customHeight="1" x14ac:dyDescent="0.25">
      <c r="A20" s="52"/>
      <c r="B20" s="55">
        <v>-33.822966000000001</v>
      </c>
      <c r="C20" s="55">
        <v>151.02161000000001</v>
      </c>
      <c r="D20" s="55" t="s">
        <v>337</v>
      </c>
      <c r="E20" s="55" t="s">
        <v>19</v>
      </c>
      <c r="F20" s="55" t="s">
        <v>354</v>
      </c>
      <c r="G20" s="55" t="s">
        <v>310</v>
      </c>
      <c r="H20" s="55" t="s">
        <v>308</v>
      </c>
      <c r="I20" s="58">
        <v>2142</v>
      </c>
      <c r="J20" s="55" t="s">
        <v>25</v>
      </c>
      <c r="K20" s="55" t="s">
        <v>185</v>
      </c>
      <c r="L20" s="59" t="s">
        <v>22</v>
      </c>
      <c r="M20" s="55" t="s">
        <v>268</v>
      </c>
      <c r="N20" s="55" t="s">
        <v>284</v>
      </c>
      <c r="O20" s="59" t="s">
        <v>215</v>
      </c>
      <c r="P20" s="56">
        <v>0.1</v>
      </c>
      <c r="Q20" s="55">
        <v>10</v>
      </c>
      <c r="R20" s="55">
        <v>24</v>
      </c>
      <c r="S20" s="55" t="s">
        <v>154</v>
      </c>
      <c r="T20" s="55"/>
      <c r="U20" s="57">
        <v>63000</v>
      </c>
      <c r="V20" s="57"/>
      <c r="W20" s="57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5" t="s">
        <v>0</v>
      </c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1">
        <f t="shared" si="1"/>
        <v>63000</v>
      </c>
      <c r="DQ20" s="1">
        <f t="shared" si="2"/>
        <v>63000</v>
      </c>
      <c r="DR20" s="1">
        <f t="shared" si="3"/>
        <v>0</v>
      </c>
      <c r="DS20" s="141">
        <f>IFERROR((V20*#REF!)/#REF!, 0)</f>
        <v>0</v>
      </c>
      <c r="DT20" s="163"/>
      <c r="DU20" s="160"/>
      <c r="DV20" s="40"/>
      <c r="DW20" s="90" t="s">
        <v>215</v>
      </c>
      <c r="DX20" s="90">
        <v>3.9</v>
      </c>
      <c r="DY20" s="34" t="s">
        <v>284</v>
      </c>
      <c r="DZ20" s="34" t="s">
        <v>290</v>
      </c>
    </row>
    <row r="21" spans="1:130" s="15" customFormat="1" ht="15" customHeight="1" x14ac:dyDescent="0.25">
      <c r="A21" s="52"/>
      <c r="B21" s="55">
        <v>-33.988146999999998</v>
      </c>
      <c r="C21" s="55">
        <v>151.111491</v>
      </c>
      <c r="D21" s="55" t="s">
        <v>337</v>
      </c>
      <c r="E21" s="55" t="s">
        <v>19</v>
      </c>
      <c r="F21" s="55" t="s">
        <v>276</v>
      </c>
      <c r="G21" s="55" t="s">
        <v>277</v>
      </c>
      <c r="H21" s="55" t="s">
        <v>278</v>
      </c>
      <c r="I21" s="58">
        <v>2221</v>
      </c>
      <c r="J21" s="55" t="s">
        <v>20</v>
      </c>
      <c r="K21" s="55" t="s">
        <v>96</v>
      </c>
      <c r="L21" s="55" t="s">
        <v>22</v>
      </c>
      <c r="M21" s="55" t="s">
        <v>279</v>
      </c>
      <c r="N21" s="55" t="s">
        <v>284</v>
      </c>
      <c r="O21" s="59" t="s">
        <v>215</v>
      </c>
      <c r="P21" s="56">
        <v>0.1</v>
      </c>
      <c r="Q21" s="55">
        <v>10</v>
      </c>
      <c r="R21" s="55">
        <v>24</v>
      </c>
      <c r="S21" s="55" t="s">
        <v>154</v>
      </c>
      <c r="T21" s="55"/>
      <c r="U21" s="57">
        <v>60500</v>
      </c>
      <c r="V21" s="57"/>
      <c r="W21" s="57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7"/>
      <c r="AK21" s="57"/>
      <c r="AL21" s="57"/>
      <c r="AM21" s="57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" t="s">
        <v>0</v>
      </c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1">
        <f t="shared" si="1"/>
        <v>60500</v>
      </c>
      <c r="DQ21" s="1">
        <f t="shared" si="2"/>
        <v>60500</v>
      </c>
      <c r="DR21" s="1">
        <f t="shared" si="3"/>
        <v>0</v>
      </c>
      <c r="DS21" s="141">
        <f>IFERROR((V21*#REF!)/#REF!, 0)</f>
        <v>0</v>
      </c>
      <c r="DT21" s="163"/>
      <c r="DU21" s="160"/>
      <c r="DV21" s="40"/>
      <c r="DW21" s="90" t="s">
        <v>215</v>
      </c>
      <c r="DX21" s="90">
        <v>3.9</v>
      </c>
      <c r="DY21" s="34" t="s">
        <v>284</v>
      </c>
      <c r="DZ21" s="34" t="s">
        <v>290</v>
      </c>
    </row>
    <row r="22" spans="1:130" s="15" customFormat="1" ht="15" customHeight="1" x14ac:dyDescent="0.25">
      <c r="A22" s="52"/>
      <c r="B22" s="55" t="s">
        <v>117</v>
      </c>
      <c r="C22" s="55" t="s">
        <v>118</v>
      </c>
      <c r="D22" s="55" t="s">
        <v>337</v>
      </c>
      <c r="E22" s="55" t="s">
        <v>19</v>
      </c>
      <c r="F22" s="55" t="s">
        <v>23</v>
      </c>
      <c r="G22" s="55" t="s">
        <v>24</v>
      </c>
      <c r="H22" s="55" t="s">
        <v>292</v>
      </c>
      <c r="I22" s="58">
        <v>2018</v>
      </c>
      <c r="J22" s="55" t="s">
        <v>25</v>
      </c>
      <c r="K22" s="55" t="s">
        <v>191</v>
      </c>
      <c r="L22" s="55" t="s">
        <v>22</v>
      </c>
      <c r="M22" s="55" t="s">
        <v>26</v>
      </c>
      <c r="N22" s="55" t="s">
        <v>284</v>
      </c>
      <c r="O22" s="59" t="s">
        <v>215</v>
      </c>
      <c r="P22" s="56">
        <v>0.1</v>
      </c>
      <c r="Q22" s="55">
        <v>10</v>
      </c>
      <c r="R22" s="55">
        <v>24</v>
      </c>
      <c r="S22" s="55" t="s">
        <v>154</v>
      </c>
      <c r="T22" s="55"/>
      <c r="U22" s="57">
        <v>50000</v>
      </c>
      <c r="V22" s="57"/>
      <c r="W22" s="57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" t="s">
        <v>0</v>
      </c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1">
        <f t="shared" si="1"/>
        <v>50000</v>
      </c>
      <c r="DQ22" s="1">
        <f t="shared" si="2"/>
        <v>50000</v>
      </c>
      <c r="DR22" s="1">
        <f t="shared" si="3"/>
        <v>0</v>
      </c>
      <c r="DS22" s="141">
        <f>IFERROR((V22*#REF!)/#REF!, 0)</f>
        <v>0</v>
      </c>
      <c r="DT22" s="163"/>
      <c r="DU22" s="160"/>
      <c r="DV22" s="40"/>
      <c r="DW22" s="90" t="s">
        <v>215</v>
      </c>
      <c r="DX22" s="90">
        <v>3.9</v>
      </c>
      <c r="DY22" s="34" t="s">
        <v>284</v>
      </c>
      <c r="DZ22" s="34"/>
    </row>
    <row r="23" spans="1:130" s="15" customFormat="1" ht="15" customHeight="1" x14ac:dyDescent="0.25">
      <c r="A23" s="52"/>
      <c r="B23" s="55">
        <v>-33.923800722961403</v>
      </c>
      <c r="C23" s="55">
        <v>151.068976317791</v>
      </c>
      <c r="D23" s="55" t="s">
        <v>337</v>
      </c>
      <c r="E23" s="55" t="s">
        <v>19</v>
      </c>
      <c r="F23" s="55" t="s">
        <v>320</v>
      </c>
      <c r="G23" s="55" t="s">
        <v>315</v>
      </c>
      <c r="H23" s="55" t="s">
        <v>314</v>
      </c>
      <c r="I23" s="58">
        <v>2195</v>
      </c>
      <c r="J23" s="55" t="s">
        <v>25</v>
      </c>
      <c r="K23" s="55" t="s">
        <v>327</v>
      </c>
      <c r="L23" s="55" t="s">
        <v>22</v>
      </c>
      <c r="M23" s="55" t="s">
        <v>312</v>
      </c>
      <c r="N23" s="55" t="s">
        <v>284</v>
      </c>
      <c r="O23" s="59" t="s">
        <v>321</v>
      </c>
      <c r="P23" s="56">
        <v>0.1</v>
      </c>
      <c r="Q23" s="55">
        <v>25</v>
      </c>
      <c r="R23" s="55">
        <v>21</v>
      </c>
      <c r="S23" s="55" t="s">
        <v>154</v>
      </c>
      <c r="T23" s="55"/>
      <c r="U23" s="57">
        <v>50000</v>
      </c>
      <c r="V23" s="57"/>
      <c r="W23" s="57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" t="s">
        <v>0</v>
      </c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1">
        <f t="shared" si="1"/>
        <v>50000</v>
      </c>
      <c r="DQ23" s="1">
        <f t="shared" si="2"/>
        <v>50000</v>
      </c>
      <c r="DR23" s="1">
        <f t="shared" si="3"/>
        <v>0</v>
      </c>
      <c r="DS23" s="141">
        <f>IFERROR((V23*#REF!)/#REF!, 0)</f>
        <v>0</v>
      </c>
      <c r="DT23" s="163"/>
      <c r="DU23" s="160"/>
      <c r="DV23" s="40"/>
      <c r="DW23" s="88" t="s">
        <v>321</v>
      </c>
      <c r="DX23" s="88">
        <v>3.875</v>
      </c>
      <c r="DY23" s="34" t="s">
        <v>284</v>
      </c>
      <c r="DZ23" s="34" t="s">
        <v>290</v>
      </c>
    </row>
    <row r="24" spans="1:130" s="15" customFormat="1" ht="15" customHeight="1" x14ac:dyDescent="0.25">
      <c r="A24" s="52"/>
      <c r="B24" s="55" t="s">
        <v>119</v>
      </c>
      <c r="C24" s="55">
        <v>151.1360545</v>
      </c>
      <c r="D24" s="55" t="s">
        <v>337</v>
      </c>
      <c r="E24" s="55" t="s">
        <v>19</v>
      </c>
      <c r="F24" s="55" t="s">
        <v>16</v>
      </c>
      <c r="G24" s="55" t="s">
        <v>17</v>
      </c>
      <c r="H24" s="55" t="s">
        <v>18</v>
      </c>
      <c r="I24" s="58">
        <v>2217</v>
      </c>
      <c r="J24" s="55" t="s">
        <v>20</v>
      </c>
      <c r="K24" s="55" t="s">
        <v>96</v>
      </c>
      <c r="L24" s="55" t="s">
        <v>22</v>
      </c>
      <c r="M24" s="55" t="s">
        <v>21</v>
      </c>
      <c r="N24" s="55" t="s">
        <v>284</v>
      </c>
      <c r="O24" s="59" t="s">
        <v>173</v>
      </c>
      <c r="P24" s="56">
        <v>0.1</v>
      </c>
      <c r="Q24" s="55">
        <v>15</v>
      </c>
      <c r="R24" s="55">
        <v>24</v>
      </c>
      <c r="S24" s="34" t="s">
        <v>307</v>
      </c>
      <c r="T24" s="55"/>
      <c r="U24" s="57">
        <v>26250</v>
      </c>
      <c r="V24" s="57"/>
      <c r="W24" s="57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" t="s">
        <v>0</v>
      </c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1">
        <f t="shared" si="1"/>
        <v>26250</v>
      </c>
      <c r="DQ24" s="1">
        <f t="shared" si="2"/>
        <v>26250</v>
      </c>
      <c r="DR24" s="1">
        <f t="shared" si="3"/>
        <v>0</v>
      </c>
      <c r="DS24" s="141">
        <f>IFERROR((V24*#REF!)/#REF!, 0)</f>
        <v>0</v>
      </c>
      <c r="DT24" s="163"/>
      <c r="DU24" s="160"/>
      <c r="DV24" s="40"/>
      <c r="DW24" s="87" t="s">
        <v>173</v>
      </c>
      <c r="DX24" s="87">
        <v>4</v>
      </c>
      <c r="DY24" s="34" t="s">
        <v>284</v>
      </c>
      <c r="DZ24" s="34"/>
    </row>
    <row r="25" spans="1:130" s="15" customFormat="1" ht="15" customHeight="1" x14ac:dyDescent="0.25">
      <c r="A25" s="52"/>
      <c r="B25" s="113"/>
      <c r="C25" s="113"/>
      <c r="D25" s="113"/>
      <c r="E25" s="113"/>
      <c r="F25" s="112" t="s">
        <v>157</v>
      </c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  <c r="DH25" s="113"/>
      <c r="DI25" s="113"/>
      <c r="DJ25" s="113"/>
      <c r="DK25" s="113"/>
      <c r="DL25" s="113"/>
      <c r="DM25" s="113"/>
      <c r="DN25" s="113"/>
      <c r="DO25" s="113"/>
      <c r="DP25" s="113"/>
      <c r="DQ25" s="113"/>
      <c r="DR25" s="113"/>
      <c r="DS25" s="113"/>
      <c r="DT25" s="163"/>
      <c r="DU25" s="160"/>
      <c r="DV25" s="40"/>
      <c r="DW25" s="110"/>
      <c r="DX25" s="110"/>
      <c r="DY25" s="110"/>
      <c r="DZ25" s="111"/>
    </row>
    <row r="26" spans="1:130" s="15" customFormat="1" ht="15" customHeight="1" x14ac:dyDescent="0.25">
      <c r="A26" s="52"/>
      <c r="B26" s="34">
        <v>-37.828941999999998</v>
      </c>
      <c r="C26" s="34">
        <v>144.98841999999999</v>
      </c>
      <c r="D26" s="55" t="s">
        <v>337</v>
      </c>
      <c r="E26" s="34" t="s">
        <v>157</v>
      </c>
      <c r="F26" s="34" t="s">
        <v>399</v>
      </c>
      <c r="G26" s="34" t="s">
        <v>400</v>
      </c>
      <c r="H26" s="34" t="s">
        <v>313</v>
      </c>
      <c r="I26" s="106">
        <v>3121</v>
      </c>
      <c r="J26" s="55" t="s">
        <v>25</v>
      </c>
      <c r="K26" s="34" t="s">
        <v>189</v>
      </c>
      <c r="L26" s="34" t="s">
        <v>22</v>
      </c>
      <c r="M26" s="34" t="s">
        <v>401</v>
      </c>
      <c r="N26" s="34" t="s">
        <v>284</v>
      </c>
      <c r="O26" s="59" t="s">
        <v>402</v>
      </c>
      <c r="P26" s="107">
        <v>0.1</v>
      </c>
      <c r="Q26" s="34">
        <v>30</v>
      </c>
      <c r="R26" s="34">
        <v>24</v>
      </c>
      <c r="S26" s="34" t="s">
        <v>154</v>
      </c>
      <c r="T26" s="34"/>
      <c r="U26" s="108">
        <v>95000</v>
      </c>
      <c r="V26" s="108"/>
      <c r="W26" s="57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7"/>
      <c r="AK26" s="57"/>
      <c r="AM26" s="5" t="s">
        <v>0</v>
      </c>
      <c r="AN26" s="57"/>
      <c r="AO26" s="57"/>
      <c r="AP26" s="57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1">
        <f t="shared" ref="DP26:DP42" si="4">(((($U26)*COUNTIF($X26:$DO26,$E$3))*(P26*10))+((($U26)*COUNTIF($X26:$DO26,$E$4))*(P26*10))+(($U26)*COUNTIF($X26:$DO26,$E$2))*(P26*10))</f>
        <v>95000</v>
      </c>
      <c r="DQ26" s="1">
        <f t="shared" ref="DQ26:DQ42" si="5">(($U26)*COUNTIF($X26:$DO26,$E$2))*(P26*10)</f>
        <v>95000</v>
      </c>
      <c r="DR26" s="1">
        <f t="shared" ref="DR26:DR42" si="6">(($U26)*(COUNTIF($X26:$DO26,$E$4))+(($U26)*COUNTIF($X26:$DO26,$E$3)))*(P26*10)</f>
        <v>0</v>
      </c>
      <c r="DS26" s="141">
        <f>IFERROR((V26*#REF!)/#REF!, 0)</f>
        <v>0</v>
      </c>
      <c r="DT26" s="163"/>
      <c r="DU26" s="160"/>
      <c r="DV26" s="61"/>
      <c r="DW26" s="132" t="s">
        <v>402</v>
      </c>
      <c r="DX26" s="133">
        <v>3.93</v>
      </c>
      <c r="DY26" s="34" t="s">
        <v>284</v>
      </c>
      <c r="DZ26" s="34"/>
    </row>
    <row r="27" spans="1:130" s="15" customFormat="1" ht="15" customHeight="1" x14ac:dyDescent="0.25">
      <c r="A27" s="52"/>
      <c r="B27" s="34">
        <v>-37.810015999999997</v>
      </c>
      <c r="C27" s="34">
        <v>144.99157400000001</v>
      </c>
      <c r="D27" s="55" t="s">
        <v>337</v>
      </c>
      <c r="E27" s="34" t="s">
        <v>157</v>
      </c>
      <c r="F27" s="34" t="s">
        <v>152</v>
      </c>
      <c r="G27" s="34" t="s">
        <v>153</v>
      </c>
      <c r="H27" s="34" t="s">
        <v>52</v>
      </c>
      <c r="I27" s="106">
        <v>3121</v>
      </c>
      <c r="J27" s="55" t="s">
        <v>20</v>
      </c>
      <c r="K27" s="34" t="s">
        <v>189</v>
      </c>
      <c r="L27" s="34" t="s">
        <v>22</v>
      </c>
      <c r="M27" s="34" t="s">
        <v>107</v>
      </c>
      <c r="N27" s="34" t="s">
        <v>284</v>
      </c>
      <c r="O27" s="59" t="s">
        <v>179</v>
      </c>
      <c r="P27" s="107">
        <v>0.1</v>
      </c>
      <c r="Q27" s="34">
        <v>30</v>
      </c>
      <c r="R27" s="34">
        <v>24</v>
      </c>
      <c r="S27" s="34" t="s">
        <v>154</v>
      </c>
      <c r="T27" s="34"/>
      <c r="U27" s="108">
        <v>86750</v>
      </c>
      <c r="V27" s="108"/>
      <c r="W27" s="57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7"/>
      <c r="AK27" s="57"/>
      <c r="AL27" s="5" t="s">
        <v>0</v>
      </c>
      <c r="AM27" s="57"/>
      <c r="AN27" s="57"/>
      <c r="AP27" s="57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1">
        <f t="shared" si="4"/>
        <v>86750</v>
      </c>
      <c r="DQ27" s="1">
        <f t="shared" si="5"/>
        <v>86750</v>
      </c>
      <c r="DR27" s="1">
        <f t="shared" si="6"/>
        <v>0</v>
      </c>
      <c r="DS27" s="141">
        <f>IFERROR((V27*#REF!)/#REF!, 0)</f>
        <v>0</v>
      </c>
      <c r="DT27" s="163"/>
      <c r="DU27" s="160"/>
      <c r="DV27" s="40"/>
      <c r="DW27" s="36" t="s">
        <v>179</v>
      </c>
      <c r="DX27" s="36">
        <v>11.5</v>
      </c>
      <c r="DY27" s="34" t="s">
        <v>284</v>
      </c>
      <c r="DZ27" s="34" t="s">
        <v>290</v>
      </c>
    </row>
    <row r="28" spans="1:130" s="15" customFormat="1" ht="15" customHeight="1" x14ac:dyDescent="0.25">
      <c r="A28" s="52"/>
      <c r="B28" s="34">
        <v>-37.721663999999997</v>
      </c>
      <c r="C28" s="34">
        <v>144.892291</v>
      </c>
      <c r="D28" s="55" t="s">
        <v>337</v>
      </c>
      <c r="E28" s="34" t="s">
        <v>157</v>
      </c>
      <c r="F28" s="34" t="s">
        <v>220</v>
      </c>
      <c r="G28" s="34" t="s">
        <v>205</v>
      </c>
      <c r="H28" s="34" t="s">
        <v>206</v>
      </c>
      <c r="I28" s="106">
        <v>3041</v>
      </c>
      <c r="J28" s="55" t="s">
        <v>20</v>
      </c>
      <c r="K28" s="34" t="s">
        <v>328</v>
      </c>
      <c r="L28" s="34" t="s">
        <v>22</v>
      </c>
      <c r="M28" s="34" t="s">
        <v>92</v>
      </c>
      <c r="N28" s="34" t="s">
        <v>284</v>
      </c>
      <c r="O28" s="59" t="s">
        <v>221</v>
      </c>
      <c r="P28" s="107">
        <v>0.1</v>
      </c>
      <c r="Q28" s="34">
        <v>20</v>
      </c>
      <c r="R28" s="34">
        <v>24</v>
      </c>
      <c r="S28" s="34" t="s">
        <v>154</v>
      </c>
      <c r="T28" s="34"/>
      <c r="U28" s="108">
        <v>85500</v>
      </c>
      <c r="V28" s="108"/>
      <c r="W28" s="57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" t="s">
        <v>0</v>
      </c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1">
        <f t="shared" si="4"/>
        <v>85500</v>
      </c>
      <c r="DQ28" s="1">
        <f t="shared" si="5"/>
        <v>85500</v>
      </c>
      <c r="DR28" s="1">
        <f t="shared" si="6"/>
        <v>0</v>
      </c>
      <c r="DS28" s="141">
        <f>IFERROR((V28*#REF!)/#REF!, 0)</f>
        <v>0</v>
      </c>
      <c r="DT28" s="163"/>
      <c r="DU28" s="160"/>
      <c r="DV28" s="40"/>
      <c r="DW28" s="103" t="s">
        <v>221</v>
      </c>
      <c r="DX28" s="103">
        <v>3.0625</v>
      </c>
      <c r="DY28" s="34" t="s">
        <v>284</v>
      </c>
      <c r="DZ28" s="34"/>
    </row>
    <row r="29" spans="1:130" s="15" customFormat="1" ht="15" customHeight="1" x14ac:dyDescent="0.25">
      <c r="A29" s="52"/>
      <c r="B29" s="34">
        <v>-37.688637</v>
      </c>
      <c r="C29" s="34">
        <v>144.87932799999999</v>
      </c>
      <c r="D29" s="55" t="s">
        <v>337</v>
      </c>
      <c r="E29" s="34" t="s">
        <v>157</v>
      </c>
      <c r="F29" s="34" t="s">
        <v>240</v>
      </c>
      <c r="G29" s="34" t="s">
        <v>237</v>
      </c>
      <c r="H29" s="34" t="s">
        <v>168</v>
      </c>
      <c r="I29" s="106">
        <v>3049</v>
      </c>
      <c r="J29" s="55" t="s">
        <v>25</v>
      </c>
      <c r="K29" s="34" t="s">
        <v>187</v>
      </c>
      <c r="L29" s="34" t="s">
        <v>22</v>
      </c>
      <c r="M29" s="34" t="s">
        <v>241</v>
      </c>
      <c r="N29" s="34" t="s">
        <v>284</v>
      </c>
      <c r="O29" s="59" t="s">
        <v>242</v>
      </c>
      <c r="P29" s="107">
        <v>0.1</v>
      </c>
      <c r="Q29" s="34">
        <v>40</v>
      </c>
      <c r="R29" s="34">
        <v>24</v>
      </c>
      <c r="S29" s="34" t="s">
        <v>154</v>
      </c>
      <c r="T29" s="34"/>
      <c r="U29" s="108">
        <v>85500</v>
      </c>
      <c r="V29" s="108"/>
      <c r="W29" s="57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7"/>
      <c r="AK29" s="57"/>
      <c r="AL29" s="57"/>
      <c r="AM29" s="57"/>
      <c r="AN29" s="57"/>
      <c r="AO29" s="57"/>
      <c r="AP29" s="57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" t="s">
        <v>0</v>
      </c>
      <c r="BH29" s="51"/>
      <c r="BI29" s="51"/>
      <c r="BJ29" s="51"/>
      <c r="BK29" s="51"/>
      <c r="BL29" s="51"/>
      <c r="BM29" s="51"/>
      <c r="BN29" s="51"/>
      <c r="BO29" s="51"/>
      <c r="BP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1">
        <f t="shared" si="4"/>
        <v>85500</v>
      </c>
      <c r="DQ29" s="1">
        <f t="shared" si="5"/>
        <v>85500</v>
      </c>
      <c r="DR29" s="1">
        <f t="shared" si="6"/>
        <v>0</v>
      </c>
      <c r="DS29" s="141">
        <f>IFERROR((V29*#REF!)/#REF!, 0)</f>
        <v>0</v>
      </c>
      <c r="DT29" s="163"/>
      <c r="DU29" s="160"/>
      <c r="DV29" s="40"/>
      <c r="DW29" s="87" t="s">
        <v>242</v>
      </c>
      <c r="DX29" s="87">
        <v>4</v>
      </c>
      <c r="DY29" s="34" t="s">
        <v>284</v>
      </c>
      <c r="DZ29" s="34" t="s">
        <v>290</v>
      </c>
    </row>
    <row r="30" spans="1:130" s="15" customFormat="1" ht="15" customHeight="1" x14ac:dyDescent="0.25">
      <c r="A30" s="52"/>
      <c r="B30" s="34" t="s">
        <v>124</v>
      </c>
      <c r="C30" s="34" t="s">
        <v>125</v>
      </c>
      <c r="D30" s="55" t="s">
        <v>337</v>
      </c>
      <c r="E30" s="34" t="s">
        <v>157</v>
      </c>
      <c r="F30" s="34" t="s">
        <v>109</v>
      </c>
      <c r="G30" s="34" t="s">
        <v>95</v>
      </c>
      <c r="H30" s="34" t="s">
        <v>52</v>
      </c>
      <c r="I30" s="106">
        <v>3121</v>
      </c>
      <c r="J30" s="55" t="s">
        <v>20</v>
      </c>
      <c r="K30" s="34" t="s">
        <v>189</v>
      </c>
      <c r="L30" s="34" t="s">
        <v>22</v>
      </c>
      <c r="M30" s="34" t="s">
        <v>78</v>
      </c>
      <c r="N30" s="34" t="s">
        <v>284</v>
      </c>
      <c r="O30" s="59" t="s">
        <v>174</v>
      </c>
      <c r="P30" s="107">
        <v>0.1</v>
      </c>
      <c r="Q30" s="34">
        <v>30</v>
      </c>
      <c r="R30" s="34">
        <v>24</v>
      </c>
      <c r="S30" s="34" t="s">
        <v>154</v>
      </c>
      <c r="T30" s="34"/>
      <c r="U30" s="108">
        <v>75000</v>
      </c>
      <c r="V30" s="108"/>
      <c r="W30" s="57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" t="s">
        <v>0</v>
      </c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1">
        <f t="shared" si="4"/>
        <v>75000</v>
      </c>
      <c r="DQ30" s="1">
        <f t="shared" si="5"/>
        <v>75000</v>
      </c>
      <c r="DR30" s="1">
        <f t="shared" si="6"/>
        <v>0</v>
      </c>
      <c r="DS30" s="141">
        <f>IFERROR((V30*#REF!)/#REF!, 0)</f>
        <v>0</v>
      </c>
      <c r="DT30" s="163"/>
      <c r="DU30" s="160"/>
      <c r="DV30" s="40"/>
      <c r="DW30" s="35" t="s">
        <v>174</v>
      </c>
      <c r="DX30" s="35">
        <v>3</v>
      </c>
      <c r="DY30" s="34" t="s">
        <v>284</v>
      </c>
      <c r="DZ30" s="34" t="s">
        <v>290</v>
      </c>
    </row>
    <row r="31" spans="1:130" s="15" customFormat="1" ht="15" customHeight="1" x14ac:dyDescent="0.25">
      <c r="A31" s="52"/>
      <c r="B31" s="34" t="s">
        <v>126</v>
      </c>
      <c r="C31" s="34" t="s">
        <v>127</v>
      </c>
      <c r="D31" s="55" t="s">
        <v>337</v>
      </c>
      <c r="E31" s="34" t="s">
        <v>157</v>
      </c>
      <c r="F31" s="34" t="s">
        <v>61</v>
      </c>
      <c r="G31" s="34" t="s">
        <v>50</v>
      </c>
      <c r="H31" s="34" t="s">
        <v>51</v>
      </c>
      <c r="I31" s="106">
        <v>3068</v>
      </c>
      <c r="J31" s="55" t="s">
        <v>20</v>
      </c>
      <c r="K31" s="34" t="s">
        <v>189</v>
      </c>
      <c r="L31" s="34" t="s">
        <v>22</v>
      </c>
      <c r="M31" s="34" t="s">
        <v>28</v>
      </c>
      <c r="N31" s="34" t="s">
        <v>284</v>
      </c>
      <c r="O31" s="59" t="s">
        <v>174</v>
      </c>
      <c r="P31" s="107">
        <v>0.1</v>
      </c>
      <c r="Q31" s="34">
        <v>30</v>
      </c>
      <c r="R31" s="34">
        <v>24</v>
      </c>
      <c r="S31" s="34" t="s">
        <v>154</v>
      </c>
      <c r="T31" s="34"/>
      <c r="U31" s="108">
        <v>72250</v>
      </c>
      <c r="V31" s="108"/>
      <c r="W31" s="57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" t="s">
        <v>0</v>
      </c>
      <c r="BL31" s="51"/>
      <c r="BM31" s="51"/>
      <c r="BN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1">
        <f t="shared" si="4"/>
        <v>72250</v>
      </c>
      <c r="DQ31" s="1">
        <f t="shared" si="5"/>
        <v>72250</v>
      </c>
      <c r="DR31" s="1">
        <f t="shared" si="6"/>
        <v>0</v>
      </c>
      <c r="DS31" s="141">
        <f>IFERROR((V31*#REF!)/#REF!, 0)</f>
        <v>0</v>
      </c>
      <c r="DT31" s="163"/>
      <c r="DU31" s="160"/>
      <c r="DV31" s="40"/>
      <c r="DW31" s="35" t="s">
        <v>174</v>
      </c>
      <c r="DX31" s="35">
        <v>3</v>
      </c>
      <c r="DY31" s="34" t="s">
        <v>284</v>
      </c>
      <c r="DZ31" s="34" t="s">
        <v>290</v>
      </c>
    </row>
    <row r="32" spans="1:130" s="15" customFormat="1" ht="15" customHeight="1" x14ac:dyDescent="0.25">
      <c r="A32" s="52"/>
      <c r="B32" s="34" t="s">
        <v>132</v>
      </c>
      <c r="C32" s="34" t="s">
        <v>133</v>
      </c>
      <c r="D32" s="55" t="s">
        <v>337</v>
      </c>
      <c r="E32" s="34" t="s">
        <v>157</v>
      </c>
      <c r="F32" s="34" t="s">
        <v>40</v>
      </c>
      <c r="G32" s="34" t="s">
        <v>41</v>
      </c>
      <c r="H32" s="34" t="s">
        <v>42</v>
      </c>
      <c r="I32" s="106">
        <v>3189</v>
      </c>
      <c r="J32" s="55" t="s">
        <v>25</v>
      </c>
      <c r="K32" s="34" t="s">
        <v>329</v>
      </c>
      <c r="L32" s="34" t="s">
        <v>22</v>
      </c>
      <c r="M32" s="34" t="s">
        <v>43</v>
      </c>
      <c r="N32" s="34" t="s">
        <v>284</v>
      </c>
      <c r="O32" s="59" t="s">
        <v>359</v>
      </c>
      <c r="P32" s="107">
        <v>0.1</v>
      </c>
      <c r="Q32" s="34">
        <v>8</v>
      </c>
      <c r="R32" s="34">
        <v>24</v>
      </c>
      <c r="S32" s="34" t="s">
        <v>154</v>
      </c>
      <c r="T32" s="34"/>
      <c r="U32" s="108">
        <v>68250</v>
      </c>
      <c r="V32" s="108"/>
      <c r="W32" s="57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7"/>
      <c r="AK32" s="57"/>
      <c r="AL32" s="57"/>
      <c r="AM32" s="57"/>
      <c r="AN32" s="5" t="s">
        <v>0</v>
      </c>
      <c r="AO32" s="57"/>
      <c r="AP32" s="57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1">
        <f t="shared" si="4"/>
        <v>68250</v>
      </c>
      <c r="DQ32" s="1">
        <f t="shared" si="5"/>
        <v>68250</v>
      </c>
      <c r="DR32" s="1">
        <f t="shared" si="6"/>
        <v>0</v>
      </c>
      <c r="DS32" s="141">
        <f>IFERROR((V32*#REF!)/#REF!, 0)</f>
        <v>0</v>
      </c>
      <c r="DT32" s="163"/>
      <c r="DU32" s="160"/>
      <c r="DV32" s="40"/>
      <c r="DW32" s="36" t="s">
        <v>359</v>
      </c>
      <c r="DX32" s="36">
        <v>4.5625</v>
      </c>
      <c r="DY32" s="34" t="s">
        <v>284</v>
      </c>
      <c r="DZ32" s="34" t="s">
        <v>290</v>
      </c>
    </row>
    <row r="33" spans="1:130" s="15" customFormat="1" ht="15" customHeight="1" x14ac:dyDescent="0.25">
      <c r="A33" s="52"/>
      <c r="B33" s="34">
        <v>-37.766486</v>
      </c>
      <c r="C33" s="34">
        <v>144.81668400000001</v>
      </c>
      <c r="D33" s="55" t="s">
        <v>337</v>
      </c>
      <c r="E33" s="34" t="s">
        <v>157</v>
      </c>
      <c r="F33" s="34" t="s">
        <v>355</v>
      </c>
      <c r="G33" s="34" t="s">
        <v>97</v>
      </c>
      <c r="H33" s="34" t="s">
        <v>98</v>
      </c>
      <c r="I33" s="106">
        <v>3021</v>
      </c>
      <c r="J33" s="55" t="s">
        <v>420</v>
      </c>
      <c r="K33" s="34" t="s">
        <v>186</v>
      </c>
      <c r="L33" s="34" t="s">
        <v>22</v>
      </c>
      <c r="M33" s="34" t="s">
        <v>56</v>
      </c>
      <c r="N33" s="34" t="s">
        <v>284</v>
      </c>
      <c r="O33" s="59" t="s">
        <v>388</v>
      </c>
      <c r="P33" s="107">
        <v>0.1</v>
      </c>
      <c r="Q33" s="34">
        <v>30</v>
      </c>
      <c r="R33" s="34">
        <v>24</v>
      </c>
      <c r="S33" s="55" t="s">
        <v>154</v>
      </c>
      <c r="T33" s="34"/>
      <c r="U33" s="108">
        <v>68250</v>
      </c>
      <c r="V33" s="108"/>
      <c r="W33" s="57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" t="s">
        <v>0</v>
      </c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1">
        <f t="shared" si="4"/>
        <v>68250</v>
      </c>
      <c r="DQ33" s="1">
        <f t="shared" si="5"/>
        <v>68250</v>
      </c>
      <c r="DR33" s="1">
        <f t="shared" si="6"/>
        <v>0</v>
      </c>
      <c r="DS33" s="141">
        <f>IFERROR((V33*#REF!)/#REF!, 0)</f>
        <v>0</v>
      </c>
      <c r="DT33" s="163"/>
      <c r="DU33" s="160"/>
      <c r="DV33" s="40"/>
      <c r="DW33" s="129" t="s">
        <v>388</v>
      </c>
      <c r="DX33" s="129">
        <v>4.21</v>
      </c>
      <c r="DY33" s="34" t="s">
        <v>284</v>
      </c>
      <c r="DZ33" s="34" t="s">
        <v>290</v>
      </c>
    </row>
    <row r="34" spans="1:130" s="15" customFormat="1" ht="15" customHeight="1" x14ac:dyDescent="0.25">
      <c r="A34" s="52"/>
      <c r="B34" s="34">
        <v>-37.828454499999999</v>
      </c>
      <c r="C34" s="34">
        <v>144.92316210000001</v>
      </c>
      <c r="D34" s="55" t="s">
        <v>337</v>
      </c>
      <c r="E34" s="34" t="s">
        <v>157</v>
      </c>
      <c r="F34" s="34" t="s">
        <v>425</v>
      </c>
      <c r="G34" s="34" t="s">
        <v>431</v>
      </c>
      <c r="H34" s="34" t="s">
        <v>103</v>
      </c>
      <c r="I34" s="106">
        <v>3207</v>
      </c>
      <c r="J34" s="55" t="s">
        <v>20</v>
      </c>
      <c r="K34" s="34" t="s">
        <v>333</v>
      </c>
      <c r="L34" s="34" t="s">
        <v>22</v>
      </c>
      <c r="M34" s="34" t="s">
        <v>434</v>
      </c>
      <c r="N34" s="34" t="s">
        <v>435</v>
      </c>
      <c r="O34" s="59" t="s">
        <v>436</v>
      </c>
      <c r="P34" s="107">
        <v>0.1</v>
      </c>
      <c r="Q34" s="34">
        <v>30</v>
      </c>
      <c r="R34" s="34">
        <v>24</v>
      </c>
      <c r="S34" s="34" t="s">
        <v>154</v>
      </c>
      <c r="T34" s="34"/>
      <c r="U34" s="108">
        <v>59000</v>
      </c>
      <c r="V34" s="108"/>
      <c r="W34" s="57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" t="s">
        <v>0</v>
      </c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1">
        <f t="shared" si="4"/>
        <v>59000</v>
      </c>
      <c r="DQ34" s="1">
        <f t="shared" si="5"/>
        <v>59000</v>
      </c>
      <c r="DR34" s="1">
        <f t="shared" si="6"/>
        <v>0</v>
      </c>
      <c r="DS34" s="141">
        <f>IFERROR((V34*#REF!)/#REF!, 0)</f>
        <v>0</v>
      </c>
      <c r="DT34" s="163"/>
      <c r="DU34" s="160"/>
      <c r="DV34" s="40"/>
      <c r="DW34" s="129" t="s">
        <v>388</v>
      </c>
      <c r="DX34" s="129">
        <v>4.21</v>
      </c>
      <c r="DY34" s="34" t="s">
        <v>429</v>
      </c>
      <c r="DZ34" s="34"/>
    </row>
    <row r="35" spans="1:130" s="15" customFormat="1" ht="15" customHeight="1" x14ac:dyDescent="0.25">
      <c r="A35" s="52"/>
      <c r="B35" s="34" t="s">
        <v>130</v>
      </c>
      <c r="C35" s="34" t="s">
        <v>131</v>
      </c>
      <c r="D35" s="55" t="s">
        <v>337</v>
      </c>
      <c r="E35" s="34" t="s">
        <v>157</v>
      </c>
      <c r="F35" s="34" t="s">
        <v>57</v>
      </c>
      <c r="G35" s="34" t="s">
        <v>58</v>
      </c>
      <c r="H35" s="34" t="s">
        <v>59</v>
      </c>
      <c r="I35" s="106">
        <v>3060</v>
      </c>
      <c r="J35" s="55" t="s">
        <v>60</v>
      </c>
      <c r="K35" s="34" t="s">
        <v>193</v>
      </c>
      <c r="L35" s="34" t="s">
        <v>22</v>
      </c>
      <c r="M35" s="34" t="s">
        <v>28</v>
      </c>
      <c r="N35" s="34" t="s">
        <v>284</v>
      </c>
      <c r="O35" s="59" t="s">
        <v>174</v>
      </c>
      <c r="P35" s="107">
        <v>0.1</v>
      </c>
      <c r="Q35" s="34">
        <v>30</v>
      </c>
      <c r="R35" s="34">
        <v>24</v>
      </c>
      <c r="S35" s="34" t="s">
        <v>154</v>
      </c>
      <c r="T35" s="34"/>
      <c r="U35" s="108">
        <v>56500</v>
      </c>
      <c r="V35" s="108"/>
      <c r="W35" s="57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" t="s">
        <v>0</v>
      </c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1">
        <f t="shared" si="4"/>
        <v>56500</v>
      </c>
      <c r="DQ35" s="1">
        <f t="shared" si="5"/>
        <v>56500</v>
      </c>
      <c r="DR35" s="1">
        <f t="shared" si="6"/>
        <v>0</v>
      </c>
      <c r="DS35" s="141">
        <f>IFERROR((V35*#REF!)/#REF!, 0)</f>
        <v>0</v>
      </c>
      <c r="DT35" s="163"/>
      <c r="DU35" s="160"/>
      <c r="DV35" s="40"/>
      <c r="DW35" s="35" t="s">
        <v>174</v>
      </c>
      <c r="DX35" s="35">
        <v>3</v>
      </c>
      <c r="DY35" s="34" t="s">
        <v>284</v>
      </c>
      <c r="DZ35" s="34" t="s">
        <v>290</v>
      </c>
    </row>
    <row r="36" spans="1:130" s="15" customFormat="1" ht="15" customHeight="1" x14ac:dyDescent="0.25">
      <c r="A36" s="52"/>
      <c r="B36" s="34">
        <v>-37.870562</v>
      </c>
      <c r="C36" s="34">
        <v>144.74665300000001</v>
      </c>
      <c r="D36" s="55" t="s">
        <v>337</v>
      </c>
      <c r="E36" s="34" t="s">
        <v>157</v>
      </c>
      <c r="F36" s="34" t="s">
        <v>161</v>
      </c>
      <c r="G36" s="34" t="s">
        <v>162</v>
      </c>
      <c r="H36" s="34" t="s">
        <v>163</v>
      </c>
      <c r="I36" s="106">
        <v>3027</v>
      </c>
      <c r="J36" s="55" t="s">
        <v>25</v>
      </c>
      <c r="K36" s="34" t="s">
        <v>185</v>
      </c>
      <c r="L36" s="34" t="s">
        <v>22</v>
      </c>
      <c r="M36" s="34" t="s">
        <v>164</v>
      </c>
      <c r="N36" s="34" t="s">
        <v>284</v>
      </c>
      <c r="O36" s="59" t="s">
        <v>177</v>
      </c>
      <c r="P36" s="107">
        <v>0.1</v>
      </c>
      <c r="Q36" s="34">
        <v>30</v>
      </c>
      <c r="R36" s="34">
        <v>24</v>
      </c>
      <c r="S36" s="34" t="s">
        <v>154</v>
      </c>
      <c r="T36" s="34"/>
      <c r="U36" s="108">
        <v>52500</v>
      </c>
      <c r="V36" s="108"/>
      <c r="W36" s="57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" t="s">
        <v>0</v>
      </c>
      <c r="BS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1">
        <f t="shared" si="4"/>
        <v>52500</v>
      </c>
      <c r="DQ36" s="1">
        <f t="shared" si="5"/>
        <v>52500</v>
      </c>
      <c r="DR36" s="1">
        <f t="shared" si="6"/>
        <v>0</v>
      </c>
      <c r="DS36" s="141">
        <f>IFERROR((V36*#REF!)/#REF!, 0)</f>
        <v>0</v>
      </c>
      <c r="DT36" s="163"/>
      <c r="DU36" s="160"/>
      <c r="DV36" s="40"/>
      <c r="DW36" s="89" t="s">
        <v>177</v>
      </c>
      <c r="DX36" s="89">
        <v>4.25</v>
      </c>
      <c r="DY36" s="34" t="s">
        <v>284</v>
      </c>
      <c r="DZ36" s="34" t="s">
        <v>290</v>
      </c>
    </row>
    <row r="37" spans="1:130" s="15" customFormat="1" ht="15" customHeight="1" x14ac:dyDescent="0.25">
      <c r="A37" s="52"/>
      <c r="B37" s="34">
        <v>-37.796142897700001</v>
      </c>
      <c r="C37" s="34">
        <v>144.99395222429999</v>
      </c>
      <c r="D37" s="55" t="s">
        <v>337</v>
      </c>
      <c r="E37" s="34" t="s">
        <v>157</v>
      </c>
      <c r="F37" s="34" t="s">
        <v>426</v>
      </c>
      <c r="G37" s="34" t="s">
        <v>430</v>
      </c>
      <c r="H37" s="34" t="s">
        <v>433</v>
      </c>
      <c r="I37" s="106">
        <v>3067</v>
      </c>
      <c r="J37" s="55" t="s">
        <v>421</v>
      </c>
      <c r="K37" s="34" t="s">
        <v>189</v>
      </c>
      <c r="L37" s="34" t="s">
        <v>22</v>
      </c>
      <c r="M37" s="34" t="s">
        <v>232</v>
      </c>
      <c r="N37" s="34" t="s">
        <v>435</v>
      </c>
      <c r="O37" s="59" t="s">
        <v>215</v>
      </c>
      <c r="P37" s="107">
        <v>0.1</v>
      </c>
      <c r="Q37" s="34">
        <v>30</v>
      </c>
      <c r="R37" s="34">
        <v>24</v>
      </c>
      <c r="S37" s="34" t="s">
        <v>154</v>
      </c>
      <c r="T37" s="34"/>
      <c r="U37" s="108">
        <v>51250</v>
      </c>
      <c r="V37" s="108"/>
      <c r="W37" s="57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" t="s">
        <v>0</v>
      </c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1">
        <f t="shared" si="4"/>
        <v>51250</v>
      </c>
      <c r="DQ37" s="1">
        <f t="shared" si="5"/>
        <v>51250</v>
      </c>
      <c r="DR37" s="1">
        <f t="shared" si="6"/>
        <v>0</v>
      </c>
      <c r="DS37" s="141">
        <f>IFERROR((V37*#REF!)/#REF!, 0)</f>
        <v>0</v>
      </c>
      <c r="DT37" s="163"/>
      <c r="DU37" s="160"/>
      <c r="DV37" s="40"/>
      <c r="DW37" s="90" t="s">
        <v>215</v>
      </c>
      <c r="DX37" s="90">
        <v>3.9</v>
      </c>
      <c r="DY37" s="34" t="s">
        <v>429</v>
      </c>
      <c r="DZ37" s="34"/>
    </row>
    <row r="38" spans="1:130" s="15" customFormat="1" ht="15" customHeight="1" x14ac:dyDescent="0.25">
      <c r="A38" s="52"/>
      <c r="B38" s="34">
        <v>-37.743631999999998</v>
      </c>
      <c r="C38" s="34">
        <v>144.98935900000001</v>
      </c>
      <c r="D38" s="55" t="s">
        <v>337</v>
      </c>
      <c r="E38" s="34" t="s">
        <v>157</v>
      </c>
      <c r="F38" s="34" t="s">
        <v>264</v>
      </c>
      <c r="G38" s="34" t="s">
        <v>265</v>
      </c>
      <c r="H38" s="34" t="s">
        <v>266</v>
      </c>
      <c r="I38" s="106">
        <v>3072</v>
      </c>
      <c r="J38" s="55" t="s">
        <v>20</v>
      </c>
      <c r="K38" s="34" t="s">
        <v>330</v>
      </c>
      <c r="L38" s="34" t="s">
        <v>22</v>
      </c>
      <c r="M38" s="34" t="s">
        <v>101</v>
      </c>
      <c r="N38" s="34" t="s">
        <v>284</v>
      </c>
      <c r="O38" s="59" t="s">
        <v>280</v>
      </c>
      <c r="P38" s="107">
        <v>0.1</v>
      </c>
      <c r="Q38" s="34">
        <v>30</v>
      </c>
      <c r="R38" s="34">
        <v>24</v>
      </c>
      <c r="S38" s="34" t="s">
        <v>154</v>
      </c>
      <c r="T38" s="34"/>
      <c r="U38" s="108">
        <v>47250</v>
      </c>
      <c r="V38" s="108"/>
      <c r="W38" s="57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" t="s">
        <v>0</v>
      </c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1">
        <f t="shared" si="4"/>
        <v>47250</v>
      </c>
      <c r="DQ38" s="1">
        <f t="shared" si="5"/>
        <v>47250</v>
      </c>
      <c r="DR38" s="1">
        <f t="shared" si="6"/>
        <v>0</v>
      </c>
      <c r="DS38" s="141">
        <f>IFERROR((V38*#REF!)/#REF!, 0)</f>
        <v>0</v>
      </c>
      <c r="DT38" s="163"/>
      <c r="DU38" s="160"/>
      <c r="DV38" s="40"/>
      <c r="DW38" s="35" t="s">
        <v>280</v>
      </c>
      <c r="DX38" s="35">
        <v>3</v>
      </c>
      <c r="DY38" s="34" t="s">
        <v>284</v>
      </c>
      <c r="DZ38" s="34"/>
    </row>
    <row r="39" spans="1:130" s="15" customFormat="1" ht="15" customHeight="1" x14ac:dyDescent="0.25">
      <c r="A39" s="52"/>
      <c r="B39" s="34" t="s">
        <v>134</v>
      </c>
      <c r="C39" s="34" t="s">
        <v>135</v>
      </c>
      <c r="D39" s="55" t="s">
        <v>337</v>
      </c>
      <c r="E39" s="34" t="s">
        <v>157</v>
      </c>
      <c r="F39" s="34" t="s">
        <v>53</v>
      </c>
      <c r="G39" s="34" t="s">
        <v>54</v>
      </c>
      <c r="H39" s="34" t="s">
        <v>55</v>
      </c>
      <c r="I39" s="106">
        <v>3186</v>
      </c>
      <c r="J39" s="55" t="s">
        <v>20</v>
      </c>
      <c r="K39" s="34" t="s">
        <v>329</v>
      </c>
      <c r="L39" s="34" t="s">
        <v>22</v>
      </c>
      <c r="M39" s="34" t="s">
        <v>28</v>
      </c>
      <c r="N39" s="34" t="s">
        <v>284</v>
      </c>
      <c r="O39" s="59" t="s">
        <v>174</v>
      </c>
      <c r="P39" s="107">
        <v>0.1</v>
      </c>
      <c r="Q39" s="34">
        <v>30</v>
      </c>
      <c r="R39" s="34">
        <v>24</v>
      </c>
      <c r="S39" s="34" t="s">
        <v>154</v>
      </c>
      <c r="T39" s="34"/>
      <c r="U39" s="108">
        <v>42000</v>
      </c>
      <c r="V39" s="108"/>
      <c r="W39" s="57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" t="s">
        <v>0</v>
      </c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1">
        <f t="shared" si="4"/>
        <v>42000</v>
      </c>
      <c r="DQ39" s="1">
        <f t="shared" si="5"/>
        <v>42000</v>
      </c>
      <c r="DR39" s="1">
        <f t="shared" si="6"/>
        <v>0</v>
      </c>
      <c r="DS39" s="141">
        <f>IFERROR((V39*#REF!)/#REF!, 0)</f>
        <v>0</v>
      </c>
      <c r="DT39" s="163"/>
      <c r="DU39" s="160"/>
      <c r="DV39" s="40"/>
      <c r="DW39" s="35" t="s">
        <v>174</v>
      </c>
      <c r="DX39" s="35">
        <v>3</v>
      </c>
      <c r="DY39" s="34" t="s">
        <v>284</v>
      </c>
      <c r="DZ39" s="34" t="s">
        <v>290</v>
      </c>
    </row>
    <row r="40" spans="1:130" s="15" customFormat="1" ht="15" customHeight="1" x14ac:dyDescent="0.25">
      <c r="A40" s="52"/>
      <c r="B40" s="34">
        <v>-37.8781751</v>
      </c>
      <c r="C40" s="34">
        <v>145.0481632</v>
      </c>
      <c r="D40" s="55" t="s">
        <v>337</v>
      </c>
      <c r="E40" s="34" t="s">
        <v>157</v>
      </c>
      <c r="F40" s="34" t="s">
        <v>427</v>
      </c>
      <c r="G40" s="34" t="s">
        <v>452</v>
      </c>
      <c r="H40" s="34" t="s">
        <v>423</v>
      </c>
      <c r="I40" s="106">
        <v>3145</v>
      </c>
      <c r="J40" s="55" t="s">
        <v>20</v>
      </c>
      <c r="K40" s="34" t="s">
        <v>189</v>
      </c>
      <c r="L40" s="34" t="s">
        <v>22</v>
      </c>
      <c r="M40" s="34" t="s">
        <v>232</v>
      </c>
      <c r="N40" s="34" t="s">
        <v>435</v>
      </c>
      <c r="O40" s="59" t="s">
        <v>215</v>
      </c>
      <c r="P40" s="107">
        <v>0.1</v>
      </c>
      <c r="Q40" s="34">
        <v>30</v>
      </c>
      <c r="R40" s="34">
        <v>24</v>
      </c>
      <c r="S40" s="34" t="s">
        <v>154</v>
      </c>
      <c r="T40" s="34"/>
      <c r="U40" s="108">
        <v>39500</v>
      </c>
      <c r="V40" s="108"/>
      <c r="W40" s="57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" t="s">
        <v>0</v>
      </c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1">
        <f t="shared" si="4"/>
        <v>39500</v>
      </c>
      <c r="DQ40" s="1">
        <f t="shared" si="5"/>
        <v>39500</v>
      </c>
      <c r="DR40" s="1">
        <f t="shared" si="6"/>
        <v>0</v>
      </c>
      <c r="DS40" s="141">
        <f>IFERROR((V40*#REF!)/#REF!, 0)</f>
        <v>0</v>
      </c>
      <c r="DT40" s="163"/>
      <c r="DU40" s="160"/>
      <c r="DV40" s="40"/>
      <c r="DW40" s="90" t="s">
        <v>215</v>
      </c>
      <c r="DX40" s="90">
        <v>3.9</v>
      </c>
      <c r="DY40" s="34" t="s">
        <v>429</v>
      </c>
      <c r="DZ40" s="34"/>
    </row>
    <row r="41" spans="1:130" s="15" customFormat="1" ht="15" customHeight="1" x14ac:dyDescent="0.25">
      <c r="A41" s="52"/>
      <c r="B41" s="34">
        <v>-37.991512884999999</v>
      </c>
      <c r="C41" s="34">
        <v>145.20967153710001</v>
      </c>
      <c r="D41" s="55" t="s">
        <v>337</v>
      </c>
      <c r="E41" s="34" t="s">
        <v>157</v>
      </c>
      <c r="F41" s="34" t="s">
        <v>424</v>
      </c>
      <c r="G41" s="34" t="s">
        <v>432</v>
      </c>
      <c r="H41" s="34" t="s">
        <v>224</v>
      </c>
      <c r="I41" s="106">
        <v>3175</v>
      </c>
      <c r="J41" s="55" t="s">
        <v>20</v>
      </c>
      <c r="K41" s="34" t="s">
        <v>188</v>
      </c>
      <c r="L41" s="34" t="s">
        <v>22</v>
      </c>
      <c r="M41" s="34" t="s">
        <v>232</v>
      </c>
      <c r="N41" s="34" t="s">
        <v>435</v>
      </c>
      <c r="O41" s="59" t="s">
        <v>215</v>
      </c>
      <c r="P41" s="107">
        <v>0.1</v>
      </c>
      <c r="Q41" s="34">
        <v>30</v>
      </c>
      <c r="R41" s="34">
        <v>24</v>
      </c>
      <c r="S41" s="34" t="s">
        <v>154</v>
      </c>
      <c r="T41" s="34"/>
      <c r="U41" s="108">
        <v>35500</v>
      </c>
      <c r="V41" s="108"/>
      <c r="W41" s="57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" t="s">
        <v>0</v>
      </c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1">
        <f t="shared" si="4"/>
        <v>35500</v>
      </c>
      <c r="DQ41" s="1">
        <f t="shared" si="5"/>
        <v>35500</v>
      </c>
      <c r="DR41" s="1">
        <f t="shared" si="6"/>
        <v>0</v>
      </c>
      <c r="DS41" s="141">
        <f>IFERROR((V41*#REF!)/#REF!, 0)</f>
        <v>0</v>
      </c>
      <c r="DT41" s="163"/>
      <c r="DU41" s="160"/>
      <c r="DV41" s="40"/>
      <c r="DW41" s="90" t="s">
        <v>215</v>
      </c>
      <c r="DX41" s="90">
        <v>3.9</v>
      </c>
      <c r="DY41" s="34" t="s">
        <v>429</v>
      </c>
      <c r="DZ41" s="34"/>
    </row>
    <row r="42" spans="1:130" s="15" customFormat="1" ht="15" customHeight="1" x14ac:dyDescent="0.25">
      <c r="A42" s="52"/>
      <c r="B42" s="34">
        <v>-37.905811</v>
      </c>
      <c r="C42" s="34">
        <v>145.053042</v>
      </c>
      <c r="D42" s="55" t="s">
        <v>337</v>
      </c>
      <c r="E42" s="34" t="s">
        <v>157</v>
      </c>
      <c r="F42" s="34" t="s">
        <v>207</v>
      </c>
      <c r="G42" s="34" t="s">
        <v>209</v>
      </c>
      <c r="H42" s="34" t="s">
        <v>208</v>
      </c>
      <c r="I42" s="106">
        <v>3204</v>
      </c>
      <c r="J42" s="55" t="s">
        <v>25</v>
      </c>
      <c r="K42" s="34" t="s">
        <v>329</v>
      </c>
      <c r="L42" s="34" t="s">
        <v>22</v>
      </c>
      <c r="M42" s="34" t="s">
        <v>211</v>
      </c>
      <c r="N42" s="34" t="s">
        <v>284</v>
      </c>
      <c r="O42" s="59" t="s">
        <v>210</v>
      </c>
      <c r="P42" s="107">
        <v>0.1</v>
      </c>
      <c r="Q42" s="34">
        <v>30</v>
      </c>
      <c r="R42" s="34">
        <v>24</v>
      </c>
      <c r="S42" s="34" t="s">
        <v>154</v>
      </c>
      <c r="T42" s="34"/>
      <c r="U42" s="108">
        <v>29000</v>
      </c>
      <c r="V42" s="108"/>
      <c r="W42" s="57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" t="s">
        <v>0</v>
      </c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1">
        <f t="shared" si="4"/>
        <v>29000</v>
      </c>
      <c r="DQ42" s="1">
        <f t="shared" si="5"/>
        <v>29000</v>
      </c>
      <c r="DR42" s="1">
        <f t="shared" si="6"/>
        <v>0</v>
      </c>
      <c r="DS42" s="141">
        <f>IFERROR((V42*#REF!)/#REF!, 0)</f>
        <v>0</v>
      </c>
      <c r="DT42" s="163"/>
      <c r="DU42" s="160"/>
      <c r="DV42" s="40"/>
      <c r="DW42" s="102" t="s">
        <v>210</v>
      </c>
      <c r="DX42" s="102">
        <v>3.8461538461538463</v>
      </c>
      <c r="DY42" s="34" t="s">
        <v>284</v>
      </c>
      <c r="DZ42" s="34"/>
    </row>
    <row r="43" spans="1:130" s="15" customFormat="1" ht="15" customHeight="1" x14ac:dyDescent="0.25">
      <c r="A43" s="52"/>
      <c r="B43" s="113"/>
      <c r="C43" s="113"/>
      <c r="D43" s="112"/>
      <c r="E43" s="113"/>
      <c r="F43" s="112" t="s">
        <v>156</v>
      </c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  <c r="AX43" s="113"/>
      <c r="AY43" s="113"/>
      <c r="AZ43" s="113"/>
      <c r="BA43" s="113"/>
      <c r="BB43" s="113"/>
      <c r="BC43" s="113"/>
      <c r="BD43" s="113"/>
      <c r="BE43" s="113"/>
      <c r="BF43" s="113"/>
      <c r="BG43" s="113"/>
      <c r="BH43" s="113"/>
      <c r="BI43" s="113"/>
      <c r="BJ43" s="113"/>
      <c r="BK43" s="113"/>
      <c r="BL43" s="113"/>
      <c r="BM43" s="113"/>
      <c r="BN43" s="113"/>
      <c r="BO43" s="113"/>
      <c r="BP43" s="113"/>
      <c r="BQ43" s="113"/>
      <c r="BR43" s="113"/>
      <c r="BS43" s="113"/>
      <c r="BT43" s="113"/>
      <c r="BU43" s="113"/>
      <c r="BV43" s="113"/>
      <c r="BW43" s="113"/>
      <c r="BX43" s="113"/>
      <c r="BY43" s="113"/>
      <c r="BZ43" s="113"/>
      <c r="CA43" s="113"/>
      <c r="CB43" s="113"/>
      <c r="CC43" s="113"/>
      <c r="CD43" s="113"/>
      <c r="CE43" s="113"/>
      <c r="CF43" s="113"/>
      <c r="CG43" s="113"/>
      <c r="CH43" s="113"/>
      <c r="CI43" s="113"/>
      <c r="CJ43" s="113"/>
      <c r="CK43" s="113"/>
      <c r="CL43" s="113"/>
      <c r="CM43" s="113"/>
      <c r="CN43" s="113"/>
      <c r="CO43" s="113"/>
      <c r="CP43" s="113"/>
      <c r="CQ43" s="113"/>
      <c r="CR43" s="113"/>
      <c r="CS43" s="113"/>
      <c r="CT43" s="113"/>
      <c r="CU43" s="113"/>
      <c r="CV43" s="113"/>
      <c r="CW43" s="113"/>
      <c r="CX43" s="113"/>
      <c r="CY43" s="113"/>
      <c r="CZ43" s="113"/>
      <c r="DA43" s="113"/>
      <c r="DB43" s="113"/>
      <c r="DC43" s="113"/>
      <c r="DD43" s="113"/>
      <c r="DE43" s="113"/>
      <c r="DF43" s="113"/>
      <c r="DG43" s="113"/>
      <c r="DH43" s="113"/>
      <c r="DI43" s="113"/>
      <c r="DJ43" s="113"/>
      <c r="DK43" s="113"/>
      <c r="DL43" s="113"/>
      <c r="DM43" s="113"/>
      <c r="DN43" s="113"/>
      <c r="DO43" s="113"/>
      <c r="DP43" s="113"/>
      <c r="DQ43" s="113"/>
      <c r="DR43" s="113"/>
      <c r="DS43" s="113"/>
      <c r="DT43" s="163"/>
      <c r="DU43" s="160"/>
      <c r="DV43" s="40"/>
      <c r="DW43" s="110"/>
      <c r="DX43" s="110"/>
      <c r="DY43" s="110"/>
      <c r="DZ43" s="111"/>
    </row>
    <row r="44" spans="1:130" s="30" customFormat="1" ht="15" customHeight="1" x14ac:dyDescent="0.25">
      <c r="A44" s="52"/>
      <c r="B44" s="55" t="s">
        <v>138</v>
      </c>
      <c r="C44" s="55" t="s">
        <v>139</v>
      </c>
      <c r="D44" s="55" t="s">
        <v>337</v>
      </c>
      <c r="E44" s="55" t="s">
        <v>156</v>
      </c>
      <c r="F44" s="55" t="s">
        <v>171</v>
      </c>
      <c r="G44" s="55" t="s">
        <v>63</v>
      </c>
      <c r="H44" s="55" t="s">
        <v>64</v>
      </c>
      <c r="I44" s="58">
        <v>4102</v>
      </c>
      <c r="J44" s="55" t="s">
        <v>25</v>
      </c>
      <c r="K44" s="55" t="s">
        <v>191</v>
      </c>
      <c r="L44" s="55" t="s">
        <v>45</v>
      </c>
      <c r="M44" s="55" t="s">
        <v>65</v>
      </c>
      <c r="N44" s="55" t="s">
        <v>284</v>
      </c>
      <c r="O44" s="59" t="s">
        <v>181</v>
      </c>
      <c r="P44" s="56">
        <v>0.1</v>
      </c>
      <c r="Q44" s="55">
        <v>8</v>
      </c>
      <c r="R44" s="55">
        <v>17</v>
      </c>
      <c r="S44" s="55" t="s">
        <v>155</v>
      </c>
      <c r="T44" s="55"/>
      <c r="U44" s="57">
        <v>48750</v>
      </c>
      <c r="V44" s="57"/>
      <c r="W44" s="57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7"/>
      <c r="AK44" s="57"/>
      <c r="AL44" s="57"/>
      <c r="AM44" s="57"/>
      <c r="AN44" s="57"/>
      <c r="AO44" s="5" t="s">
        <v>0</v>
      </c>
      <c r="AP44" s="57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1">
        <f t="shared" ref="DP44:DP55" si="7">(((($U44)*COUNTIF($X44:$DO44,$E$3))*(P44*10))+((($U44)*COUNTIF($X44:$DO44,$E$4))*(P44*10))+(($U44)*COUNTIF($X44:$DO44,$E$2))*(P44*10))</f>
        <v>48750</v>
      </c>
      <c r="DQ44" s="1">
        <f t="shared" ref="DQ44:DQ55" si="8">(($U44)*COUNTIF($X44:$DO44,$E$2))*(P44*10)</f>
        <v>48750</v>
      </c>
      <c r="DR44" s="1">
        <f t="shared" ref="DR44:DR55" si="9">(($U44)*(COUNTIF($X44:$DO44,$E$4))+(($U44)*COUNTIF($X44:$DO44,$E$3)))*(P44*10)</f>
        <v>0</v>
      </c>
      <c r="DS44" s="141">
        <f>IFERROR((V44*#REF!)/#REF!, 0)</f>
        <v>0</v>
      </c>
      <c r="DT44" s="163"/>
      <c r="DU44" s="160"/>
      <c r="DV44" s="61"/>
      <c r="DW44" s="36" t="s">
        <v>181</v>
      </c>
      <c r="DX44" s="36">
        <v>3.1538461538461537</v>
      </c>
      <c r="DY44" s="34" t="s">
        <v>284</v>
      </c>
      <c r="DZ44" s="34" t="s">
        <v>290</v>
      </c>
    </row>
    <row r="45" spans="1:130" s="15" customFormat="1" ht="15" customHeight="1" x14ac:dyDescent="0.25">
      <c r="A45" s="52"/>
      <c r="B45" s="55" t="s">
        <v>142</v>
      </c>
      <c r="C45" s="55" t="s">
        <v>143</v>
      </c>
      <c r="D45" s="55" t="s">
        <v>337</v>
      </c>
      <c r="E45" s="55" t="s">
        <v>156</v>
      </c>
      <c r="F45" s="55" t="s">
        <v>75</v>
      </c>
      <c r="G45" s="55" t="s">
        <v>76</v>
      </c>
      <c r="H45" s="55" t="s">
        <v>77</v>
      </c>
      <c r="I45" s="58">
        <v>4006</v>
      </c>
      <c r="J45" s="55" t="s">
        <v>25</v>
      </c>
      <c r="K45" s="55" t="s">
        <v>317</v>
      </c>
      <c r="L45" s="55" t="s">
        <v>22</v>
      </c>
      <c r="M45" s="55" t="s">
        <v>28</v>
      </c>
      <c r="N45" s="55" t="s">
        <v>284</v>
      </c>
      <c r="O45" s="59" t="s">
        <v>174</v>
      </c>
      <c r="P45" s="56">
        <v>0.1</v>
      </c>
      <c r="Q45" s="55">
        <v>8</v>
      </c>
      <c r="R45" s="55">
        <v>17</v>
      </c>
      <c r="S45" s="55" t="s">
        <v>155</v>
      </c>
      <c r="T45" s="55"/>
      <c r="U45" s="57">
        <v>48750</v>
      </c>
      <c r="V45" s="57"/>
      <c r="W45" s="57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7"/>
      <c r="AK45" s="57"/>
      <c r="AL45" s="57"/>
      <c r="AM45" s="5" t="s">
        <v>0</v>
      </c>
      <c r="AN45" s="57"/>
      <c r="AO45" s="57"/>
      <c r="AP45" s="57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 s="1">
        <f t="shared" si="7"/>
        <v>48750</v>
      </c>
      <c r="DQ45" s="1">
        <f t="shared" si="8"/>
        <v>48750</v>
      </c>
      <c r="DR45" s="1">
        <f t="shared" si="9"/>
        <v>0</v>
      </c>
      <c r="DS45" s="141">
        <f>IFERROR((V45*#REF!)/#REF!, 0)</f>
        <v>0</v>
      </c>
      <c r="DT45" s="163"/>
      <c r="DU45" s="160"/>
      <c r="DV45" s="61"/>
      <c r="DW45" s="35" t="s">
        <v>174</v>
      </c>
      <c r="DX45" s="35">
        <v>3</v>
      </c>
      <c r="DY45" s="34" t="s">
        <v>284</v>
      </c>
      <c r="DZ45" s="34" t="s">
        <v>290</v>
      </c>
    </row>
    <row r="46" spans="1:130" s="15" customFormat="1" ht="15" customHeight="1" x14ac:dyDescent="0.25">
      <c r="A46" s="52"/>
      <c r="B46" s="55">
        <v>-27.484456000000002</v>
      </c>
      <c r="C46" s="55">
        <v>153.03607400000001</v>
      </c>
      <c r="D46" s="55" t="s">
        <v>337</v>
      </c>
      <c r="E46" s="55" t="s">
        <v>156</v>
      </c>
      <c r="F46" s="55" t="s">
        <v>293</v>
      </c>
      <c r="G46" s="55" t="s">
        <v>294</v>
      </c>
      <c r="H46" s="55" t="s">
        <v>64</v>
      </c>
      <c r="I46" s="58">
        <v>4102</v>
      </c>
      <c r="J46" s="55" t="s">
        <v>25</v>
      </c>
      <c r="K46" s="55" t="s">
        <v>334</v>
      </c>
      <c r="L46" s="55" t="s">
        <v>22</v>
      </c>
      <c r="M46" s="55" t="s">
        <v>295</v>
      </c>
      <c r="N46" s="55" t="s">
        <v>99</v>
      </c>
      <c r="O46" s="59" t="s">
        <v>296</v>
      </c>
      <c r="P46" s="56">
        <v>0.1</v>
      </c>
      <c r="Q46" s="55">
        <v>10</v>
      </c>
      <c r="R46" s="55">
        <v>16</v>
      </c>
      <c r="S46" s="55" t="s">
        <v>169</v>
      </c>
      <c r="T46" s="55"/>
      <c r="U46" s="57">
        <v>46000</v>
      </c>
      <c r="V46" s="57"/>
      <c r="W46" s="57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" t="s">
        <v>0</v>
      </c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 s="1">
        <f t="shared" si="7"/>
        <v>46000</v>
      </c>
      <c r="DQ46" s="1">
        <f t="shared" si="8"/>
        <v>46000</v>
      </c>
      <c r="DR46" s="1">
        <f t="shared" si="9"/>
        <v>0</v>
      </c>
      <c r="DS46" s="141">
        <f>IFERROR((V46*#REF!)/#REF!, 0)</f>
        <v>0</v>
      </c>
      <c r="DT46" s="163"/>
      <c r="DU46" s="160"/>
      <c r="DV46" s="61"/>
      <c r="DW46" s="36" t="s">
        <v>296</v>
      </c>
      <c r="DX46" s="36">
        <v>0.63333333000000003</v>
      </c>
      <c r="DY46" s="34" t="s">
        <v>99</v>
      </c>
      <c r="DZ46" s="34"/>
    </row>
    <row r="47" spans="1:130" s="15" customFormat="1" ht="15" customHeight="1" x14ac:dyDescent="0.25">
      <c r="A47" s="52"/>
      <c r="B47" s="55">
        <v>-27.455501999999999</v>
      </c>
      <c r="C47" s="55">
        <v>153.03815</v>
      </c>
      <c r="D47" s="55" t="s">
        <v>337</v>
      </c>
      <c r="E47" s="55" t="s">
        <v>156</v>
      </c>
      <c r="F47" s="55" t="s">
        <v>227</v>
      </c>
      <c r="G47" s="55" t="s">
        <v>226</v>
      </c>
      <c r="H47" s="55" t="s">
        <v>66</v>
      </c>
      <c r="I47" s="58">
        <v>4006</v>
      </c>
      <c r="J47" s="55" t="s">
        <v>25</v>
      </c>
      <c r="K47" s="55" t="s">
        <v>335</v>
      </c>
      <c r="L47" s="55" t="s">
        <v>22</v>
      </c>
      <c r="M47" s="55" t="s">
        <v>49</v>
      </c>
      <c r="N47" s="55" t="s">
        <v>284</v>
      </c>
      <c r="O47" s="59" t="s">
        <v>198</v>
      </c>
      <c r="P47" s="56">
        <v>0.1</v>
      </c>
      <c r="Q47" s="55">
        <v>8</v>
      </c>
      <c r="R47" s="55">
        <v>16</v>
      </c>
      <c r="S47" s="55" t="s">
        <v>169</v>
      </c>
      <c r="T47" s="55"/>
      <c r="U47" s="57">
        <v>42000</v>
      </c>
      <c r="V47" s="57"/>
      <c r="W47" s="57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7"/>
      <c r="AK47" s="57"/>
      <c r="AL47" s="57"/>
      <c r="AN47" s="57"/>
      <c r="AO47" s="57"/>
      <c r="AP47" s="57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" t="s">
        <v>0</v>
      </c>
      <c r="BD47" s="51"/>
      <c r="BE47" s="51"/>
      <c r="BF47" s="57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 s="1">
        <f t="shared" si="7"/>
        <v>42000</v>
      </c>
      <c r="DQ47" s="1">
        <f t="shared" si="8"/>
        <v>42000</v>
      </c>
      <c r="DR47" s="1">
        <f t="shared" si="9"/>
        <v>0</v>
      </c>
      <c r="DS47" s="141">
        <f>IFERROR((V47*#REF!)/#REF!, 0)</f>
        <v>0</v>
      </c>
      <c r="DT47" s="163"/>
      <c r="DU47" s="160"/>
      <c r="DV47" s="40"/>
      <c r="DW47" s="101" t="s">
        <v>198</v>
      </c>
      <c r="DX47" s="101">
        <v>4.1111111111111107</v>
      </c>
      <c r="DY47" s="34" t="s">
        <v>284</v>
      </c>
      <c r="DZ47" s="34" t="s">
        <v>290</v>
      </c>
    </row>
    <row r="48" spans="1:130" s="15" customFormat="1" ht="15" customHeight="1" x14ac:dyDescent="0.25">
      <c r="A48" s="52"/>
      <c r="B48" s="55">
        <v>-27.474789000000001</v>
      </c>
      <c r="C48" s="55">
        <v>153.03605099999999</v>
      </c>
      <c r="D48" s="55" t="s">
        <v>337</v>
      </c>
      <c r="E48" s="55" t="s">
        <v>156</v>
      </c>
      <c r="F48" s="55" t="s">
        <v>200</v>
      </c>
      <c r="G48" s="55" t="s">
        <v>201</v>
      </c>
      <c r="H48" s="55" t="s">
        <v>146</v>
      </c>
      <c r="I48" s="58">
        <v>4169</v>
      </c>
      <c r="J48" s="55" t="s">
        <v>20</v>
      </c>
      <c r="K48" s="55" t="s">
        <v>334</v>
      </c>
      <c r="L48" s="55" t="s">
        <v>22</v>
      </c>
      <c r="M48" s="55" t="s">
        <v>26</v>
      </c>
      <c r="N48" s="55" t="s">
        <v>284</v>
      </c>
      <c r="O48" s="59" t="s">
        <v>175</v>
      </c>
      <c r="P48" s="56">
        <v>0.1</v>
      </c>
      <c r="Q48" s="55">
        <v>8</v>
      </c>
      <c r="R48" s="55">
        <v>16</v>
      </c>
      <c r="S48" s="55" t="s">
        <v>169</v>
      </c>
      <c r="T48" s="55"/>
      <c r="U48" s="57">
        <v>38000</v>
      </c>
      <c r="V48" s="57"/>
      <c r="W48" s="57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7"/>
      <c r="AK48" s="57"/>
      <c r="AL48" s="57"/>
      <c r="AM48" s="57"/>
      <c r="AN48" s="57"/>
      <c r="AO48" s="57"/>
      <c r="AP48" s="57"/>
      <c r="AQ48" s="51"/>
      <c r="AR48" s="51"/>
      <c r="AS48" s="51"/>
      <c r="AT48" s="51"/>
      <c r="AU48" s="51"/>
      <c r="AV48" s="51"/>
      <c r="AW48" s="51"/>
      <c r="AX48" s="5" t="s">
        <v>0</v>
      </c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1">
        <f t="shared" si="7"/>
        <v>38000</v>
      </c>
      <c r="DQ48" s="1">
        <f t="shared" si="8"/>
        <v>38000</v>
      </c>
      <c r="DR48" s="1">
        <f t="shared" si="9"/>
        <v>0</v>
      </c>
      <c r="DS48" s="141">
        <f>IFERROR((V48*#REF!)/#REF!, 0)</f>
        <v>0</v>
      </c>
      <c r="DT48" s="163"/>
      <c r="DU48" s="160"/>
      <c r="DV48" s="40"/>
      <c r="DW48" s="37" t="s">
        <v>175</v>
      </c>
      <c r="DX48" s="37">
        <v>3.7777777777777777</v>
      </c>
      <c r="DY48" s="34" t="s">
        <v>284</v>
      </c>
      <c r="DZ48" s="34"/>
    </row>
    <row r="49" spans="1:130" s="15" customFormat="1" ht="15" customHeight="1" x14ac:dyDescent="0.25">
      <c r="A49" s="52"/>
      <c r="B49" s="55">
        <v>-27.154156</v>
      </c>
      <c r="C49" s="55">
        <v>152.978039</v>
      </c>
      <c r="D49" s="55" t="s">
        <v>337</v>
      </c>
      <c r="E49" s="55" t="s">
        <v>156</v>
      </c>
      <c r="F49" s="55" t="s">
        <v>343</v>
      </c>
      <c r="G49" s="55" t="s">
        <v>341</v>
      </c>
      <c r="H49" s="55" t="s">
        <v>342</v>
      </c>
      <c r="I49" s="58">
        <v>4505</v>
      </c>
      <c r="J49" s="55" t="s">
        <v>74</v>
      </c>
      <c r="K49" s="55" t="s">
        <v>192</v>
      </c>
      <c r="L49" s="55" t="s">
        <v>22</v>
      </c>
      <c r="M49" s="55" t="s">
        <v>244</v>
      </c>
      <c r="N49" s="55" t="s">
        <v>284</v>
      </c>
      <c r="O49" s="59" t="s">
        <v>286</v>
      </c>
      <c r="P49" s="56">
        <v>0.1</v>
      </c>
      <c r="Q49" s="55">
        <v>40</v>
      </c>
      <c r="R49" s="55">
        <v>24</v>
      </c>
      <c r="S49" s="55" t="s">
        <v>154</v>
      </c>
      <c r="T49" s="55"/>
      <c r="U49" s="57">
        <v>35500</v>
      </c>
      <c r="V49" s="57"/>
      <c r="W49" s="57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" t="s">
        <v>0</v>
      </c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 s="1">
        <f t="shared" si="7"/>
        <v>35500</v>
      </c>
      <c r="DQ49" s="1">
        <f t="shared" si="8"/>
        <v>35500</v>
      </c>
      <c r="DR49" s="1">
        <f t="shared" si="9"/>
        <v>0</v>
      </c>
      <c r="DS49" s="141">
        <f>IFERROR((V49*#REF!)/#REF!, 0)</f>
        <v>0</v>
      </c>
      <c r="DT49" s="163"/>
      <c r="DU49" s="160"/>
      <c r="DV49" s="40"/>
      <c r="DW49" s="131" t="s">
        <v>245</v>
      </c>
      <c r="DX49" s="131">
        <v>3.0833333333333335</v>
      </c>
      <c r="DY49" s="34" t="s">
        <v>284</v>
      </c>
      <c r="DZ49" s="34"/>
    </row>
    <row r="50" spans="1:130" s="15" customFormat="1" ht="15" customHeight="1" x14ac:dyDescent="0.25">
      <c r="A50" s="52"/>
      <c r="B50" s="55">
        <v>-27.447859000000001</v>
      </c>
      <c r="C50" s="55">
        <v>153.03730100000001</v>
      </c>
      <c r="D50" s="55" t="s">
        <v>337</v>
      </c>
      <c r="E50" s="55" t="s">
        <v>156</v>
      </c>
      <c r="F50" s="55" t="s">
        <v>281</v>
      </c>
      <c r="G50" s="55" t="s">
        <v>282</v>
      </c>
      <c r="H50" s="55" t="s">
        <v>77</v>
      </c>
      <c r="I50" s="58">
        <v>4006</v>
      </c>
      <c r="J50" s="55" t="s">
        <v>25</v>
      </c>
      <c r="K50" s="55" t="s">
        <v>317</v>
      </c>
      <c r="L50" s="55" t="s">
        <v>22</v>
      </c>
      <c r="M50" s="55" t="s">
        <v>244</v>
      </c>
      <c r="N50" s="55" t="s">
        <v>284</v>
      </c>
      <c r="O50" s="59" t="s">
        <v>283</v>
      </c>
      <c r="P50" s="56">
        <v>0.1</v>
      </c>
      <c r="Q50" s="55">
        <v>8</v>
      </c>
      <c r="R50" s="55">
        <v>16</v>
      </c>
      <c r="S50" s="55" t="s">
        <v>169</v>
      </c>
      <c r="T50" s="55"/>
      <c r="U50" s="57">
        <v>30250</v>
      </c>
      <c r="V50" s="57"/>
      <c r="W50" s="57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" t="s">
        <v>0</v>
      </c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1">
        <f t="shared" si="7"/>
        <v>30250</v>
      </c>
      <c r="DQ50" s="1">
        <f t="shared" si="8"/>
        <v>30250</v>
      </c>
      <c r="DR50" s="1">
        <f t="shared" si="9"/>
        <v>0</v>
      </c>
      <c r="DS50" s="141">
        <f>IFERROR((V50*#REF!)/#REF!, 0)</f>
        <v>0</v>
      </c>
      <c r="DT50" s="163"/>
      <c r="DU50" s="160"/>
      <c r="DV50" s="40"/>
      <c r="DW50" s="91" t="s">
        <v>283</v>
      </c>
      <c r="DX50" s="34">
        <v>3.04</v>
      </c>
      <c r="DY50" s="34" t="s">
        <v>284</v>
      </c>
      <c r="DZ50" s="34"/>
    </row>
    <row r="51" spans="1:130" s="15" customFormat="1" ht="15" customHeight="1" x14ac:dyDescent="0.25">
      <c r="A51" s="52"/>
      <c r="B51" s="55">
        <v>-27.5290949</v>
      </c>
      <c r="C51" s="55">
        <v>153.019012</v>
      </c>
      <c r="D51" s="55" t="s">
        <v>337</v>
      </c>
      <c r="E51" s="55" t="s">
        <v>156</v>
      </c>
      <c r="F51" s="55" t="s">
        <v>439</v>
      </c>
      <c r="G51" s="55" t="s">
        <v>438</v>
      </c>
      <c r="H51" s="55" t="s">
        <v>453</v>
      </c>
      <c r="I51" s="58">
        <v>4105</v>
      </c>
      <c r="J51" s="55" t="s">
        <v>428</v>
      </c>
      <c r="K51" s="55" t="s">
        <v>96</v>
      </c>
      <c r="L51" s="55" t="s">
        <v>22</v>
      </c>
      <c r="M51" s="55" t="s">
        <v>232</v>
      </c>
      <c r="N51" s="55" t="s">
        <v>284</v>
      </c>
      <c r="O51" s="59" t="s">
        <v>215</v>
      </c>
      <c r="P51" s="56">
        <v>0.1</v>
      </c>
      <c r="Q51" s="55">
        <v>10</v>
      </c>
      <c r="R51" s="55">
        <v>24</v>
      </c>
      <c r="S51" s="55" t="s">
        <v>154</v>
      </c>
      <c r="T51" s="55"/>
      <c r="U51" s="57">
        <v>30250</v>
      </c>
      <c r="V51" s="57"/>
      <c r="W51" s="57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" t="s">
        <v>0</v>
      </c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 s="1">
        <f t="shared" si="7"/>
        <v>30250</v>
      </c>
      <c r="DQ51" s="1">
        <f t="shared" si="8"/>
        <v>30250</v>
      </c>
      <c r="DR51" s="1">
        <f t="shared" si="9"/>
        <v>0</v>
      </c>
      <c r="DS51" s="141">
        <f>IFERROR((V51*#REF!)/#REF!, 0)</f>
        <v>0</v>
      </c>
      <c r="DT51" s="163"/>
      <c r="DU51" s="160"/>
      <c r="DV51" s="40"/>
      <c r="DW51" s="90" t="s">
        <v>215</v>
      </c>
      <c r="DX51" s="90">
        <v>3.9</v>
      </c>
      <c r="DY51" s="34" t="s">
        <v>284</v>
      </c>
      <c r="DZ51" s="34"/>
    </row>
    <row r="52" spans="1:130" s="15" customFormat="1" ht="15" customHeight="1" x14ac:dyDescent="0.25">
      <c r="A52" s="52"/>
      <c r="B52" s="55">
        <v>-27.557272999999999</v>
      </c>
      <c r="C52" s="55">
        <v>153.005752</v>
      </c>
      <c r="D52" s="55" t="s">
        <v>337</v>
      </c>
      <c r="E52" s="55" t="s">
        <v>156</v>
      </c>
      <c r="F52" s="55" t="s">
        <v>287</v>
      </c>
      <c r="G52" s="55" t="s">
        <v>288</v>
      </c>
      <c r="H52" s="55" t="s">
        <v>289</v>
      </c>
      <c r="I52" s="58">
        <v>4106</v>
      </c>
      <c r="J52" s="55" t="s">
        <v>25</v>
      </c>
      <c r="K52" s="55" t="s">
        <v>96</v>
      </c>
      <c r="L52" s="55" t="s">
        <v>22</v>
      </c>
      <c r="M52" s="55" t="s">
        <v>244</v>
      </c>
      <c r="N52" s="55" t="s">
        <v>284</v>
      </c>
      <c r="O52" s="59" t="s">
        <v>286</v>
      </c>
      <c r="P52" s="56">
        <v>0.1</v>
      </c>
      <c r="Q52" s="55">
        <v>45</v>
      </c>
      <c r="R52" s="55">
        <v>16</v>
      </c>
      <c r="S52" s="55" t="s">
        <v>169</v>
      </c>
      <c r="T52" s="55"/>
      <c r="U52" s="57">
        <v>29000</v>
      </c>
      <c r="V52" s="57"/>
      <c r="W52" s="57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" t="s">
        <v>0</v>
      </c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1">
        <f t="shared" si="7"/>
        <v>29000</v>
      </c>
      <c r="DQ52" s="1">
        <f t="shared" si="8"/>
        <v>29000</v>
      </c>
      <c r="DR52" s="1">
        <f t="shared" si="9"/>
        <v>0</v>
      </c>
      <c r="DS52" s="141">
        <f>IFERROR((V52*#REF!)/#REF!, 0)</f>
        <v>0</v>
      </c>
      <c r="DT52" s="163"/>
      <c r="DU52" s="160"/>
      <c r="DV52" s="40"/>
      <c r="DW52" s="131" t="s">
        <v>286</v>
      </c>
      <c r="DX52" s="131">
        <v>3.0833333333333335</v>
      </c>
      <c r="DY52" s="34" t="s">
        <v>284</v>
      </c>
      <c r="DZ52" s="34"/>
    </row>
    <row r="53" spans="1:130" s="15" customFormat="1" ht="15" customHeight="1" x14ac:dyDescent="0.25">
      <c r="A53" s="52"/>
      <c r="B53" s="55" t="s">
        <v>147</v>
      </c>
      <c r="C53" s="55" t="s">
        <v>148</v>
      </c>
      <c r="D53" s="55" t="s">
        <v>337</v>
      </c>
      <c r="E53" s="55" t="s">
        <v>156</v>
      </c>
      <c r="F53" s="55" t="s">
        <v>166</v>
      </c>
      <c r="G53" s="55" t="s">
        <v>105</v>
      </c>
      <c r="H53" s="55" t="s">
        <v>106</v>
      </c>
      <c r="I53" s="58">
        <v>4151</v>
      </c>
      <c r="J53" s="55" t="s">
        <v>25</v>
      </c>
      <c r="K53" s="55" t="s">
        <v>329</v>
      </c>
      <c r="L53" s="55" t="s">
        <v>22</v>
      </c>
      <c r="M53" s="55" t="s">
        <v>82</v>
      </c>
      <c r="N53" s="55" t="s">
        <v>284</v>
      </c>
      <c r="O53" s="59" t="s">
        <v>180</v>
      </c>
      <c r="P53" s="56">
        <v>0.1</v>
      </c>
      <c r="Q53" s="55">
        <v>10</v>
      </c>
      <c r="R53" s="55">
        <v>16</v>
      </c>
      <c r="S53" s="55" t="s">
        <v>169</v>
      </c>
      <c r="T53" s="55"/>
      <c r="U53" s="57">
        <v>23750</v>
      </c>
      <c r="V53" s="57"/>
      <c r="W53" s="57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7"/>
      <c r="AK53" s="57"/>
      <c r="AL53" s="57"/>
      <c r="AM53" s="57"/>
      <c r="AN53" s="5" t="s">
        <v>0</v>
      </c>
      <c r="AO53" s="57"/>
      <c r="AP53" s="57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1">
        <f t="shared" si="7"/>
        <v>23750</v>
      </c>
      <c r="DQ53" s="1">
        <f t="shared" si="8"/>
        <v>23750</v>
      </c>
      <c r="DR53" s="1">
        <f t="shared" si="9"/>
        <v>0</v>
      </c>
      <c r="DS53" s="141">
        <f>IFERROR((V53*#REF!)/#REF!, 0)</f>
        <v>0</v>
      </c>
      <c r="DT53" s="163"/>
      <c r="DU53" s="160"/>
      <c r="DV53" s="40"/>
      <c r="DW53" s="35" t="s">
        <v>180</v>
      </c>
      <c r="DX53" s="35">
        <v>3</v>
      </c>
      <c r="DY53" s="34" t="s">
        <v>284</v>
      </c>
      <c r="DZ53" s="34" t="s">
        <v>290</v>
      </c>
    </row>
    <row r="54" spans="1:130" s="15" customFormat="1" ht="15" customHeight="1" x14ac:dyDescent="0.25">
      <c r="A54" s="52"/>
      <c r="B54" s="55">
        <v>-27.958580900000001</v>
      </c>
      <c r="C54" s="55">
        <v>153.37921679999999</v>
      </c>
      <c r="D54" s="55" t="s">
        <v>337</v>
      </c>
      <c r="E54" s="55" t="s">
        <v>156</v>
      </c>
      <c r="F54" s="55" t="s">
        <v>69</v>
      </c>
      <c r="G54" s="55" t="s">
        <v>70</v>
      </c>
      <c r="H54" s="55" t="s">
        <v>71</v>
      </c>
      <c r="I54" s="58">
        <v>4215</v>
      </c>
      <c r="J54" s="55" t="s">
        <v>72</v>
      </c>
      <c r="K54" s="55" t="s">
        <v>331</v>
      </c>
      <c r="L54" s="55" t="s">
        <v>22</v>
      </c>
      <c r="M54" s="55" t="s">
        <v>73</v>
      </c>
      <c r="N54" s="55" t="s">
        <v>284</v>
      </c>
      <c r="O54" s="59" t="s">
        <v>183</v>
      </c>
      <c r="P54" s="56">
        <v>0.1</v>
      </c>
      <c r="Q54" s="55">
        <v>10</v>
      </c>
      <c r="R54" s="55">
        <v>24</v>
      </c>
      <c r="S54" s="55" t="s">
        <v>154</v>
      </c>
      <c r="T54" s="55"/>
      <c r="U54" s="57">
        <v>18500</v>
      </c>
      <c r="V54" s="57"/>
      <c r="W54" s="57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7"/>
      <c r="AK54" s="57"/>
      <c r="AL54" s="57"/>
      <c r="AM54" s="57"/>
      <c r="AN54" s="57"/>
      <c r="AO54" s="57"/>
      <c r="AP54" s="57"/>
      <c r="AQ54" s="51"/>
      <c r="AR54" s="51"/>
      <c r="AS54" s="51"/>
      <c r="AT54" s="51"/>
      <c r="AU54" s="51"/>
      <c r="AV54" s="51"/>
      <c r="AW54" s="5" t="s">
        <v>0</v>
      </c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1">
        <f t="shared" si="7"/>
        <v>18500</v>
      </c>
      <c r="DQ54" s="1">
        <f t="shared" si="8"/>
        <v>18500</v>
      </c>
      <c r="DR54" s="1">
        <f t="shared" si="9"/>
        <v>0</v>
      </c>
      <c r="DS54" s="141">
        <f>IFERROR((V54*#REF!)/#REF!, 0)</f>
        <v>0</v>
      </c>
      <c r="DT54" s="163"/>
      <c r="DU54" s="160"/>
      <c r="DV54" s="40"/>
      <c r="DW54" s="104" t="s">
        <v>183</v>
      </c>
      <c r="DX54" s="104">
        <v>3.7142857142857144</v>
      </c>
      <c r="DY54" s="34" t="s">
        <v>284</v>
      </c>
      <c r="DZ54" s="34"/>
    </row>
    <row r="55" spans="1:130" s="15" customFormat="1" ht="15" customHeight="1" x14ac:dyDescent="0.25">
      <c r="A55" s="52"/>
      <c r="B55" s="55">
        <v>-27.492270000000001</v>
      </c>
      <c r="C55" s="55">
        <v>153.064627</v>
      </c>
      <c r="D55" s="55" t="s">
        <v>337</v>
      </c>
      <c r="E55" s="55" t="s">
        <v>156</v>
      </c>
      <c r="F55" s="55" t="s">
        <v>256</v>
      </c>
      <c r="G55" s="55" t="s">
        <v>257</v>
      </c>
      <c r="H55" s="55" t="s">
        <v>106</v>
      </c>
      <c r="I55" s="58">
        <v>4151</v>
      </c>
      <c r="J55" s="55" t="s">
        <v>25</v>
      </c>
      <c r="K55" s="55" t="s">
        <v>329</v>
      </c>
      <c r="L55" s="55" t="s">
        <v>22</v>
      </c>
      <c r="M55" s="55" t="s">
        <v>102</v>
      </c>
      <c r="N55" s="55" t="s">
        <v>99</v>
      </c>
      <c r="O55" s="59" t="s">
        <v>258</v>
      </c>
      <c r="P55" s="56">
        <v>0.1</v>
      </c>
      <c r="Q55" s="55">
        <v>8</v>
      </c>
      <c r="R55" s="55">
        <v>16</v>
      </c>
      <c r="S55" s="55" t="s">
        <v>169</v>
      </c>
      <c r="T55" s="55"/>
      <c r="U55" s="57">
        <v>17000</v>
      </c>
      <c r="V55" s="57"/>
      <c r="W55" s="57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7"/>
      <c r="AK55" s="57"/>
      <c r="AL55" s="57"/>
      <c r="AM55" s="57"/>
      <c r="AN55" s="57"/>
      <c r="AO55" s="57"/>
      <c r="AP55" s="57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" t="s">
        <v>0</v>
      </c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1">
        <f t="shared" si="7"/>
        <v>17000</v>
      </c>
      <c r="DQ55" s="1">
        <f t="shared" si="8"/>
        <v>17000</v>
      </c>
      <c r="DR55" s="1">
        <f t="shared" si="9"/>
        <v>0</v>
      </c>
      <c r="DS55" s="141">
        <f>IFERROR((V55*#REF!)/#REF!, 0)</f>
        <v>0</v>
      </c>
      <c r="DT55" s="164"/>
      <c r="DU55" s="161"/>
      <c r="DV55" s="40"/>
      <c r="DW55" s="100" t="s">
        <v>258</v>
      </c>
      <c r="DX55" s="100">
        <v>0.64</v>
      </c>
      <c r="DY55" s="34" t="s">
        <v>99</v>
      </c>
      <c r="DZ55" s="34" t="s">
        <v>290</v>
      </c>
    </row>
    <row r="56" spans="1:130" s="14" customFormat="1" ht="15" customHeight="1" x14ac:dyDescent="0.25">
      <c r="B56" s="63"/>
      <c r="C56" s="63"/>
      <c r="D56" s="63"/>
      <c r="E56" s="63"/>
      <c r="F56" s="114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6"/>
      <c r="V56" s="66"/>
      <c r="W56" s="66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7">
        <f t="shared" ref="DP56:DU56" si="10">SUM(DP11:DP55)</f>
        <v>2348750</v>
      </c>
      <c r="DQ56" s="67">
        <f t="shared" si="10"/>
        <v>2348750</v>
      </c>
      <c r="DR56" s="67">
        <f t="shared" si="10"/>
        <v>0</v>
      </c>
      <c r="DS56" s="68">
        <f t="shared" si="10"/>
        <v>0</v>
      </c>
      <c r="DT56" s="68">
        <f t="shared" si="10"/>
        <v>0</v>
      </c>
      <c r="DU56" s="69">
        <f t="shared" si="10"/>
        <v>87500</v>
      </c>
      <c r="DV56" s="16"/>
      <c r="DW56" s="63"/>
      <c r="DX56" s="65"/>
      <c r="DY56" s="63"/>
      <c r="DZ56" s="64"/>
    </row>
    <row r="57" spans="1:130" s="15" customFormat="1" ht="16.5" customHeight="1" x14ac:dyDescent="0.25">
      <c r="B57" s="16"/>
      <c r="C57" s="16"/>
      <c r="D57" s="16"/>
      <c r="E57" s="70" t="s">
        <v>339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</row>
    <row r="58" spans="1:130" s="15" customFormat="1" ht="16.5" customHeight="1" x14ac:dyDescent="0.25">
      <c r="B58" s="16"/>
      <c r="C58" s="16"/>
      <c r="D58" s="16"/>
      <c r="E58" s="50" t="s">
        <v>269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</row>
    <row r="59" spans="1:130" s="15" customFormat="1" ht="17.25" customHeight="1" x14ac:dyDescent="0.25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73" t="s">
        <v>253</v>
      </c>
      <c r="DQ59" s="74"/>
      <c r="DR59" s="74"/>
      <c r="DS59" s="74"/>
      <c r="DT59" s="74"/>
      <c r="DU59" s="75"/>
      <c r="DV59" s="16"/>
      <c r="DW59" s="16"/>
      <c r="DX59" s="16"/>
      <c r="DY59" s="16"/>
      <c r="DZ59" s="16"/>
    </row>
    <row r="60" spans="1:130" s="15" customFormat="1" ht="17.25" customHeight="1" x14ac:dyDescent="0.25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29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76" t="s">
        <v>324</v>
      </c>
      <c r="DQ60" s="77"/>
      <c r="DR60" s="77"/>
      <c r="DS60" s="77"/>
      <c r="DT60" s="77"/>
      <c r="DU60" s="78">
        <f>SUMIF(D:D,"Digital Large Format",DP:DP)+SUMIF(D:D,"Static Large Format",DP:DP)</f>
        <v>2348750</v>
      </c>
      <c r="DV60" s="24"/>
      <c r="DW60" s="16"/>
      <c r="DX60" s="16"/>
      <c r="DY60" s="16"/>
      <c r="DZ60" s="16"/>
    </row>
    <row r="61" spans="1:130" s="15" customFormat="1" ht="17.25" customHeight="1" x14ac:dyDescent="0.25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29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79" t="s">
        <v>254</v>
      </c>
      <c r="DQ61" s="80"/>
      <c r="DR61" s="80"/>
      <c r="DS61" s="80"/>
      <c r="DT61" s="80"/>
      <c r="DU61" s="81">
        <f>SUMIF(D:D,"Digital Large Format",DT:DT)+SUMIF(D:D,"Digital Large Format",DU:DU)+SUMIF(D:D,"Digital Large Format",DS:DS)+SUMIF(D:D,"Static Large Format",DT:DT)+SUMIF(D:D,"Static Large Format",DU:DU)+SUMIF(D:D,"Static Large Format",DS:DS)+DU64</f>
        <v>87500</v>
      </c>
      <c r="DV61" s="23"/>
      <c r="DW61" s="16"/>
      <c r="DX61" s="16"/>
      <c r="DY61" s="16"/>
      <c r="DZ61" s="16"/>
    </row>
    <row r="62" spans="1:130" s="15" customFormat="1" ht="17.25" customHeight="1" x14ac:dyDescent="0.25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29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79" t="s">
        <v>325</v>
      </c>
      <c r="DQ62" s="82"/>
      <c r="DR62" s="82"/>
      <c r="DS62" s="82"/>
      <c r="DT62" s="82"/>
      <c r="DU62" s="83">
        <f>SUMIF(D:D,"Digital Large Format",DU:DU)+SUMIF(D:D,"Static Large Format",DU:DU)</f>
        <v>87500</v>
      </c>
      <c r="DV62" s="23"/>
      <c r="DW62" s="16"/>
      <c r="DX62" s="16"/>
      <c r="DY62" s="16"/>
      <c r="DZ62" s="16"/>
    </row>
    <row r="63" spans="1:130" s="15" customFormat="1" ht="17.25" customHeight="1" x14ac:dyDescent="0.25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29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79" t="s">
        <v>15</v>
      </c>
      <c r="DQ63" s="92"/>
      <c r="DR63" s="92"/>
      <c r="DS63" s="92"/>
      <c r="DT63" s="92"/>
      <c r="DU63" s="93">
        <f>IFERROR(((DU60-DU62)/DU60),0)</f>
        <v>0.96274614156466209</v>
      </c>
      <c r="DV63" s="23"/>
      <c r="DW63" s="16"/>
      <c r="DX63" s="16"/>
      <c r="DY63" s="16"/>
      <c r="DZ63" s="16"/>
    </row>
    <row r="64" spans="1:130" s="15" customFormat="1" ht="17.25" customHeight="1" x14ac:dyDescent="0.25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29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94" t="s">
        <v>345</v>
      </c>
      <c r="DQ64" s="95"/>
      <c r="DR64" s="96" t="s">
        <v>346</v>
      </c>
      <c r="DS64" s="95"/>
      <c r="DT64" s="95"/>
      <c r="DU64" s="97">
        <f>IF(DR64="YES", SUMIFS(#REF!, D:D, "Static Large Format", DT:DT, "&gt;0")*15,0)</f>
        <v>0</v>
      </c>
      <c r="DV64" s="23"/>
      <c r="DW64" s="16"/>
      <c r="DX64" s="16"/>
      <c r="DY64" s="16"/>
      <c r="DZ64" s="16"/>
    </row>
    <row r="65" spans="2:130" s="15" customFormat="1" ht="17.25" customHeight="1" x14ac:dyDescent="0.2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29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</row>
    <row r="212" spans="7:7" ht="12.75" hidden="1" customHeight="1" x14ac:dyDescent="0.25">
      <c r="G212" s="13" t="s">
        <v>267</v>
      </c>
    </row>
    <row r="213" spans="7:7" ht="12.75" hidden="1" customHeight="1" x14ac:dyDescent="0.25">
      <c r="G213" s="13" t="s">
        <v>360</v>
      </c>
    </row>
    <row r="214" spans="7:7" ht="12.75" hidden="1" customHeight="1" x14ac:dyDescent="0.25">
      <c r="G214" s="13" t="s">
        <v>361</v>
      </c>
    </row>
    <row r="215" spans="7:7" ht="12.75" hidden="1" customHeight="1" x14ac:dyDescent="0.25">
      <c r="G215" s="13" t="s">
        <v>362</v>
      </c>
    </row>
    <row r="216" spans="7:7" ht="12.75" hidden="1" customHeight="1" x14ac:dyDescent="0.25">
      <c r="G216" s="13" t="s">
        <v>363</v>
      </c>
    </row>
    <row r="217" spans="7:7" ht="12.75" hidden="1" customHeight="1" x14ac:dyDescent="0.25">
      <c r="G217" s="13" t="s">
        <v>364</v>
      </c>
    </row>
    <row r="218" spans="7:7" ht="12.75" hidden="1" customHeight="1" x14ac:dyDescent="0.25">
      <c r="G218" s="13" t="s">
        <v>365</v>
      </c>
    </row>
    <row r="219" spans="7:7" ht="12.75" hidden="1" customHeight="1" x14ac:dyDescent="0.25">
      <c r="G219" s="13" t="s">
        <v>366</v>
      </c>
    </row>
    <row r="220" spans="7:7" ht="12.75" hidden="1" customHeight="1" x14ac:dyDescent="0.25">
      <c r="G220" s="13" t="s">
        <v>367</v>
      </c>
    </row>
    <row r="221" spans="7:7" ht="12.75" hidden="1" customHeight="1" x14ac:dyDescent="0.25">
      <c r="G221" s="13" t="s">
        <v>368</v>
      </c>
    </row>
    <row r="222" spans="7:7" ht="12.75" hidden="1" customHeight="1" x14ac:dyDescent="0.25">
      <c r="G222" s="13" t="s">
        <v>369</v>
      </c>
    </row>
    <row r="223" spans="7:7" ht="12.75" hidden="1" customHeight="1" x14ac:dyDescent="0.25">
      <c r="G223" s="13" t="s">
        <v>370</v>
      </c>
    </row>
  </sheetData>
  <sheetProtection selectLockedCells="1" selectUnlockedCells="1"/>
  <mergeCells count="51">
    <mergeCell ref="DU13:DU55"/>
    <mergeCell ref="DT13:DT55"/>
    <mergeCell ref="CV7:CY7"/>
    <mergeCell ref="CZ7:DC7"/>
    <mergeCell ref="DD7:DG7"/>
    <mergeCell ref="DH7:DK7"/>
    <mergeCell ref="DL7:DO7"/>
    <mergeCell ref="CR7:CU7"/>
    <mergeCell ref="AZ7:BC7"/>
    <mergeCell ref="BD7:BG7"/>
    <mergeCell ref="BH7:BK7"/>
    <mergeCell ref="BL7:BO7"/>
    <mergeCell ref="BP7:BS7"/>
    <mergeCell ref="BT7:BW7"/>
    <mergeCell ref="BX7:CA7"/>
    <mergeCell ref="CB7:CE7"/>
    <mergeCell ref="CF7:CI7"/>
    <mergeCell ref="CJ7:CM7"/>
    <mergeCell ref="CN7:CQ7"/>
    <mergeCell ref="DH6:DK6"/>
    <mergeCell ref="DL6:DO6"/>
    <mergeCell ref="X7:AA7"/>
    <mergeCell ref="AB7:AE7"/>
    <mergeCell ref="AF7:AI7"/>
    <mergeCell ref="AJ7:AM7"/>
    <mergeCell ref="AN7:AQ7"/>
    <mergeCell ref="AR7:AU7"/>
    <mergeCell ref="AV7:AY7"/>
    <mergeCell ref="CJ6:CM6"/>
    <mergeCell ref="CN6:CQ6"/>
    <mergeCell ref="CR6:CU6"/>
    <mergeCell ref="CV6:CY6"/>
    <mergeCell ref="CZ6:DC6"/>
    <mergeCell ref="DD6:DG6"/>
    <mergeCell ref="CF6:CI6"/>
    <mergeCell ref="CB6:CE6"/>
    <mergeCell ref="AJ6:AM6"/>
    <mergeCell ref="B1:C2"/>
    <mergeCell ref="X6:AA6"/>
    <mergeCell ref="AB6:AE6"/>
    <mergeCell ref="AF6:AI6"/>
    <mergeCell ref="BH6:BK6"/>
    <mergeCell ref="BL6:BO6"/>
    <mergeCell ref="BP6:BS6"/>
    <mergeCell ref="BT6:BW6"/>
    <mergeCell ref="BX6:CA6"/>
    <mergeCell ref="AN6:AQ6"/>
    <mergeCell ref="AR6:AU6"/>
    <mergeCell ref="AV6:AY6"/>
    <mergeCell ref="AZ6:BC6"/>
    <mergeCell ref="BD6:BG6"/>
  </mergeCells>
  <pageMargins left="0.7" right="0.7" top="0.75" bottom="0.75" header="0.3" footer="0.3"/>
  <pageSetup paperSize="8" scale="2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FF11-0FD5-4A98-8F01-6784B9632957}">
  <sheetPr>
    <tabColor theme="4"/>
    <pageSetUpPr fitToPage="1"/>
  </sheetPr>
  <dimension ref="A1:DZ229"/>
  <sheetViews>
    <sheetView zoomScale="70" zoomScaleNormal="70" workbookViewId="0">
      <pane xSplit="7" ySplit="8" topLeftCell="BS28" activePane="bottomRight" state="frozen"/>
      <selection pane="topRight" activeCell="I1" sqref="I1"/>
      <selection pane="bottomLeft" activeCell="A9" sqref="A9"/>
      <selection pane="bottomRight" activeCell="AL13" sqref="AL13:CA18"/>
    </sheetView>
  </sheetViews>
  <sheetFormatPr defaultColWidth="9.42578125" defaultRowHeight="12.75" x14ac:dyDescent="0.25"/>
  <cols>
    <col min="1" max="1" width="3.28515625" style="7" customWidth="1"/>
    <col min="2" max="2" width="13" style="13" customWidth="1"/>
    <col min="3" max="3" width="13.5703125" style="13" customWidth="1"/>
    <col min="4" max="4" width="23.85546875" style="13" customWidth="1"/>
    <col min="5" max="5" width="8.7109375" style="13" customWidth="1"/>
    <col min="6" max="6" width="21.42578125" style="13" bestFit="1" customWidth="1"/>
    <col min="7" max="7" width="56.140625" style="13" bestFit="1" customWidth="1"/>
    <col min="8" max="8" width="22.42578125" style="13" bestFit="1" customWidth="1"/>
    <col min="9" max="9" width="13.5703125" style="13" customWidth="1"/>
    <col min="10" max="11" width="20" style="13" customWidth="1"/>
    <col min="12" max="12" width="23.85546875" style="13" bestFit="1" customWidth="1"/>
    <col min="13" max="13" width="15.5703125" style="13" bestFit="1" customWidth="1"/>
    <col min="14" max="14" width="13.5703125" style="13" customWidth="1"/>
    <col min="15" max="15" width="22.7109375" style="13" customWidth="1"/>
    <col min="16" max="18" width="13.5703125" style="13" customWidth="1"/>
    <col min="19" max="19" width="17.5703125" style="13" customWidth="1"/>
    <col min="20" max="20" width="21.42578125" style="13" customWidth="1"/>
    <col min="21" max="21" width="23.85546875" style="31" customWidth="1"/>
    <col min="22" max="23" width="10" style="31" customWidth="1"/>
    <col min="24" max="35" width="3.7109375" style="7" hidden="1" customWidth="1"/>
    <col min="36" max="67" width="3.7109375" style="7" customWidth="1"/>
    <col min="68" max="79" width="3.5703125" style="7" customWidth="1"/>
    <col min="80" max="119" width="3.5703125" style="7" hidden="1" customWidth="1"/>
    <col min="120" max="122" width="16.42578125" style="13" customWidth="1"/>
    <col min="123" max="124" width="16.42578125" style="32" customWidth="1"/>
    <col min="125" max="125" width="16.42578125" style="13" customWidth="1"/>
    <col min="126" max="126" width="3.5703125" style="7" customWidth="1"/>
    <col min="127" max="127" width="27.42578125" style="13" customWidth="1"/>
    <col min="128" max="128" width="14.140625" style="7" customWidth="1"/>
    <col min="129" max="130" width="14.140625" style="13" customWidth="1"/>
    <col min="131" max="16384" width="9.42578125" style="7"/>
  </cols>
  <sheetData>
    <row r="1" spans="1:130" ht="15.75" customHeight="1" x14ac:dyDescent="0.25">
      <c r="B1" s="152"/>
      <c r="C1" s="153"/>
      <c r="D1" s="9"/>
      <c r="E1" s="9"/>
      <c r="F1" s="9"/>
      <c r="G1" s="9"/>
      <c r="H1" s="41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0"/>
      <c r="V1" s="10"/>
      <c r="W1" s="10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9"/>
      <c r="DQ1" s="9"/>
      <c r="DR1" s="9"/>
      <c r="DS1" s="12"/>
      <c r="DT1" s="12"/>
      <c r="DU1" s="9"/>
      <c r="DV1" s="11"/>
      <c r="DW1" s="9"/>
      <c r="DY1" s="9"/>
      <c r="DZ1" s="9"/>
    </row>
    <row r="2" spans="1:130" ht="15.75" customHeight="1" x14ac:dyDescent="0.25">
      <c r="B2" s="154"/>
      <c r="C2" s="155"/>
      <c r="E2" s="5" t="s">
        <v>0</v>
      </c>
      <c r="F2" s="27" t="s">
        <v>83</v>
      </c>
      <c r="G2" s="10"/>
      <c r="H2" s="41"/>
      <c r="I2" s="10"/>
      <c r="J2" s="10"/>
      <c r="K2" s="10"/>
      <c r="L2" s="10"/>
      <c r="M2" s="10"/>
      <c r="N2" s="10"/>
      <c r="O2" s="9"/>
      <c r="P2" s="10"/>
      <c r="Q2" s="10"/>
      <c r="R2" s="9"/>
      <c r="S2" s="10"/>
      <c r="T2" s="10"/>
      <c r="U2" s="10"/>
      <c r="V2" s="10"/>
      <c r="W2" s="10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9"/>
      <c r="DQ2" s="11"/>
      <c r="DR2" s="9"/>
      <c r="DS2" s="12"/>
      <c r="DT2" s="12"/>
      <c r="DU2" s="9"/>
      <c r="DV2" s="11"/>
      <c r="DW2" s="9"/>
      <c r="DY2" s="10"/>
      <c r="DZ2" s="10"/>
    </row>
    <row r="3" spans="1:130" ht="15.75" customHeight="1" x14ac:dyDescent="0.25">
      <c r="B3" s="7"/>
      <c r="C3" s="139"/>
      <c r="E3" s="6" t="s">
        <v>1</v>
      </c>
      <c r="F3" s="27" t="s">
        <v>84</v>
      </c>
      <c r="G3" s="10"/>
      <c r="H3" s="41"/>
      <c r="I3" s="10"/>
      <c r="J3" s="53"/>
      <c r="K3" s="10"/>
      <c r="L3" s="10"/>
      <c r="M3" s="10"/>
      <c r="N3" s="10"/>
      <c r="O3" s="9"/>
      <c r="P3" s="10"/>
      <c r="Q3" s="10"/>
      <c r="R3" s="9"/>
      <c r="S3" s="10"/>
      <c r="T3" s="10"/>
      <c r="U3" s="10"/>
      <c r="V3" s="10"/>
      <c r="W3" s="10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9"/>
      <c r="DQ3" s="11"/>
      <c r="DR3" s="9"/>
      <c r="DS3" s="12"/>
      <c r="DT3" s="12"/>
      <c r="DU3" s="9"/>
      <c r="DV3" s="11"/>
      <c r="DW3" s="9"/>
      <c r="DY3" s="10"/>
      <c r="DZ3" s="10"/>
    </row>
    <row r="4" spans="1:130" ht="15.75" customHeight="1" x14ac:dyDescent="0.25">
      <c r="B4" s="7"/>
      <c r="C4" s="139"/>
      <c r="D4" s="7"/>
      <c r="E4" s="3" t="s">
        <v>2</v>
      </c>
      <c r="F4" s="27" t="s">
        <v>2</v>
      </c>
      <c r="G4" s="10"/>
      <c r="H4" s="41"/>
      <c r="I4" s="10"/>
      <c r="J4" s="53"/>
      <c r="K4" s="10"/>
      <c r="L4" s="10"/>
      <c r="M4" s="10"/>
      <c r="N4" s="10"/>
      <c r="O4" s="9"/>
      <c r="P4" s="10"/>
      <c r="Q4" s="10"/>
      <c r="R4" s="9"/>
      <c r="S4" s="10"/>
      <c r="T4" s="10"/>
      <c r="U4" s="10"/>
      <c r="V4" s="10"/>
      <c r="W4" s="10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9"/>
      <c r="DQ4" s="11"/>
      <c r="DR4" s="9"/>
      <c r="DS4" s="12"/>
      <c r="DT4" s="12"/>
      <c r="DU4" s="9"/>
      <c r="DV4" s="11"/>
      <c r="DW4" s="9"/>
      <c r="DY4" s="10"/>
      <c r="DZ4" s="10"/>
    </row>
    <row r="5" spans="1:130" ht="15.75" customHeight="1" x14ac:dyDescent="0.25">
      <c r="B5" s="7"/>
      <c r="C5" s="140"/>
      <c r="E5" s="4" t="s">
        <v>203</v>
      </c>
      <c r="F5" s="27" t="s">
        <v>204</v>
      </c>
      <c r="G5" s="10"/>
      <c r="H5" s="49"/>
      <c r="I5" s="10"/>
      <c r="J5" s="53"/>
      <c r="K5" s="10"/>
      <c r="L5" s="10"/>
      <c r="M5" s="10"/>
      <c r="N5" s="10"/>
      <c r="O5" s="9"/>
      <c r="P5" s="10"/>
      <c r="Q5" s="10"/>
      <c r="R5" s="9"/>
      <c r="S5" s="10"/>
      <c r="T5" s="10"/>
      <c r="U5" s="10"/>
      <c r="V5" s="10"/>
      <c r="W5" s="10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9"/>
      <c r="DQ5" s="11"/>
      <c r="DR5" s="9"/>
      <c r="DS5" s="12"/>
      <c r="DT5" s="12"/>
      <c r="DU5" s="28"/>
      <c r="DV5" s="11"/>
      <c r="DW5" s="9"/>
      <c r="DY5" s="10"/>
      <c r="DZ5" s="10"/>
    </row>
    <row r="6" spans="1:130" s="13" customFormat="1" ht="18.75" customHeight="1" x14ac:dyDescent="0.25">
      <c r="A6" s="7"/>
      <c r="B6" s="7"/>
      <c r="C6" s="139"/>
      <c r="D6" s="72"/>
      <c r="E6" s="48"/>
      <c r="F6" s="48"/>
      <c r="G6" s="48"/>
      <c r="H6" s="54"/>
      <c r="I6" s="48"/>
      <c r="J6" s="54"/>
      <c r="K6" s="130"/>
      <c r="L6" s="72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149" t="s">
        <v>5</v>
      </c>
      <c r="Y6" s="150"/>
      <c r="Z6" s="150"/>
      <c r="AA6" s="151"/>
      <c r="AB6" s="149" t="s">
        <v>255</v>
      </c>
      <c r="AC6" s="150"/>
      <c r="AD6" s="150"/>
      <c r="AE6" s="151"/>
      <c r="AF6" s="149" t="s">
        <v>6</v>
      </c>
      <c r="AG6" s="150"/>
      <c r="AH6" s="150"/>
      <c r="AI6" s="151"/>
      <c r="AJ6" s="149" t="s">
        <v>7</v>
      </c>
      <c r="AK6" s="150"/>
      <c r="AL6" s="150"/>
      <c r="AM6" s="151"/>
      <c r="AN6" s="149" t="s">
        <v>8</v>
      </c>
      <c r="AO6" s="150"/>
      <c r="AP6" s="150"/>
      <c r="AQ6" s="151"/>
      <c r="AR6" s="149" t="s">
        <v>9</v>
      </c>
      <c r="AS6" s="150"/>
      <c r="AT6" s="150"/>
      <c r="AU6" s="151"/>
      <c r="AV6" s="149" t="s">
        <v>10</v>
      </c>
      <c r="AW6" s="150"/>
      <c r="AX6" s="150"/>
      <c r="AY6" s="151"/>
      <c r="AZ6" s="149" t="s">
        <v>11</v>
      </c>
      <c r="BA6" s="150"/>
      <c r="BB6" s="150"/>
      <c r="BC6" s="151"/>
      <c r="BD6" s="149" t="s">
        <v>246</v>
      </c>
      <c r="BE6" s="150"/>
      <c r="BF6" s="150"/>
      <c r="BG6" s="151"/>
      <c r="BH6" s="149" t="s">
        <v>247</v>
      </c>
      <c r="BI6" s="150"/>
      <c r="BJ6" s="150"/>
      <c r="BK6" s="151"/>
      <c r="BL6" s="149" t="s">
        <v>202</v>
      </c>
      <c r="BM6" s="150"/>
      <c r="BN6" s="150"/>
      <c r="BO6" s="151"/>
      <c r="BP6" s="149" t="s">
        <v>3</v>
      </c>
      <c r="BQ6" s="150"/>
      <c r="BR6" s="150"/>
      <c r="BS6" s="151"/>
      <c r="BT6" s="149" t="s">
        <v>4</v>
      </c>
      <c r="BU6" s="150"/>
      <c r="BV6" s="150"/>
      <c r="BW6" s="151"/>
      <c r="BX6" s="149" t="s">
        <v>5</v>
      </c>
      <c r="BY6" s="150"/>
      <c r="BZ6" s="150"/>
      <c r="CA6" s="151"/>
      <c r="CB6" s="149" t="s">
        <v>255</v>
      </c>
      <c r="CC6" s="150"/>
      <c r="CD6" s="150"/>
      <c r="CE6" s="151"/>
      <c r="CF6" s="149" t="s">
        <v>6</v>
      </c>
      <c r="CG6" s="150"/>
      <c r="CH6" s="150"/>
      <c r="CI6" s="151"/>
      <c r="CJ6" s="149" t="s">
        <v>7</v>
      </c>
      <c r="CK6" s="150"/>
      <c r="CL6" s="150"/>
      <c r="CM6" s="151"/>
      <c r="CN6" s="149" t="s">
        <v>8</v>
      </c>
      <c r="CO6" s="150"/>
      <c r="CP6" s="150"/>
      <c r="CQ6" s="151"/>
      <c r="CR6" s="149" t="s">
        <v>9</v>
      </c>
      <c r="CS6" s="150"/>
      <c r="CT6" s="150"/>
      <c r="CU6" s="151"/>
      <c r="CV6" s="149" t="s">
        <v>10</v>
      </c>
      <c r="CW6" s="150"/>
      <c r="CX6" s="150"/>
      <c r="CY6" s="151"/>
      <c r="CZ6" s="149" t="s">
        <v>11</v>
      </c>
      <c r="DA6" s="150"/>
      <c r="DB6" s="150"/>
      <c r="DC6" s="151"/>
      <c r="DD6" s="149" t="s">
        <v>246</v>
      </c>
      <c r="DE6" s="150"/>
      <c r="DF6" s="150"/>
      <c r="DG6" s="151"/>
      <c r="DH6" s="149" t="s">
        <v>247</v>
      </c>
      <c r="DI6" s="150"/>
      <c r="DJ6" s="150"/>
      <c r="DK6" s="151"/>
      <c r="DL6" s="149" t="s">
        <v>202</v>
      </c>
      <c r="DM6" s="150"/>
      <c r="DN6" s="150"/>
      <c r="DO6" s="151"/>
      <c r="DP6" s="42"/>
      <c r="DQ6" s="43"/>
      <c r="DR6" s="42"/>
      <c r="DS6" s="44"/>
      <c r="DT6" s="44"/>
      <c r="DU6" s="45"/>
      <c r="DV6" s="43"/>
      <c r="DW6" s="46"/>
      <c r="DX6" s="46"/>
      <c r="DY6" s="46"/>
      <c r="DZ6" s="46"/>
    </row>
    <row r="7" spans="1:130" s="13" customFormat="1" ht="18.75" customHeight="1" x14ac:dyDescent="0.25">
      <c r="A7" s="7"/>
      <c r="B7" s="7"/>
      <c r="C7" s="139"/>
      <c r="D7" s="72"/>
      <c r="E7" s="48"/>
      <c r="F7" s="48"/>
      <c r="G7" s="48"/>
      <c r="H7" s="48"/>
      <c r="I7" s="48"/>
      <c r="J7" s="54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156" t="s">
        <v>349</v>
      </c>
      <c r="Y7" s="157"/>
      <c r="Z7" s="157"/>
      <c r="AA7" s="158"/>
      <c r="AB7" s="156" t="s">
        <v>371</v>
      </c>
      <c r="AC7" s="157"/>
      <c r="AD7" s="157"/>
      <c r="AE7" s="158"/>
      <c r="AF7" s="156" t="s">
        <v>389</v>
      </c>
      <c r="AG7" s="157"/>
      <c r="AH7" s="157"/>
      <c r="AI7" s="158"/>
      <c r="AJ7" s="156" t="s">
        <v>390</v>
      </c>
      <c r="AK7" s="157"/>
      <c r="AL7" s="157"/>
      <c r="AM7" s="158"/>
      <c r="AN7" s="156" t="s">
        <v>391</v>
      </c>
      <c r="AO7" s="157"/>
      <c r="AP7" s="157"/>
      <c r="AQ7" s="158"/>
      <c r="AR7" s="156" t="s">
        <v>392</v>
      </c>
      <c r="AS7" s="157"/>
      <c r="AT7" s="157"/>
      <c r="AU7" s="158"/>
      <c r="AV7" s="156" t="s">
        <v>393</v>
      </c>
      <c r="AW7" s="157"/>
      <c r="AX7" s="157"/>
      <c r="AY7" s="158"/>
      <c r="AZ7" s="156" t="s">
        <v>394</v>
      </c>
      <c r="BA7" s="157"/>
      <c r="BB7" s="157"/>
      <c r="BC7" s="158"/>
      <c r="BD7" s="156" t="s">
        <v>395</v>
      </c>
      <c r="BE7" s="157"/>
      <c r="BF7" s="157"/>
      <c r="BG7" s="158"/>
      <c r="BH7" s="156" t="s">
        <v>396</v>
      </c>
      <c r="BI7" s="157"/>
      <c r="BJ7" s="157"/>
      <c r="BK7" s="158"/>
      <c r="BL7" s="156" t="s">
        <v>397</v>
      </c>
      <c r="BM7" s="157"/>
      <c r="BN7" s="157"/>
      <c r="BO7" s="158"/>
      <c r="BP7" s="156" t="s">
        <v>398</v>
      </c>
      <c r="BQ7" s="157"/>
      <c r="BR7" s="157"/>
      <c r="BS7" s="158"/>
      <c r="BT7" s="156" t="s">
        <v>437</v>
      </c>
      <c r="BU7" s="157"/>
      <c r="BV7" s="157"/>
      <c r="BW7" s="158"/>
      <c r="BX7" s="156" t="s">
        <v>440</v>
      </c>
      <c r="BY7" s="157"/>
      <c r="BZ7" s="157"/>
      <c r="CA7" s="158"/>
      <c r="CB7" s="156" t="s">
        <v>441</v>
      </c>
      <c r="CC7" s="157"/>
      <c r="CD7" s="157"/>
      <c r="CE7" s="158"/>
      <c r="CF7" s="156" t="s">
        <v>442</v>
      </c>
      <c r="CG7" s="157"/>
      <c r="CH7" s="157"/>
      <c r="CI7" s="158"/>
      <c r="CJ7" s="156" t="s">
        <v>443</v>
      </c>
      <c r="CK7" s="157"/>
      <c r="CL7" s="157"/>
      <c r="CM7" s="158"/>
      <c r="CN7" s="156" t="s">
        <v>444</v>
      </c>
      <c r="CO7" s="157"/>
      <c r="CP7" s="157"/>
      <c r="CQ7" s="158"/>
      <c r="CR7" s="156" t="s">
        <v>445</v>
      </c>
      <c r="CS7" s="157"/>
      <c r="CT7" s="157"/>
      <c r="CU7" s="158"/>
      <c r="CV7" s="156" t="s">
        <v>446</v>
      </c>
      <c r="CW7" s="157"/>
      <c r="CX7" s="157"/>
      <c r="CY7" s="158"/>
      <c r="CZ7" s="156" t="s">
        <v>447</v>
      </c>
      <c r="DA7" s="157"/>
      <c r="DB7" s="157"/>
      <c r="DC7" s="158"/>
      <c r="DD7" s="156" t="s">
        <v>449</v>
      </c>
      <c r="DE7" s="157"/>
      <c r="DF7" s="157"/>
      <c r="DG7" s="158"/>
      <c r="DH7" s="156" t="s">
        <v>450</v>
      </c>
      <c r="DI7" s="157"/>
      <c r="DJ7" s="157"/>
      <c r="DK7" s="158"/>
      <c r="DL7" s="156" t="s">
        <v>451</v>
      </c>
      <c r="DM7" s="157"/>
      <c r="DN7" s="157"/>
      <c r="DO7" s="158"/>
      <c r="DP7" s="42"/>
      <c r="DQ7" s="43"/>
      <c r="DR7" s="42"/>
      <c r="DS7" s="44"/>
      <c r="DT7" s="44"/>
      <c r="DU7" s="45"/>
      <c r="DV7" s="43"/>
      <c r="DW7" s="46"/>
      <c r="DX7" s="46"/>
      <c r="DY7" s="46"/>
      <c r="DZ7" s="46"/>
    </row>
    <row r="8" spans="1:130" s="14" customFormat="1" ht="54" customHeight="1" x14ac:dyDescent="0.25">
      <c r="A8" s="7"/>
      <c r="B8" s="135" t="s">
        <v>111</v>
      </c>
      <c r="C8" s="135" t="s">
        <v>112</v>
      </c>
      <c r="D8" s="60" t="s">
        <v>323</v>
      </c>
      <c r="E8" s="26" t="s">
        <v>34</v>
      </c>
      <c r="F8" s="26" t="s">
        <v>347</v>
      </c>
      <c r="G8" s="26" t="s">
        <v>348</v>
      </c>
      <c r="H8" s="26" t="s">
        <v>33</v>
      </c>
      <c r="I8" s="26" t="s">
        <v>170</v>
      </c>
      <c r="J8" s="26" t="s">
        <v>35</v>
      </c>
      <c r="K8" s="60" t="s">
        <v>194</v>
      </c>
      <c r="L8" s="26" t="s">
        <v>37</v>
      </c>
      <c r="M8" s="26" t="s">
        <v>36</v>
      </c>
      <c r="N8" s="26" t="s">
        <v>285</v>
      </c>
      <c r="O8" s="26" t="s">
        <v>184</v>
      </c>
      <c r="P8" s="26" t="s">
        <v>259</v>
      </c>
      <c r="Q8" s="26" t="s">
        <v>260</v>
      </c>
      <c r="R8" s="26" t="s">
        <v>197</v>
      </c>
      <c r="S8" s="26" t="s">
        <v>150</v>
      </c>
      <c r="T8" s="26" t="s">
        <v>340</v>
      </c>
      <c r="U8" s="33" t="s">
        <v>338</v>
      </c>
      <c r="V8" s="33" t="s">
        <v>38</v>
      </c>
      <c r="W8" s="33" t="s">
        <v>13</v>
      </c>
      <c r="X8" s="85">
        <v>46174</v>
      </c>
      <c r="Y8" s="25">
        <v>46181</v>
      </c>
      <c r="Z8" s="25">
        <v>46188</v>
      </c>
      <c r="AA8" s="25">
        <v>46195</v>
      </c>
      <c r="AB8" s="25">
        <v>46202</v>
      </c>
      <c r="AC8" s="84">
        <v>46209</v>
      </c>
      <c r="AD8" s="84">
        <v>46216</v>
      </c>
      <c r="AE8" s="25">
        <v>46223</v>
      </c>
      <c r="AF8" s="25">
        <v>46230</v>
      </c>
      <c r="AG8" s="25">
        <v>46237</v>
      </c>
      <c r="AH8" s="25">
        <v>46244</v>
      </c>
      <c r="AI8" s="25">
        <v>46251</v>
      </c>
      <c r="AJ8" s="25">
        <v>46258</v>
      </c>
      <c r="AK8" s="25">
        <v>46265</v>
      </c>
      <c r="AL8" s="138">
        <v>46272</v>
      </c>
      <c r="AM8" s="138">
        <v>46279</v>
      </c>
      <c r="AN8" s="138">
        <v>46286</v>
      </c>
      <c r="AO8" s="138">
        <v>46293</v>
      </c>
      <c r="AP8" s="138">
        <v>46300</v>
      </c>
      <c r="AQ8" s="138">
        <v>46307</v>
      </c>
      <c r="AR8" s="138">
        <v>46314</v>
      </c>
      <c r="AS8" s="138">
        <v>46321</v>
      </c>
      <c r="AT8" s="137">
        <v>46328</v>
      </c>
      <c r="AU8" s="137">
        <v>46335</v>
      </c>
      <c r="AV8" s="137">
        <v>46342</v>
      </c>
      <c r="AW8" s="137">
        <v>46349</v>
      </c>
      <c r="AX8" s="137">
        <v>46356</v>
      </c>
      <c r="AY8" s="137">
        <v>46363</v>
      </c>
      <c r="AZ8" s="137">
        <v>46370</v>
      </c>
      <c r="BA8" s="137">
        <v>46377</v>
      </c>
      <c r="BB8" s="137">
        <v>46384</v>
      </c>
      <c r="BC8" s="138">
        <v>46391</v>
      </c>
      <c r="BD8" s="138">
        <v>46398</v>
      </c>
      <c r="BE8" s="138">
        <v>46405</v>
      </c>
      <c r="BF8" s="138">
        <v>46412</v>
      </c>
      <c r="BG8" s="138">
        <v>46419</v>
      </c>
      <c r="BH8" s="138">
        <v>46426</v>
      </c>
      <c r="BI8" s="138">
        <v>46433</v>
      </c>
      <c r="BJ8" s="138">
        <v>46440</v>
      </c>
      <c r="BK8" s="138">
        <v>46447</v>
      </c>
      <c r="BL8" s="138">
        <v>46454</v>
      </c>
      <c r="BM8" s="138">
        <v>46461</v>
      </c>
      <c r="BN8" s="138">
        <v>46468</v>
      </c>
      <c r="BO8" s="137">
        <v>46475</v>
      </c>
      <c r="BP8" s="137">
        <v>46482</v>
      </c>
      <c r="BQ8" s="137">
        <v>46489</v>
      </c>
      <c r="BR8" s="137">
        <v>46496</v>
      </c>
      <c r="BS8" s="137">
        <v>46503</v>
      </c>
      <c r="BT8" s="137">
        <v>46510</v>
      </c>
      <c r="BU8" s="137">
        <v>46517</v>
      </c>
      <c r="BV8" s="137">
        <v>46524</v>
      </c>
      <c r="BW8" s="137">
        <v>46531</v>
      </c>
      <c r="BX8" s="137">
        <v>46538</v>
      </c>
      <c r="BY8" s="137">
        <v>46545</v>
      </c>
      <c r="BZ8" s="137">
        <v>46552</v>
      </c>
      <c r="CA8" s="137">
        <v>46559</v>
      </c>
      <c r="CB8" s="25">
        <v>46566</v>
      </c>
      <c r="CC8" s="25">
        <v>46573</v>
      </c>
      <c r="CD8" s="25">
        <v>46580</v>
      </c>
      <c r="CE8" s="25">
        <v>46587</v>
      </c>
      <c r="CF8" s="25">
        <v>46594</v>
      </c>
      <c r="CG8" s="25">
        <v>46601</v>
      </c>
      <c r="CH8" s="25">
        <v>46608</v>
      </c>
      <c r="CI8" s="25">
        <v>46615</v>
      </c>
      <c r="CJ8" s="25">
        <v>46622</v>
      </c>
      <c r="CK8" s="25">
        <v>46629</v>
      </c>
      <c r="CL8" s="25">
        <v>46636</v>
      </c>
      <c r="CM8" s="25">
        <v>46643</v>
      </c>
      <c r="CN8" s="25">
        <v>46650</v>
      </c>
      <c r="CO8" s="25">
        <v>46657</v>
      </c>
      <c r="CP8" s="25">
        <v>46664</v>
      </c>
      <c r="CQ8" s="25">
        <v>46671</v>
      </c>
      <c r="CR8" s="25">
        <v>46678</v>
      </c>
      <c r="CS8" s="25">
        <v>46685</v>
      </c>
      <c r="CT8" s="25">
        <v>46692</v>
      </c>
      <c r="CU8" s="25">
        <v>46699</v>
      </c>
      <c r="CV8" s="25">
        <v>46706</v>
      </c>
      <c r="CW8" s="25">
        <v>46713</v>
      </c>
      <c r="CX8" s="25">
        <v>46720</v>
      </c>
      <c r="CY8" s="25">
        <v>46727</v>
      </c>
      <c r="CZ8" s="25">
        <v>46734</v>
      </c>
      <c r="DA8" s="25">
        <v>46741</v>
      </c>
      <c r="DB8" s="25">
        <v>46748</v>
      </c>
      <c r="DC8" s="25">
        <v>46755</v>
      </c>
      <c r="DD8" s="25">
        <v>46762</v>
      </c>
      <c r="DE8" s="25">
        <v>46769</v>
      </c>
      <c r="DF8" s="25">
        <v>46776</v>
      </c>
      <c r="DG8" s="25">
        <v>46783</v>
      </c>
      <c r="DH8" s="25">
        <f>DG8+7</f>
        <v>46790</v>
      </c>
      <c r="DI8" s="25">
        <f t="shared" ref="DI8:DO8" si="0">DH8+7</f>
        <v>46797</v>
      </c>
      <c r="DJ8" s="25">
        <f t="shared" si="0"/>
        <v>46804</v>
      </c>
      <c r="DK8" s="25">
        <f t="shared" si="0"/>
        <v>46811</v>
      </c>
      <c r="DL8" s="25">
        <f t="shared" si="0"/>
        <v>46818</v>
      </c>
      <c r="DM8" s="25">
        <f t="shared" si="0"/>
        <v>46825</v>
      </c>
      <c r="DN8" s="25">
        <f t="shared" si="0"/>
        <v>46832</v>
      </c>
      <c r="DO8" s="25">
        <f t="shared" si="0"/>
        <v>46839</v>
      </c>
      <c r="DP8" s="26" t="s">
        <v>195</v>
      </c>
      <c r="DQ8" s="26" t="s">
        <v>263</v>
      </c>
      <c r="DR8" s="26" t="s">
        <v>196</v>
      </c>
      <c r="DS8" s="71" t="s">
        <v>12</v>
      </c>
      <c r="DT8" s="71" t="s">
        <v>13</v>
      </c>
      <c r="DU8" s="136" t="s">
        <v>455</v>
      </c>
      <c r="DV8" s="47"/>
      <c r="DW8" s="144" t="s">
        <v>184</v>
      </c>
      <c r="DX8" s="144" t="s">
        <v>252</v>
      </c>
      <c r="DY8" s="144" t="s">
        <v>285</v>
      </c>
      <c r="DZ8" s="144" t="s">
        <v>291</v>
      </c>
    </row>
    <row r="9" spans="1:130" s="15" customFormat="1" ht="15" customHeight="1" x14ac:dyDescent="0.25">
      <c r="A9" s="7"/>
      <c r="B9" s="16"/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/>
      <c r="V9" s="18"/>
      <c r="W9" s="18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20"/>
      <c r="DQ9" s="20"/>
      <c r="DR9" s="20"/>
      <c r="DS9" s="21"/>
      <c r="DT9" s="21"/>
      <c r="DU9" s="22"/>
      <c r="DV9" s="23"/>
      <c r="DW9" s="17"/>
      <c r="DX9" s="8"/>
      <c r="DY9" s="17"/>
      <c r="DZ9" s="17"/>
    </row>
    <row r="10" spans="1:130" s="15" customFormat="1" ht="6.6" customHeight="1" x14ac:dyDescent="0.25">
      <c r="A10" s="7"/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  <c r="V10" s="18"/>
      <c r="W10" s="18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20"/>
      <c r="DQ10" s="20"/>
      <c r="DR10" s="20"/>
      <c r="DS10" s="21"/>
      <c r="DT10" s="21"/>
      <c r="DU10" s="22"/>
      <c r="DV10" s="23"/>
      <c r="DW10" s="17"/>
      <c r="DX10" s="8"/>
      <c r="DY10" s="17"/>
      <c r="DZ10" s="17"/>
    </row>
    <row r="11" spans="1:130" s="15" customFormat="1" ht="15" hidden="1" customHeight="1" x14ac:dyDescent="0.25">
      <c r="A11" s="7"/>
      <c r="B11" s="16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8"/>
      <c r="W11" s="18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20"/>
      <c r="DQ11" s="20"/>
      <c r="DR11" s="20"/>
      <c r="DS11" s="21"/>
      <c r="DT11" s="21"/>
      <c r="DU11" s="22"/>
      <c r="DV11" s="23"/>
      <c r="DW11" s="17"/>
      <c r="DX11" s="8"/>
      <c r="DY11" s="17"/>
      <c r="DZ11" s="17"/>
    </row>
    <row r="12" spans="1:130" s="30" customFormat="1" ht="15" customHeight="1" x14ac:dyDescent="0.25">
      <c r="B12" s="38"/>
      <c r="C12" s="38"/>
      <c r="D12" s="38"/>
      <c r="E12" s="38"/>
      <c r="F12" s="39" t="s">
        <v>19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109"/>
      <c r="DV12" s="61"/>
      <c r="DW12" s="38"/>
      <c r="DX12" s="38"/>
      <c r="DY12" s="38"/>
      <c r="DZ12" s="62"/>
    </row>
    <row r="13" spans="1:130" s="15" customFormat="1" ht="15" customHeight="1" x14ac:dyDescent="0.25">
      <c r="A13" s="52"/>
      <c r="B13" s="55">
        <v>-33.783056999999999</v>
      </c>
      <c r="C13" s="55">
        <v>151.13427200000001</v>
      </c>
      <c r="D13" s="55" t="s">
        <v>337</v>
      </c>
      <c r="E13" s="55" t="s">
        <v>19</v>
      </c>
      <c r="F13" s="55" t="s">
        <v>356</v>
      </c>
      <c r="G13" s="55" t="s">
        <v>357</v>
      </c>
      <c r="H13" s="55" t="s">
        <v>27</v>
      </c>
      <c r="I13" s="58">
        <v>2113</v>
      </c>
      <c r="J13" s="55" t="s">
        <v>20</v>
      </c>
      <c r="K13" s="55" t="s">
        <v>328</v>
      </c>
      <c r="L13" s="55" t="s">
        <v>22</v>
      </c>
      <c r="M13" s="55" t="s">
        <v>268</v>
      </c>
      <c r="N13" s="59" t="s">
        <v>284</v>
      </c>
      <c r="O13" s="59" t="s">
        <v>215</v>
      </c>
      <c r="P13" s="56">
        <v>0.1</v>
      </c>
      <c r="Q13" s="55">
        <v>25</v>
      </c>
      <c r="R13" s="55">
        <v>24</v>
      </c>
      <c r="S13" s="55" t="s">
        <v>154</v>
      </c>
      <c r="T13" s="55"/>
      <c r="U13" s="98">
        <v>65750</v>
      </c>
      <c r="V13" s="57"/>
      <c r="W13" s="57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P13" s="6" t="s">
        <v>1</v>
      </c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6"/>
      <c r="CG13" s="86"/>
      <c r="CH13" s="86"/>
      <c r="CI13" s="86"/>
      <c r="CJ13" s="86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6"/>
      <c r="DA13" s="86"/>
      <c r="DB13" s="86"/>
      <c r="DC13" s="86"/>
      <c r="DD13" s="86"/>
      <c r="DE13" s="86"/>
      <c r="DF13" s="86"/>
      <c r="DG13" s="86"/>
      <c r="DH13" s="86"/>
      <c r="DI13" s="86"/>
      <c r="DJ13" s="86"/>
      <c r="DK13" s="86"/>
      <c r="DL13" s="86"/>
      <c r="DM13" s="86"/>
      <c r="DN13" s="86"/>
      <c r="DO13" s="86"/>
      <c r="DP13" s="1">
        <f t="shared" ref="DP13:DP18" si="1">(((($U13)*COUNTIF($X13:$DO13,$E$3))*(P13*10))+((($U13)*COUNTIF($X13:$DO13,$E$4))*(P13*10))+(($U13)*COUNTIF($X13:$DO13,$E$2))*(P13*10))</f>
        <v>65750</v>
      </c>
      <c r="DQ13" s="1">
        <f t="shared" ref="DQ13:DQ18" si="2">(($U13)*COUNTIF($X13:$DO13,$E$2))*(P13*10)</f>
        <v>0</v>
      </c>
      <c r="DR13" s="1">
        <f t="shared" ref="DR13:DR18" si="3">(($U13)*(COUNTIF($X13:$DO13,$E$4))+(($U13)*COUNTIF($X13:$DO13,$E$3)))*(P13*10)</f>
        <v>65750</v>
      </c>
      <c r="DS13" s="2">
        <f>IFERROR((V13*#REF!)/#REF!, 0)</f>
        <v>0</v>
      </c>
      <c r="DT13" s="2">
        <v>0</v>
      </c>
      <c r="DU13" s="159">
        <v>87500</v>
      </c>
      <c r="DV13" s="40"/>
      <c r="DW13" s="90" t="s">
        <v>215</v>
      </c>
      <c r="DX13" s="90">
        <v>3.9</v>
      </c>
      <c r="DY13" s="34" t="s">
        <v>284</v>
      </c>
      <c r="DZ13" s="34"/>
    </row>
    <row r="14" spans="1:130" s="15" customFormat="1" ht="15" customHeight="1" x14ac:dyDescent="0.25">
      <c r="A14" s="52"/>
      <c r="B14" s="55" t="s">
        <v>113</v>
      </c>
      <c r="C14" s="55" t="s">
        <v>114</v>
      </c>
      <c r="D14" s="55" t="s">
        <v>337</v>
      </c>
      <c r="E14" s="55" t="s">
        <v>19</v>
      </c>
      <c r="F14" s="55" t="s">
        <v>29</v>
      </c>
      <c r="G14" s="55" t="s">
        <v>30</v>
      </c>
      <c r="H14" s="55" t="s">
        <v>31</v>
      </c>
      <c r="I14" s="58">
        <v>2125</v>
      </c>
      <c r="J14" s="55" t="s">
        <v>25</v>
      </c>
      <c r="K14" s="55" t="s">
        <v>328</v>
      </c>
      <c r="L14" s="55" t="s">
        <v>22</v>
      </c>
      <c r="M14" s="55" t="s">
        <v>28</v>
      </c>
      <c r="N14" s="55" t="s">
        <v>284</v>
      </c>
      <c r="O14" s="59" t="s">
        <v>174</v>
      </c>
      <c r="P14" s="56">
        <v>0.1</v>
      </c>
      <c r="Q14" s="55">
        <v>25</v>
      </c>
      <c r="R14" s="55">
        <v>24</v>
      </c>
      <c r="S14" s="55" t="s">
        <v>154</v>
      </c>
      <c r="T14" s="55"/>
      <c r="U14" s="57">
        <v>59000</v>
      </c>
      <c r="V14" s="57"/>
      <c r="W14" s="57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6" t="s">
        <v>1</v>
      </c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1">
        <f t="shared" si="1"/>
        <v>59000</v>
      </c>
      <c r="DQ14" s="1">
        <f t="shared" si="2"/>
        <v>0</v>
      </c>
      <c r="DR14" s="1">
        <f t="shared" si="3"/>
        <v>59000</v>
      </c>
      <c r="DS14" s="2">
        <f>IFERROR((V14*#REF!)/#REF!, 0)</f>
        <v>0</v>
      </c>
      <c r="DT14" s="2">
        <v>0</v>
      </c>
      <c r="DU14" s="160"/>
      <c r="DV14" s="40"/>
      <c r="DW14" s="35" t="s">
        <v>174</v>
      </c>
      <c r="DX14" s="35">
        <v>3</v>
      </c>
      <c r="DY14" s="34" t="s">
        <v>284</v>
      </c>
      <c r="DZ14" s="34"/>
    </row>
    <row r="15" spans="1:130" s="15" customFormat="1" ht="15" customHeight="1" x14ac:dyDescent="0.25">
      <c r="A15" s="52"/>
      <c r="B15" s="55" t="s">
        <v>115</v>
      </c>
      <c r="C15" s="55" t="s">
        <v>116</v>
      </c>
      <c r="D15" s="55" t="s">
        <v>337</v>
      </c>
      <c r="E15" s="55" t="s">
        <v>19</v>
      </c>
      <c r="F15" s="55" t="s">
        <v>108</v>
      </c>
      <c r="G15" s="55" t="s">
        <v>87</v>
      </c>
      <c r="H15" s="55" t="s">
        <v>88</v>
      </c>
      <c r="I15" s="58">
        <v>2153</v>
      </c>
      <c r="J15" s="55" t="s">
        <v>20</v>
      </c>
      <c r="K15" s="55" t="s">
        <v>185</v>
      </c>
      <c r="L15" s="55" t="s">
        <v>22</v>
      </c>
      <c r="M15" s="55" t="s">
        <v>28</v>
      </c>
      <c r="N15" s="55" t="s">
        <v>284</v>
      </c>
      <c r="O15" s="59" t="s">
        <v>174</v>
      </c>
      <c r="P15" s="56">
        <v>0.1</v>
      </c>
      <c r="Q15" s="55">
        <v>25</v>
      </c>
      <c r="R15" s="55">
        <v>24</v>
      </c>
      <c r="S15" s="55" t="s">
        <v>154</v>
      </c>
      <c r="T15" s="55"/>
      <c r="U15" s="57">
        <v>59000</v>
      </c>
      <c r="V15" s="57"/>
      <c r="W15" s="57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6" t="s">
        <v>1</v>
      </c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1">
        <f t="shared" si="1"/>
        <v>59000</v>
      </c>
      <c r="DQ15" s="1">
        <f t="shared" si="2"/>
        <v>0</v>
      </c>
      <c r="DR15" s="1">
        <f t="shared" si="3"/>
        <v>59000</v>
      </c>
      <c r="DS15" s="2">
        <f>IFERROR((V15*#REF!)/#REF!, 0)</f>
        <v>0</v>
      </c>
      <c r="DT15" s="2">
        <v>0</v>
      </c>
      <c r="DU15" s="160"/>
      <c r="DV15" s="40"/>
      <c r="DW15" s="35" t="s">
        <v>174</v>
      </c>
      <c r="DX15" s="35">
        <v>3</v>
      </c>
      <c r="DY15" s="34" t="s">
        <v>284</v>
      </c>
      <c r="DZ15" s="34"/>
    </row>
    <row r="16" spans="1:130" s="15" customFormat="1" ht="15" customHeight="1" x14ac:dyDescent="0.25">
      <c r="A16" s="52"/>
      <c r="B16" s="55" t="s">
        <v>122</v>
      </c>
      <c r="C16" s="55" t="s">
        <v>123</v>
      </c>
      <c r="D16" s="55" t="s">
        <v>337</v>
      </c>
      <c r="E16" s="55" t="s">
        <v>19</v>
      </c>
      <c r="F16" s="55" t="s">
        <v>199</v>
      </c>
      <c r="G16" s="55" t="s">
        <v>89</v>
      </c>
      <c r="H16" s="55" t="s">
        <v>86</v>
      </c>
      <c r="I16" s="58">
        <v>2119</v>
      </c>
      <c r="J16" s="55" t="s">
        <v>20</v>
      </c>
      <c r="K16" s="55" t="s">
        <v>328</v>
      </c>
      <c r="L16" s="55" t="s">
        <v>22</v>
      </c>
      <c r="M16" s="55" t="s">
        <v>28</v>
      </c>
      <c r="N16" s="55" t="s">
        <v>284</v>
      </c>
      <c r="O16" s="59" t="s">
        <v>174</v>
      </c>
      <c r="P16" s="56">
        <v>0.1</v>
      </c>
      <c r="Q16" s="55">
        <v>25</v>
      </c>
      <c r="R16" s="55">
        <v>24</v>
      </c>
      <c r="S16" s="55" t="s">
        <v>154</v>
      </c>
      <c r="T16" s="55"/>
      <c r="U16" s="57">
        <v>59000</v>
      </c>
      <c r="V16" s="57"/>
      <c r="W16" s="57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6" t="s">
        <v>1</v>
      </c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1">
        <f t="shared" si="1"/>
        <v>59000</v>
      </c>
      <c r="DQ16" s="1">
        <f t="shared" si="2"/>
        <v>0</v>
      </c>
      <c r="DR16" s="1">
        <f t="shared" si="3"/>
        <v>59000</v>
      </c>
      <c r="DS16" s="2">
        <f>IFERROR((V16*#REF!)/#REF!, 0)</f>
        <v>0</v>
      </c>
      <c r="DT16" s="2">
        <v>0</v>
      </c>
      <c r="DU16" s="160"/>
      <c r="DV16" s="40"/>
      <c r="DW16" s="35" t="s">
        <v>174</v>
      </c>
      <c r="DX16" s="35">
        <v>3</v>
      </c>
      <c r="DY16" s="34" t="s">
        <v>284</v>
      </c>
      <c r="DZ16" s="34"/>
    </row>
    <row r="17" spans="1:130" s="15" customFormat="1" ht="15" customHeight="1" x14ac:dyDescent="0.25">
      <c r="A17" s="52"/>
      <c r="B17" s="55">
        <v>-33.771084000000002</v>
      </c>
      <c r="C17" s="55">
        <v>150.985896</v>
      </c>
      <c r="D17" s="55" t="s">
        <v>337</v>
      </c>
      <c r="E17" s="55" t="s">
        <v>19</v>
      </c>
      <c r="F17" s="55" t="s">
        <v>350</v>
      </c>
      <c r="G17" s="55" t="s">
        <v>351</v>
      </c>
      <c r="H17" s="55" t="s">
        <v>352</v>
      </c>
      <c r="I17" s="58">
        <v>2153</v>
      </c>
      <c r="J17" s="55" t="s">
        <v>25</v>
      </c>
      <c r="K17" s="55" t="s">
        <v>328</v>
      </c>
      <c r="L17" s="55" t="s">
        <v>22</v>
      </c>
      <c r="M17" s="55" t="s">
        <v>268</v>
      </c>
      <c r="N17" s="59" t="s">
        <v>284</v>
      </c>
      <c r="O17" s="59" t="s">
        <v>215</v>
      </c>
      <c r="P17" s="56">
        <v>0.1</v>
      </c>
      <c r="Q17" s="55">
        <v>25</v>
      </c>
      <c r="R17" s="55">
        <v>24</v>
      </c>
      <c r="S17" s="55" t="s">
        <v>154</v>
      </c>
      <c r="T17" s="55"/>
      <c r="U17" s="57">
        <v>59000</v>
      </c>
      <c r="V17" s="57"/>
      <c r="W17" s="57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6" t="s">
        <v>1</v>
      </c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1">
        <f t="shared" si="1"/>
        <v>59000</v>
      </c>
      <c r="DQ17" s="1">
        <f t="shared" si="2"/>
        <v>0</v>
      </c>
      <c r="DR17" s="1">
        <f t="shared" si="3"/>
        <v>59000</v>
      </c>
      <c r="DS17" s="2">
        <f>IFERROR((V17*#REF!)/#REF!, 0)</f>
        <v>0</v>
      </c>
      <c r="DT17" s="2">
        <v>0</v>
      </c>
      <c r="DU17" s="160"/>
      <c r="DV17" s="40"/>
      <c r="DW17" s="90" t="s">
        <v>215</v>
      </c>
      <c r="DX17" s="90">
        <v>3.9</v>
      </c>
      <c r="DY17" s="34" t="s">
        <v>284</v>
      </c>
      <c r="DZ17" s="34"/>
    </row>
    <row r="18" spans="1:130" s="15" customFormat="1" ht="15" customHeight="1" x14ac:dyDescent="0.25">
      <c r="A18" s="52"/>
      <c r="B18" s="55">
        <v>-33.933866000000002</v>
      </c>
      <c r="C18" s="55">
        <v>151.037046</v>
      </c>
      <c r="D18" s="55" t="s">
        <v>337</v>
      </c>
      <c r="E18" s="55" t="s">
        <v>19</v>
      </c>
      <c r="F18" s="55" t="s">
        <v>302</v>
      </c>
      <c r="G18" s="55" t="s">
        <v>303</v>
      </c>
      <c r="H18" s="55" t="s">
        <v>222</v>
      </c>
      <c r="I18" s="58">
        <v>2200</v>
      </c>
      <c r="J18" s="55" t="s">
        <v>72</v>
      </c>
      <c r="K18" s="55" t="s">
        <v>327</v>
      </c>
      <c r="L18" s="55" t="s">
        <v>22</v>
      </c>
      <c r="M18" s="55" t="s">
        <v>268</v>
      </c>
      <c r="N18" s="55" t="s">
        <v>284</v>
      </c>
      <c r="O18" s="59" t="s">
        <v>215</v>
      </c>
      <c r="P18" s="56">
        <v>0.1</v>
      </c>
      <c r="Q18" s="55">
        <v>10</v>
      </c>
      <c r="R18" s="55">
        <v>24</v>
      </c>
      <c r="S18" s="55" t="s">
        <v>154</v>
      </c>
      <c r="T18" s="55"/>
      <c r="U18" s="57">
        <v>48750</v>
      </c>
      <c r="V18" s="57"/>
      <c r="W18" s="57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X18" s="51"/>
      <c r="BY18" s="51"/>
      <c r="BZ18" s="6" t="s">
        <v>1</v>
      </c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1">
        <f t="shared" si="1"/>
        <v>48750</v>
      </c>
      <c r="DQ18" s="1">
        <f t="shared" si="2"/>
        <v>0</v>
      </c>
      <c r="DR18" s="1">
        <f t="shared" si="3"/>
        <v>48750</v>
      </c>
      <c r="DS18" s="2">
        <f>IFERROR((V18*#REF!)/#REF!, 0)</f>
        <v>0</v>
      </c>
      <c r="DT18" s="2">
        <v>0</v>
      </c>
      <c r="DU18" s="160"/>
      <c r="DV18" s="40"/>
      <c r="DW18" s="90" t="s">
        <v>215</v>
      </c>
      <c r="DX18" s="90">
        <v>3.9</v>
      </c>
      <c r="DY18" s="34" t="s">
        <v>284</v>
      </c>
      <c r="DZ18" s="34"/>
    </row>
    <row r="19" spans="1:130" s="15" customFormat="1" ht="15" customHeight="1" x14ac:dyDescent="0.25">
      <c r="A19" s="52"/>
      <c r="B19" s="113"/>
      <c r="C19" s="113"/>
      <c r="D19" s="113"/>
      <c r="E19" s="113"/>
      <c r="F19" s="112" t="s">
        <v>157</v>
      </c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3"/>
      <c r="BM19" s="113"/>
      <c r="BN19" s="113"/>
      <c r="BO19" s="113"/>
      <c r="BP19" s="113"/>
      <c r="BQ19" s="113"/>
      <c r="BR19" s="113"/>
      <c r="BS19" s="113"/>
      <c r="BT19" s="113"/>
      <c r="BU19" s="113"/>
      <c r="BV19" s="113"/>
      <c r="BW19" s="113"/>
      <c r="BX19" s="113"/>
      <c r="BY19" s="113"/>
      <c r="BZ19" s="113"/>
      <c r="CA19" s="113"/>
      <c r="CB19" s="113"/>
      <c r="CC19" s="113"/>
      <c r="CD19" s="113"/>
      <c r="CE19" s="113"/>
      <c r="CF19" s="113"/>
      <c r="CG19" s="113"/>
      <c r="CH19" s="113"/>
      <c r="CI19" s="113"/>
      <c r="CJ19" s="113"/>
      <c r="CK19" s="113"/>
      <c r="CL19" s="113"/>
      <c r="CM19" s="113"/>
      <c r="CN19" s="113"/>
      <c r="CO19" s="113"/>
      <c r="CP19" s="113"/>
      <c r="CQ19" s="113"/>
      <c r="CR19" s="113"/>
      <c r="CS19" s="113"/>
      <c r="CT19" s="113"/>
      <c r="CU19" s="113"/>
      <c r="CV19" s="113"/>
      <c r="CW19" s="113"/>
      <c r="CX19" s="113"/>
      <c r="CY19" s="113"/>
      <c r="CZ19" s="113"/>
      <c r="DA19" s="113"/>
      <c r="DB19" s="113"/>
      <c r="DC19" s="113"/>
      <c r="DD19" s="113"/>
      <c r="DE19" s="113"/>
      <c r="DF19" s="113"/>
      <c r="DG19" s="113"/>
      <c r="DH19" s="113"/>
      <c r="DI19" s="113"/>
      <c r="DJ19" s="113"/>
      <c r="DK19" s="113"/>
      <c r="DL19" s="113"/>
      <c r="DM19" s="113"/>
      <c r="DN19" s="113"/>
      <c r="DO19" s="113"/>
      <c r="DP19" s="113"/>
      <c r="DQ19" s="113"/>
      <c r="DR19" s="113"/>
      <c r="DS19" s="113"/>
      <c r="DT19" s="113"/>
      <c r="DU19" s="160"/>
      <c r="DV19" s="40"/>
      <c r="DW19" s="110"/>
      <c r="DX19" s="110"/>
      <c r="DY19" s="110"/>
      <c r="DZ19" s="111"/>
    </row>
    <row r="20" spans="1:130" s="15" customFormat="1" ht="15" customHeight="1" x14ac:dyDescent="0.25">
      <c r="A20" s="52"/>
      <c r="B20" s="34">
        <v>-37.925226000000002</v>
      </c>
      <c r="C20" s="34">
        <v>145.18034700000001</v>
      </c>
      <c r="D20" s="55" t="s">
        <v>337</v>
      </c>
      <c r="E20" s="34" t="s">
        <v>157</v>
      </c>
      <c r="F20" s="34" t="s">
        <v>358</v>
      </c>
      <c r="G20" s="34" t="s">
        <v>304</v>
      </c>
      <c r="H20" s="34" t="s">
        <v>305</v>
      </c>
      <c r="I20" s="106">
        <v>3170</v>
      </c>
      <c r="J20" s="55" t="s">
        <v>20</v>
      </c>
      <c r="K20" s="34" t="s">
        <v>190</v>
      </c>
      <c r="L20" s="34" t="s">
        <v>22</v>
      </c>
      <c r="M20" s="34" t="s">
        <v>306</v>
      </c>
      <c r="N20" s="34" t="s">
        <v>284</v>
      </c>
      <c r="O20" s="59" t="s">
        <v>372</v>
      </c>
      <c r="P20" s="107">
        <v>0.1</v>
      </c>
      <c r="Q20" s="34">
        <v>30</v>
      </c>
      <c r="R20" s="34">
        <v>24</v>
      </c>
      <c r="S20" s="34" t="s">
        <v>154</v>
      </c>
      <c r="T20" s="34"/>
      <c r="U20" s="108">
        <v>71000</v>
      </c>
      <c r="V20" s="108"/>
      <c r="W20" s="57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6" t="s">
        <v>1</v>
      </c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1"/>
      <c r="DL20" s="51"/>
      <c r="DM20" s="51"/>
      <c r="DN20" s="51"/>
      <c r="DO20" s="51"/>
      <c r="DP20" s="1">
        <f t="shared" ref="DP20:DP28" si="4">(((($U20)*COUNTIF($X20:$DO20,$E$3))*(P20*10))+((($U20)*COUNTIF($X20:$DO20,$E$4))*(P20*10))+(($U20)*COUNTIF($X20:$DO20,$E$2))*(P20*10))</f>
        <v>71000</v>
      </c>
      <c r="DQ20" s="1">
        <f t="shared" ref="DQ20:DQ28" si="5">(($U20)*COUNTIF($X20:$DO20,$E$2))*(P20*10)</f>
        <v>0</v>
      </c>
      <c r="DR20" s="1">
        <f t="shared" ref="DR20:DR28" si="6">(($U20)*(COUNTIF($X20:$DO20,$E$4))+(($U20)*COUNTIF($X20:$DO20,$E$3)))*(P20*10)</f>
        <v>71000</v>
      </c>
      <c r="DS20" s="2">
        <f>IFERROR((V20*#REF!)/#REF!, 0)</f>
        <v>0</v>
      </c>
      <c r="DT20" s="2">
        <v>0</v>
      </c>
      <c r="DU20" s="160"/>
      <c r="DV20" s="40"/>
      <c r="DW20" s="59" t="s">
        <v>372</v>
      </c>
      <c r="DX20" s="36">
        <v>4.0078125</v>
      </c>
      <c r="DY20" s="34" t="s">
        <v>284</v>
      </c>
      <c r="DZ20" s="34"/>
    </row>
    <row r="21" spans="1:130" s="15" customFormat="1" ht="15.75" customHeight="1" x14ac:dyDescent="0.25">
      <c r="A21" s="52"/>
      <c r="B21" s="34">
        <v>-37.826321</v>
      </c>
      <c r="C21" s="34">
        <v>144.960059</v>
      </c>
      <c r="D21" s="55" t="s">
        <v>337</v>
      </c>
      <c r="E21" s="34" t="s">
        <v>157</v>
      </c>
      <c r="F21" s="34" t="s">
        <v>239</v>
      </c>
      <c r="G21" s="34" t="s">
        <v>243</v>
      </c>
      <c r="H21" s="34" t="s">
        <v>44</v>
      </c>
      <c r="I21" s="106">
        <v>3006</v>
      </c>
      <c r="J21" s="55" t="s">
        <v>20</v>
      </c>
      <c r="K21" s="34" t="s">
        <v>326</v>
      </c>
      <c r="L21" s="34" t="s">
        <v>22</v>
      </c>
      <c r="M21" s="34" t="s">
        <v>230</v>
      </c>
      <c r="N21" s="34" t="s">
        <v>284</v>
      </c>
      <c r="O21" s="59" t="s">
        <v>215</v>
      </c>
      <c r="P21" s="107">
        <v>0.1</v>
      </c>
      <c r="Q21" s="34">
        <v>30</v>
      </c>
      <c r="R21" s="34">
        <v>24</v>
      </c>
      <c r="S21" s="34" t="s">
        <v>154</v>
      </c>
      <c r="T21" s="34"/>
      <c r="U21" s="108">
        <v>65750</v>
      </c>
      <c r="V21" s="108"/>
      <c r="W21" s="57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6" t="s">
        <v>1</v>
      </c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1">
        <f t="shared" si="4"/>
        <v>65750</v>
      </c>
      <c r="DQ21" s="1">
        <f t="shared" si="5"/>
        <v>0</v>
      </c>
      <c r="DR21" s="1">
        <f t="shared" si="6"/>
        <v>65750</v>
      </c>
      <c r="DS21" s="2">
        <f>IFERROR((V21*#REF!)/#REF!, 0)</f>
        <v>0</v>
      </c>
      <c r="DT21" s="2">
        <v>0</v>
      </c>
      <c r="DU21" s="160"/>
      <c r="DV21" s="40"/>
      <c r="DW21" s="90" t="s">
        <v>215</v>
      </c>
      <c r="DX21" s="90">
        <v>3.9</v>
      </c>
      <c r="DY21" s="34" t="s">
        <v>284</v>
      </c>
      <c r="DZ21" s="34" t="s">
        <v>290</v>
      </c>
    </row>
    <row r="22" spans="1:130" s="15" customFormat="1" ht="15" customHeight="1" x14ac:dyDescent="0.25">
      <c r="A22" s="52"/>
      <c r="B22" s="34" t="s">
        <v>128</v>
      </c>
      <c r="C22" s="34" t="s">
        <v>129</v>
      </c>
      <c r="D22" s="55" t="s">
        <v>337</v>
      </c>
      <c r="E22" s="34" t="s">
        <v>157</v>
      </c>
      <c r="F22" s="34" t="s">
        <v>110</v>
      </c>
      <c r="G22" s="34" t="s">
        <v>94</v>
      </c>
      <c r="H22" s="34" t="s">
        <v>44</v>
      </c>
      <c r="I22" s="106">
        <v>3006</v>
      </c>
      <c r="J22" s="55" t="s">
        <v>20</v>
      </c>
      <c r="K22" s="34" t="s">
        <v>333</v>
      </c>
      <c r="L22" s="34" t="s">
        <v>22</v>
      </c>
      <c r="M22" s="34" t="s">
        <v>56</v>
      </c>
      <c r="N22" s="34" t="s">
        <v>284</v>
      </c>
      <c r="O22" s="59" t="s">
        <v>178</v>
      </c>
      <c r="P22" s="107">
        <v>0.1</v>
      </c>
      <c r="Q22" s="34">
        <v>30</v>
      </c>
      <c r="R22" s="34">
        <v>24</v>
      </c>
      <c r="S22" s="34" t="s">
        <v>154</v>
      </c>
      <c r="T22" s="34"/>
      <c r="U22" s="108">
        <v>63000</v>
      </c>
      <c r="V22" s="108"/>
      <c r="W22" s="57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6" t="s">
        <v>1</v>
      </c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1">
        <f t="shared" si="4"/>
        <v>63000</v>
      </c>
      <c r="DQ22" s="1">
        <f t="shared" si="5"/>
        <v>0</v>
      </c>
      <c r="DR22" s="1">
        <f t="shared" si="6"/>
        <v>63000</v>
      </c>
      <c r="DS22" s="2">
        <f>IFERROR((V22*#REF!)/#REF!, 0)</f>
        <v>0</v>
      </c>
      <c r="DT22" s="2">
        <v>0</v>
      </c>
      <c r="DU22" s="160"/>
      <c r="DV22" s="40"/>
      <c r="DW22" s="89" t="s">
        <v>178</v>
      </c>
      <c r="DX22" s="89">
        <v>4.25</v>
      </c>
      <c r="DY22" s="34" t="s">
        <v>284</v>
      </c>
      <c r="DZ22" s="34" t="s">
        <v>290</v>
      </c>
    </row>
    <row r="23" spans="1:130" s="15" customFormat="1" ht="15" customHeight="1" x14ac:dyDescent="0.25">
      <c r="A23" s="52"/>
      <c r="B23" s="34">
        <v>-37.991103000000003</v>
      </c>
      <c r="C23" s="34">
        <v>145.19133400000001</v>
      </c>
      <c r="D23" s="55" t="s">
        <v>337</v>
      </c>
      <c r="E23" s="34" t="s">
        <v>157</v>
      </c>
      <c r="F23" s="34" t="s">
        <v>373</v>
      </c>
      <c r="G23" s="34" t="s">
        <v>374</v>
      </c>
      <c r="H23" s="34" t="s">
        <v>225</v>
      </c>
      <c r="I23" s="106" t="s">
        <v>375</v>
      </c>
      <c r="J23" s="55" t="s">
        <v>74</v>
      </c>
      <c r="K23" s="34" t="s">
        <v>188</v>
      </c>
      <c r="L23" s="34" t="s">
        <v>22</v>
      </c>
      <c r="M23" s="34" t="s">
        <v>376</v>
      </c>
      <c r="N23" s="34" t="s">
        <v>377</v>
      </c>
      <c r="O23" s="91" t="s">
        <v>378</v>
      </c>
      <c r="P23" s="107">
        <v>0.1</v>
      </c>
      <c r="Q23" s="34">
        <v>30</v>
      </c>
      <c r="R23" s="34">
        <v>24</v>
      </c>
      <c r="S23" s="34" t="s">
        <v>154</v>
      </c>
      <c r="T23" s="34"/>
      <c r="U23" s="108">
        <v>56500</v>
      </c>
      <c r="V23" s="108"/>
      <c r="W23" s="57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R23" s="51"/>
      <c r="AS23" s="51"/>
      <c r="AT23" s="51"/>
      <c r="AU23" s="51"/>
      <c r="AV23" s="51"/>
      <c r="AW23" s="51"/>
      <c r="AX23" s="51"/>
      <c r="AY23" s="51"/>
      <c r="AZ23" s="51"/>
      <c r="BA23" s="6" t="s">
        <v>1</v>
      </c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1">
        <f t="shared" si="4"/>
        <v>56500</v>
      </c>
      <c r="DQ23" s="1">
        <f t="shared" si="5"/>
        <v>0</v>
      </c>
      <c r="DR23" s="1">
        <f t="shared" si="6"/>
        <v>56500</v>
      </c>
      <c r="DS23" s="2">
        <f>IFERROR((V23*#REF!)/#REF!, 0)</f>
        <v>0</v>
      </c>
      <c r="DT23" s="2">
        <v>0</v>
      </c>
      <c r="DU23" s="160"/>
      <c r="DV23" s="40"/>
      <c r="DW23" s="134" t="s">
        <v>378</v>
      </c>
      <c r="DX23" s="134">
        <v>3.82</v>
      </c>
      <c r="DY23" s="34" t="s">
        <v>284</v>
      </c>
      <c r="DZ23" s="34"/>
    </row>
    <row r="24" spans="1:130" s="15" customFormat="1" ht="15" customHeight="1" x14ac:dyDescent="0.25">
      <c r="A24" s="52"/>
      <c r="B24" s="34">
        <v>-37.759588000000001</v>
      </c>
      <c r="C24" s="34">
        <v>145.069267</v>
      </c>
      <c r="D24" s="55" t="s">
        <v>337</v>
      </c>
      <c r="E24" s="34" t="s">
        <v>157</v>
      </c>
      <c r="F24" s="34" t="s">
        <v>216</v>
      </c>
      <c r="G24" s="34" t="s">
        <v>217</v>
      </c>
      <c r="H24" s="34" t="s">
        <v>218</v>
      </c>
      <c r="I24" s="106">
        <v>3084</v>
      </c>
      <c r="J24" s="55" t="s">
        <v>20</v>
      </c>
      <c r="K24" s="34" t="s">
        <v>330</v>
      </c>
      <c r="L24" s="34" t="s">
        <v>22</v>
      </c>
      <c r="M24" s="34" t="s">
        <v>28</v>
      </c>
      <c r="N24" s="34" t="s">
        <v>284</v>
      </c>
      <c r="O24" s="59" t="s">
        <v>174</v>
      </c>
      <c r="P24" s="107">
        <v>0.1</v>
      </c>
      <c r="Q24" s="34">
        <v>30</v>
      </c>
      <c r="R24" s="34">
        <v>24</v>
      </c>
      <c r="S24" s="34" t="s">
        <v>154</v>
      </c>
      <c r="T24" s="34"/>
      <c r="U24" s="108">
        <v>52500</v>
      </c>
      <c r="V24" s="108"/>
      <c r="W24" s="57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6" t="s">
        <v>1</v>
      </c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1">
        <f t="shared" si="4"/>
        <v>52500</v>
      </c>
      <c r="DQ24" s="1">
        <f t="shared" si="5"/>
        <v>0</v>
      </c>
      <c r="DR24" s="1">
        <f t="shared" si="6"/>
        <v>52500</v>
      </c>
      <c r="DS24" s="2">
        <f>IFERROR((V24*#REF!)/#REF!, 0)</f>
        <v>0</v>
      </c>
      <c r="DT24" s="2">
        <v>0</v>
      </c>
      <c r="DU24" s="160"/>
      <c r="DV24" s="40"/>
      <c r="DW24" s="35" t="s">
        <v>174</v>
      </c>
      <c r="DX24" s="35">
        <v>3</v>
      </c>
      <c r="DY24" s="34" t="s">
        <v>284</v>
      </c>
      <c r="DZ24" s="34" t="s">
        <v>290</v>
      </c>
    </row>
    <row r="25" spans="1:130" s="15" customFormat="1" ht="15" customHeight="1" x14ac:dyDescent="0.25">
      <c r="A25" s="52"/>
      <c r="B25" s="34">
        <v>-37.738149999999997</v>
      </c>
      <c r="C25" s="34">
        <v>144.85206400000001</v>
      </c>
      <c r="D25" s="55" t="s">
        <v>337</v>
      </c>
      <c r="E25" s="34" t="s">
        <v>157</v>
      </c>
      <c r="F25" s="34" t="s">
        <v>379</v>
      </c>
      <c r="G25" s="34" t="s">
        <v>380</v>
      </c>
      <c r="H25" s="34" t="s">
        <v>422</v>
      </c>
      <c r="I25" s="106" t="s">
        <v>381</v>
      </c>
      <c r="J25" s="55" t="s">
        <v>72</v>
      </c>
      <c r="K25" s="34" t="s">
        <v>187</v>
      </c>
      <c r="L25" s="34" t="s">
        <v>22</v>
      </c>
      <c r="M25" s="34" t="s">
        <v>382</v>
      </c>
      <c r="N25" s="34" t="s">
        <v>377</v>
      </c>
      <c r="O25" s="91" t="s">
        <v>383</v>
      </c>
      <c r="P25" s="107">
        <v>0.1</v>
      </c>
      <c r="Q25" s="34">
        <v>30</v>
      </c>
      <c r="R25" s="34">
        <v>24</v>
      </c>
      <c r="S25" s="34" t="s">
        <v>154</v>
      </c>
      <c r="T25" s="34"/>
      <c r="U25" s="108">
        <v>52500</v>
      </c>
      <c r="V25" s="108"/>
      <c r="W25" s="57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6" t="s">
        <v>1</v>
      </c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1">
        <f t="shared" si="4"/>
        <v>52500</v>
      </c>
      <c r="DQ25" s="1">
        <f t="shared" si="5"/>
        <v>0</v>
      </c>
      <c r="DR25" s="1">
        <f t="shared" si="6"/>
        <v>52500</v>
      </c>
      <c r="DS25" s="2">
        <f>IFERROR((V25*#REF!)/#REF!, 0)</f>
        <v>0</v>
      </c>
      <c r="DT25" s="2">
        <v>0</v>
      </c>
      <c r="DU25" s="160"/>
      <c r="DV25" s="40"/>
      <c r="DW25" s="35" t="s">
        <v>383</v>
      </c>
      <c r="DX25" s="35">
        <v>3</v>
      </c>
      <c r="DY25" s="34" t="s">
        <v>284</v>
      </c>
      <c r="DZ25" s="34"/>
    </row>
    <row r="26" spans="1:130" s="15" customFormat="1" ht="15" customHeight="1" x14ac:dyDescent="0.25">
      <c r="A26" s="52"/>
      <c r="B26" s="34">
        <v>-37.869379000000002</v>
      </c>
      <c r="C26" s="34">
        <v>144.75218100000001</v>
      </c>
      <c r="D26" s="55" t="s">
        <v>337</v>
      </c>
      <c r="E26" s="34" t="s">
        <v>157</v>
      </c>
      <c r="F26" s="34" t="s">
        <v>158</v>
      </c>
      <c r="G26" s="34" t="s">
        <v>159</v>
      </c>
      <c r="H26" s="34" t="s">
        <v>160</v>
      </c>
      <c r="I26" s="106">
        <v>3028</v>
      </c>
      <c r="J26" s="55" t="s">
        <v>25</v>
      </c>
      <c r="K26" s="34" t="s">
        <v>185</v>
      </c>
      <c r="L26" s="34" t="s">
        <v>22</v>
      </c>
      <c r="M26" s="34" t="s">
        <v>26</v>
      </c>
      <c r="N26" s="34" t="s">
        <v>284</v>
      </c>
      <c r="O26" s="59" t="s">
        <v>175</v>
      </c>
      <c r="P26" s="107">
        <v>0.1</v>
      </c>
      <c r="Q26" s="34">
        <v>60</v>
      </c>
      <c r="R26" s="34">
        <v>24</v>
      </c>
      <c r="S26" s="34" t="s">
        <v>154</v>
      </c>
      <c r="T26" s="34"/>
      <c r="U26" s="108">
        <v>47250</v>
      </c>
      <c r="V26" s="108"/>
      <c r="W26" s="57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6" t="s">
        <v>1</v>
      </c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1">
        <f t="shared" si="4"/>
        <v>47250</v>
      </c>
      <c r="DQ26" s="1">
        <f t="shared" si="5"/>
        <v>0</v>
      </c>
      <c r="DR26" s="1">
        <f t="shared" si="6"/>
        <v>47250</v>
      </c>
      <c r="DS26" s="2">
        <f>IFERROR((V26*#REF!)/#REF!, 0)</f>
        <v>0</v>
      </c>
      <c r="DT26" s="2">
        <v>0</v>
      </c>
      <c r="DU26" s="160"/>
      <c r="DV26" s="40"/>
      <c r="DW26" s="37" t="s">
        <v>175</v>
      </c>
      <c r="DX26" s="37">
        <v>3.7777777777777777</v>
      </c>
      <c r="DY26" s="34" t="s">
        <v>284</v>
      </c>
      <c r="DZ26" s="34" t="s">
        <v>290</v>
      </c>
    </row>
    <row r="27" spans="1:130" s="15" customFormat="1" ht="15" customHeight="1" x14ac:dyDescent="0.25">
      <c r="A27" s="52"/>
      <c r="B27" s="34">
        <v>-37.819291</v>
      </c>
      <c r="C27" s="34">
        <v>145.00806700000001</v>
      </c>
      <c r="D27" s="55" t="s">
        <v>337</v>
      </c>
      <c r="E27" s="34" t="s">
        <v>157</v>
      </c>
      <c r="F27" s="34" t="s">
        <v>214</v>
      </c>
      <c r="G27" s="34" t="s">
        <v>213</v>
      </c>
      <c r="H27" s="34" t="s">
        <v>52</v>
      </c>
      <c r="I27" s="106">
        <v>3121</v>
      </c>
      <c r="J27" s="55" t="s">
        <v>25</v>
      </c>
      <c r="K27" s="34" t="s">
        <v>189</v>
      </c>
      <c r="L27" s="34" t="s">
        <v>22</v>
      </c>
      <c r="M27" s="34" t="s">
        <v>212</v>
      </c>
      <c r="N27" s="34" t="s">
        <v>284</v>
      </c>
      <c r="O27" s="59" t="s">
        <v>215</v>
      </c>
      <c r="P27" s="107">
        <v>0.1</v>
      </c>
      <c r="Q27" s="34">
        <v>45</v>
      </c>
      <c r="R27" s="34">
        <v>24</v>
      </c>
      <c r="S27" s="34" t="s">
        <v>154</v>
      </c>
      <c r="T27" s="34"/>
      <c r="U27" s="108">
        <v>35500</v>
      </c>
      <c r="V27" s="108"/>
      <c r="W27" s="57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6" t="s">
        <v>1</v>
      </c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1">
        <f t="shared" si="4"/>
        <v>35500</v>
      </c>
      <c r="DQ27" s="1">
        <f t="shared" si="5"/>
        <v>0</v>
      </c>
      <c r="DR27" s="1">
        <f t="shared" si="6"/>
        <v>35500</v>
      </c>
      <c r="DS27" s="2">
        <f>IFERROR((V27*#REF!)/#REF!, 0)</f>
        <v>0</v>
      </c>
      <c r="DT27" s="2">
        <v>0</v>
      </c>
      <c r="DU27" s="160"/>
      <c r="DV27" s="40"/>
      <c r="DW27" s="90" t="s">
        <v>215</v>
      </c>
      <c r="DX27" s="90">
        <v>3.9</v>
      </c>
      <c r="DY27" s="34" t="s">
        <v>284</v>
      </c>
      <c r="DZ27" s="34" t="s">
        <v>290</v>
      </c>
    </row>
    <row r="28" spans="1:130" s="15" customFormat="1" ht="15" customHeight="1" x14ac:dyDescent="0.25">
      <c r="A28" s="52"/>
      <c r="B28" s="34" t="s">
        <v>136</v>
      </c>
      <c r="C28" s="34" t="s">
        <v>137</v>
      </c>
      <c r="D28" s="55" t="s">
        <v>337</v>
      </c>
      <c r="E28" s="34" t="s">
        <v>157</v>
      </c>
      <c r="F28" s="34" t="s">
        <v>46</v>
      </c>
      <c r="G28" s="34" t="s">
        <v>47</v>
      </c>
      <c r="H28" s="34" t="s">
        <v>48</v>
      </c>
      <c r="I28" s="106">
        <v>3220</v>
      </c>
      <c r="J28" s="55" t="s">
        <v>39</v>
      </c>
      <c r="K28" s="34" t="s">
        <v>48</v>
      </c>
      <c r="L28" s="34" t="s">
        <v>22</v>
      </c>
      <c r="M28" s="34" t="s">
        <v>49</v>
      </c>
      <c r="N28" s="34" t="s">
        <v>284</v>
      </c>
      <c r="O28" s="59" t="s">
        <v>176</v>
      </c>
      <c r="P28" s="107">
        <v>0.1</v>
      </c>
      <c r="Q28" s="34">
        <v>30</v>
      </c>
      <c r="R28" s="34">
        <v>24</v>
      </c>
      <c r="S28" s="34" t="s">
        <v>154</v>
      </c>
      <c r="T28" s="34"/>
      <c r="U28" s="108">
        <v>23750</v>
      </c>
      <c r="V28" s="108"/>
      <c r="W28" s="57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K28" s="6" t="s">
        <v>1</v>
      </c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1">
        <f t="shared" si="4"/>
        <v>23750</v>
      </c>
      <c r="DQ28" s="1">
        <f t="shared" si="5"/>
        <v>0</v>
      </c>
      <c r="DR28" s="1">
        <f t="shared" si="6"/>
        <v>23750</v>
      </c>
      <c r="DS28" s="2">
        <f>IFERROR((V28*#REF!)/#REF!, 0)</f>
        <v>0</v>
      </c>
      <c r="DT28" s="2">
        <v>0</v>
      </c>
      <c r="DU28" s="160"/>
      <c r="DV28" s="40"/>
      <c r="DW28" s="37" t="s">
        <v>176</v>
      </c>
      <c r="DX28" s="37">
        <v>3.7777777777777777</v>
      </c>
      <c r="DY28" s="34" t="s">
        <v>284</v>
      </c>
      <c r="DZ28" s="34" t="s">
        <v>290</v>
      </c>
    </row>
    <row r="29" spans="1:130" s="15" customFormat="1" ht="15" customHeight="1" x14ac:dyDescent="0.25">
      <c r="A29" s="52"/>
      <c r="B29" s="113"/>
      <c r="C29" s="113"/>
      <c r="D29" s="112"/>
      <c r="E29" s="113"/>
      <c r="F29" s="112" t="s">
        <v>156</v>
      </c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3"/>
      <c r="BM29" s="113"/>
      <c r="BN29" s="113"/>
      <c r="BO29" s="113"/>
      <c r="BP29" s="113"/>
      <c r="BQ29" s="113"/>
      <c r="BR29" s="113"/>
      <c r="BS29" s="113"/>
      <c r="BT29" s="113"/>
      <c r="BU29" s="113"/>
      <c r="BV29" s="113"/>
      <c r="BW29" s="113"/>
      <c r="BX29" s="113"/>
      <c r="BY29" s="113"/>
      <c r="BZ29" s="113"/>
      <c r="CA29" s="113"/>
      <c r="CB29" s="113"/>
      <c r="CC29" s="113"/>
      <c r="CD29" s="113"/>
      <c r="CE29" s="113"/>
      <c r="CF29" s="113"/>
      <c r="CG29" s="113"/>
      <c r="CH29" s="113"/>
      <c r="CI29" s="113"/>
      <c r="CJ29" s="113"/>
      <c r="CK29" s="113"/>
      <c r="CL29" s="113"/>
      <c r="CM29" s="113"/>
      <c r="CN29" s="113"/>
      <c r="CO29" s="113"/>
      <c r="CP29" s="113"/>
      <c r="CQ29" s="113"/>
      <c r="CR29" s="113"/>
      <c r="CS29" s="113"/>
      <c r="CT29" s="113"/>
      <c r="CU29" s="113"/>
      <c r="CV29" s="113"/>
      <c r="CW29" s="113"/>
      <c r="CX29" s="113"/>
      <c r="CY29" s="113"/>
      <c r="CZ29" s="113"/>
      <c r="DA29" s="113"/>
      <c r="DB29" s="113"/>
      <c r="DC29" s="113"/>
      <c r="DD29" s="113"/>
      <c r="DE29" s="113"/>
      <c r="DF29" s="113"/>
      <c r="DG29" s="113"/>
      <c r="DH29" s="113"/>
      <c r="DI29" s="113"/>
      <c r="DJ29" s="113"/>
      <c r="DK29" s="113"/>
      <c r="DL29" s="113"/>
      <c r="DM29" s="113"/>
      <c r="DN29" s="113"/>
      <c r="DO29" s="113"/>
      <c r="DP29" s="113"/>
      <c r="DQ29" s="113"/>
      <c r="DR29" s="113"/>
      <c r="DS29" s="113"/>
      <c r="DT29" s="113"/>
      <c r="DU29" s="160"/>
      <c r="DV29" s="40"/>
      <c r="DW29" s="110"/>
      <c r="DX29" s="110"/>
      <c r="DY29" s="110"/>
      <c r="DZ29" s="111"/>
    </row>
    <row r="30" spans="1:130" s="15" customFormat="1" ht="15" customHeight="1" x14ac:dyDescent="0.25">
      <c r="A30" s="52"/>
      <c r="B30" s="55">
        <v>-27.46913</v>
      </c>
      <c r="C30" s="55">
        <v>153.003208</v>
      </c>
      <c r="D30" s="55" t="s">
        <v>337</v>
      </c>
      <c r="E30" s="55" t="s">
        <v>156</v>
      </c>
      <c r="F30" s="55" t="s">
        <v>165</v>
      </c>
      <c r="G30" s="55" t="s">
        <v>172</v>
      </c>
      <c r="H30" s="55" t="s">
        <v>149</v>
      </c>
      <c r="I30" s="58">
        <v>4064</v>
      </c>
      <c r="J30" s="55" t="s">
        <v>20</v>
      </c>
      <c r="K30" s="55" t="s">
        <v>186</v>
      </c>
      <c r="L30" s="55" t="s">
        <v>22</v>
      </c>
      <c r="M30" s="55" t="s">
        <v>167</v>
      </c>
      <c r="N30" s="55" t="s">
        <v>284</v>
      </c>
      <c r="O30" s="59" t="s">
        <v>175</v>
      </c>
      <c r="P30" s="56">
        <v>0.1</v>
      </c>
      <c r="Q30" s="55">
        <v>8</v>
      </c>
      <c r="R30" s="55">
        <v>16</v>
      </c>
      <c r="S30" s="55" t="s">
        <v>169</v>
      </c>
      <c r="T30" s="55"/>
      <c r="U30" s="57">
        <v>48750</v>
      </c>
      <c r="V30" s="57"/>
      <c r="W30" s="57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6" t="s">
        <v>1</v>
      </c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1">
        <f t="shared" ref="DP30:DP37" si="7">(((($U30)*COUNTIF($X30:$DO30,$E$3))*(P30*10))+((($U30)*COUNTIF($X30:$DO30,$E$4))*(P30*10))+(($U30)*COUNTIF($X30:$DO30,$E$2))*(P30*10))</f>
        <v>48750</v>
      </c>
      <c r="DQ30" s="1">
        <f t="shared" ref="DQ30:DQ37" si="8">(($U30)*COUNTIF($X30:$DO30,$E$2))*(P30*10)</f>
        <v>0</v>
      </c>
      <c r="DR30" s="1">
        <f t="shared" ref="DR30:DR37" si="9">(($U30)*(COUNTIF($X30:$DO30,$E$4))+(($U30)*COUNTIF($X30:$DO30,$E$3)))*(P30*10)</f>
        <v>48750</v>
      </c>
      <c r="DS30" s="2">
        <f>IFERROR((V30*#REF!)/#REF!, 0)</f>
        <v>0</v>
      </c>
      <c r="DT30" s="2">
        <v>0</v>
      </c>
      <c r="DU30" s="160"/>
      <c r="DV30" s="61"/>
      <c r="DW30" s="37" t="s">
        <v>175</v>
      </c>
      <c r="DX30" s="37">
        <v>3.7777777777777777</v>
      </c>
      <c r="DY30" s="34" t="s">
        <v>284</v>
      </c>
      <c r="DZ30" s="34" t="s">
        <v>290</v>
      </c>
    </row>
    <row r="31" spans="1:130" s="15" customFormat="1" ht="15" customHeight="1" x14ac:dyDescent="0.25">
      <c r="A31" s="52"/>
      <c r="B31" s="55">
        <v>-27.768843</v>
      </c>
      <c r="C31" s="55">
        <v>153.25131200000001</v>
      </c>
      <c r="D31" s="55" t="s">
        <v>337</v>
      </c>
      <c r="E31" s="55" t="s">
        <v>156</v>
      </c>
      <c r="F31" s="55" t="s">
        <v>298</v>
      </c>
      <c r="G31" s="55" t="s">
        <v>299</v>
      </c>
      <c r="H31" s="55" t="s">
        <v>223</v>
      </c>
      <c r="I31" s="58">
        <v>4208</v>
      </c>
      <c r="J31" s="55" t="s">
        <v>72</v>
      </c>
      <c r="K31" s="55" t="s">
        <v>331</v>
      </c>
      <c r="L31" s="55" t="s">
        <v>22</v>
      </c>
      <c r="M31" s="55" t="s">
        <v>300</v>
      </c>
      <c r="N31" s="55" t="s">
        <v>284</v>
      </c>
      <c r="O31" s="59" t="s">
        <v>301</v>
      </c>
      <c r="P31" s="56">
        <v>0.1</v>
      </c>
      <c r="Q31" s="55">
        <v>25</v>
      </c>
      <c r="R31" s="55">
        <v>24</v>
      </c>
      <c r="S31" s="55" t="s">
        <v>154</v>
      </c>
      <c r="T31" s="55"/>
      <c r="U31" s="57">
        <v>43500</v>
      </c>
      <c r="V31" s="57"/>
      <c r="W31" s="57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6" t="s">
        <v>1</v>
      </c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1">
        <f t="shared" si="7"/>
        <v>43500</v>
      </c>
      <c r="DQ31" s="1">
        <f t="shared" si="8"/>
        <v>0</v>
      </c>
      <c r="DR31" s="1">
        <f t="shared" si="9"/>
        <v>43500</v>
      </c>
      <c r="DS31" s="2">
        <f>IFERROR((V31*#REF!)/#REF!, 0)</f>
        <v>0</v>
      </c>
      <c r="DT31" s="2">
        <v>0</v>
      </c>
      <c r="DU31" s="160"/>
      <c r="DV31" s="40"/>
      <c r="DW31" s="99" t="s">
        <v>301</v>
      </c>
      <c r="DX31" s="99">
        <v>4.333333333333333</v>
      </c>
      <c r="DY31" s="34" t="s">
        <v>284</v>
      </c>
      <c r="DZ31" s="34"/>
    </row>
    <row r="32" spans="1:130" s="15" customFormat="1" ht="15" customHeight="1" x14ac:dyDescent="0.25">
      <c r="A32" s="52"/>
      <c r="B32" s="55" t="s">
        <v>140</v>
      </c>
      <c r="C32" s="55" t="s">
        <v>141</v>
      </c>
      <c r="D32" s="55" t="s">
        <v>337</v>
      </c>
      <c r="E32" s="55" t="s">
        <v>156</v>
      </c>
      <c r="F32" s="55" t="s">
        <v>67</v>
      </c>
      <c r="G32" s="55" t="s">
        <v>68</v>
      </c>
      <c r="H32" s="55" t="s">
        <v>66</v>
      </c>
      <c r="I32" s="58">
        <v>4006</v>
      </c>
      <c r="J32" s="55" t="s">
        <v>25</v>
      </c>
      <c r="K32" s="55" t="s">
        <v>335</v>
      </c>
      <c r="L32" s="55" t="s">
        <v>45</v>
      </c>
      <c r="M32" s="55" t="s">
        <v>28</v>
      </c>
      <c r="N32" s="55" t="s">
        <v>284</v>
      </c>
      <c r="O32" s="59" t="s">
        <v>182</v>
      </c>
      <c r="P32" s="56">
        <v>0.1</v>
      </c>
      <c r="Q32" s="55">
        <v>8</v>
      </c>
      <c r="R32" s="55">
        <v>17</v>
      </c>
      <c r="S32" s="55" t="s">
        <v>155</v>
      </c>
      <c r="T32" s="55"/>
      <c r="U32" s="57">
        <v>38000</v>
      </c>
      <c r="V32" s="57"/>
      <c r="W32" s="57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6" t="s">
        <v>1</v>
      </c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1">
        <f t="shared" si="7"/>
        <v>38000</v>
      </c>
      <c r="DQ32" s="1">
        <f t="shared" si="8"/>
        <v>0</v>
      </c>
      <c r="DR32" s="1">
        <f t="shared" si="9"/>
        <v>38000</v>
      </c>
      <c r="DS32" s="2">
        <f>IFERROR((V32*#REF!)/#REF!, 0)</f>
        <v>0</v>
      </c>
      <c r="DT32" s="2">
        <v>0</v>
      </c>
      <c r="DU32" s="160"/>
      <c r="DV32" s="40"/>
      <c r="DW32" s="35" t="s">
        <v>182</v>
      </c>
      <c r="DX32" s="35">
        <v>3</v>
      </c>
      <c r="DY32" s="34" t="s">
        <v>284</v>
      </c>
      <c r="DZ32" s="34" t="s">
        <v>290</v>
      </c>
    </row>
    <row r="33" spans="1:130" s="15" customFormat="1" ht="15" customHeight="1" x14ac:dyDescent="0.25">
      <c r="A33" s="52"/>
      <c r="B33" s="55">
        <v>-27.411384999999999</v>
      </c>
      <c r="C33" s="55">
        <v>153.072902</v>
      </c>
      <c r="D33" s="55" t="s">
        <v>337</v>
      </c>
      <c r="E33" s="55" t="s">
        <v>156</v>
      </c>
      <c r="F33" s="55" t="s">
        <v>384</v>
      </c>
      <c r="G33" s="55" t="s">
        <v>385</v>
      </c>
      <c r="H33" s="55" t="s">
        <v>386</v>
      </c>
      <c r="I33" s="58">
        <v>4011</v>
      </c>
      <c r="J33" s="55" t="s">
        <v>25</v>
      </c>
      <c r="K33" s="55" t="s">
        <v>190</v>
      </c>
      <c r="L33" s="55" t="s">
        <v>22</v>
      </c>
      <c r="M33" s="55" t="s">
        <v>387</v>
      </c>
      <c r="N33" s="55" t="s">
        <v>284</v>
      </c>
      <c r="O33" s="59" t="s">
        <v>215</v>
      </c>
      <c r="P33" s="56">
        <v>0.1</v>
      </c>
      <c r="Q33" s="55">
        <v>8</v>
      </c>
      <c r="R33" s="55">
        <v>24</v>
      </c>
      <c r="S33" s="55" t="s">
        <v>154</v>
      </c>
      <c r="T33" s="55"/>
      <c r="U33" s="57">
        <v>38000</v>
      </c>
      <c r="V33" s="57"/>
      <c r="W33" s="57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6" t="s">
        <v>1</v>
      </c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1">
        <f t="shared" si="7"/>
        <v>38000</v>
      </c>
      <c r="DQ33" s="1">
        <f t="shared" si="8"/>
        <v>0</v>
      </c>
      <c r="DR33" s="1">
        <f t="shared" si="9"/>
        <v>38000</v>
      </c>
      <c r="DS33" s="2">
        <f>IFERROR((V33*#REF!)/#REF!, 0)</f>
        <v>0</v>
      </c>
      <c r="DT33" s="2">
        <v>0</v>
      </c>
      <c r="DU33" s="160"/>
      <c r="DV33" s="40"/>
      <c r="DW33" s="90" t="s">
        <v>215</v>
      </c>
      <c r="DX33" s="90">
        <v>3.9</v>
      </c>
      <c r="DY33" s="34" t="s">
        <v>284</v>
      </c>
      <c r="DZ33" s="34"/>
    </row>
    <row r="34" spans="1:130" s="15" customFormat="1" ht="15" customHeight="1" x14ac:dyDescent="0.25">
      <c r="A34" s="52"/>
      <c r="B34" s="55">
        <v>-27.462855999999999</v>
      </c>
      <c r="C34" s="55">
        <v>153.02442300000001</v>
      </c>
      <c r="D34" s="55" t="s">
        <v>337</v>
      </c>
      <c r="E34" s="55" t="s">
        <v>156</v>
      </c>
      <c r="F34" s="55" t="s">
        <v>231</v>
      </c>
      <c r="G34" s="55" t="s">
        <v>238</v>
      </c>
      <c r="H34" s="55" t="s">
        <v>104</v>
      </c>
      <c r="I34" s="58">
        <v>4000</v>
      </c>
      <c r="J34" s="55" t="s">
        <v>25</v>
      </c>
      <c r="K34" s="55" t="s">
        <v>336</v>
      </c>
      <c r="L34" s="55" t="s">
        <v>22</v>
      </c>
      <c r="M34" s="55" t="s">
        <v>232</v>
      </c>
      <c r="N34" s="55" t="s">
        <v>284</v>
      </c>
      <c r="O34" s="59" t="s">
        <v>215</v>
      </c>
      <c r="P34" s="56">
        <v>0.1</v>
      </c>
      <c r="Q34" s="55">
        <v>10</v>
      </c>
      <c r="R34" s="55">
        <v>16</v>
      </c>
      <c r="S34" s="55" t="s">
        <v>169</v>
      </c>
      <c r="T34" s="55"/>
      <c r="U34" s="57">
        <v>31500</v>
      </c>
      <c r="V34" s="57"/>
      <c r="W34" s="57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M34" s="51"/>
      <c r="BN34" s="6" t="s">
        <v>1</v>
      </c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1">
        <f t="shared" si="7"/>
        <v>31500</v>
      </c>
      <c r="DQ34" s="1">
        <f t="shared" si="8"/>
        <v>0</v>
      </c>
      <c r="DR34" s="1">
        <f t="shared" si="9"/>
        <v>31500</v>
      </c>
      <c r="DS34" s="2">
        <f>IFERROR((V34*#REF!)/#REF!, 0)</f>
        <v>0</v>
      </c>
      <c r="DT34" s="2">
        <v>0</v>
      </c>
      <c r="DU34" s="160"/>
      <c r="DV34" s="40"/>
      <c r="DW34" s="90" t="s">
        <v>215</v>
      </c>
      <c r="DX34" s="90">
        <v>3.9</v>
      </c>
      <c r="DY34" s="34" t="s">
        <v>284</v>
      </c>
      <c r="DZ34" s="34" t="s">
        <v>290</v>
      </c>
    </row>
    <row r="35" spans="1:130" s="15" customFormat="1" ht="15" customHeight="1" x14ac:dyDescent="0.25">
      <c r="A35" s="52"/>
      <c r="B35" s="55">
        <v>-27.619398</v>
      </c>
      <c r="C35" s="55">
        <v>153.11536699999999</v>
      </c>
      <c r="D35" s="55" t="s">
        <v>337</v>
      </c>
      <c r="E35" s="55" t="s">
        <v>156</v>
      </c>
      <c r="F35" s="55" t="s">
        <v>248</v>
      </c>
      <c r="G35" s="55" t="s">
        <v>249</v>
      </c>
      <c r="H35" s="55" t="s">
        <v>250</v>
      </c>
      <c r="I35" s="58">
        <v>4119</v>
      </c>
      <c r="J35" s="55" t="s">
        <v>25</v>
      </c>
      <c r="K35" s="55" t="s">
        <v>188</v>
      </c>
      <c r="L35" s="55" t="s">
        <v>22</v>
      </c>
      <c r="M35" s="55" t="s">
        <v>251</v>
      </c>
      <c r="N35" s="55" t="s">
        <v>284</v>
      </c>
      <c r="O35" s="59" t="s">
        <v>215</v>
      </c>
      <c r="P35" s="56">
        <v>0.1</v>
      </c>
      <c r="Q35" s="55">
        <v>10</v>
      </c>
      <c r="R35" s="55">
        <v>16</v>
      </c>
      <c r="S35" s="55" t="s">
        <v>169</v>
      </c>
      <c r="T35" s="55"/>
      <c r="U35" s="57">
        <v>27750</v>
      </c>
      <c r="V35" s="57"/>
      <c r="W35" s="57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X35" s="51"/>
      <c r="AY35" s="51"/>
      <c r="AZ35" s="6" t="s">
        <v>1</v>
      </c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1">
        <f t="shared" si="7"/>
        <v>27750</v>
      </c>
      <c r="DQ35" s="1">
        <f t="shared" si="8"/>
        <v>0</v>
      </c>
      <c r="DR35" s="1">
        <f t="shared" si="9"/>
        <v>27750</v>
      </c>
      <c r="DS35" s="2">
        <f>IFERROR((V35*#REF!)/#REF!, 0)</f>
        <v>0</v>
      </c>
      <c r="DT35" s="2">
        <v>0</v>
      </c>
      <c r="DU35" s="160"/>
      <c r="DV35" s="40"/>
      <c r="DW35" s="90" t="s">
        <v>215</v>
      </c>
      <c r="DX35" s="90">
        <v>3.9</v>
      </c>
      <c r="DY35" s="34" t="s">
        <v>284</v>
      </c>
      <c r="DZ35" s="34" t="s">
        <v>290</v>
      </c>
    </row>
    <row r="36" spans="1:130" s="15" customFormat="1" ht="15" customHeight="1" x14ac:dyDescent="0.25">
      <c r="A36" s="52"/>
      <c r="B36" s="55">
        <v>-28.041011000000001</v>
      </c>
      <c r="C36" s="55">
        <v>153.43375499999999</v>
      </c>
      <c r="D36" s="55" t="s">
        <v>337</v>
      </c>
      <c r="E36" s="55" t="s">
        <v>156</v>
      </c>
      <c r="F36" s="55" t="s">
        <v>233</v>
      </c>
      <c r="G36" s="55" t="s">
        <v>234</v>
      </c>
      <c r="H36" s="55" t="s">
        <v>235</v>
      </c>
      <c r="I36" s="58">
        <v>4218</v>
      </c>
      <c r="J36" s="55" t="s">
        <v>74</v>
      </c>
      <c r="K36" s="55" t="s">
        <v>332</v>
      </c>
      <c r="L36" s="55" t="s">
        <v>22</v>
      </c>
      <c r="M36" s="55" t="s">
        <v>236</v>
      </c>
      <c r="N36" s="55" t="s">
        <v>99</v>
      </c>
      <c r="O36" s="59" t="s">
        <v>219</v>
      </c>
      <c r="P36" s="56">
        <v>0.1</v>
      </c>
      <c r="Q36" s="55">
        <v>10</v>
      </c>
      <c r="R36" s="55">
        <v>16</v>
      </c>
      <c r="S36" s="55" t="s">
        <v>297</v>
      </c>
      <c r="T36" s="55"/>
      <c r="U36" s="57">
        <v>22500</v>
      </c>
      <c r="V36" s="57"/>
      <c r="W36" s="57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6" t="s">
        <v>1</v>
      </c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1">
        <f t="shared" si="7"/>
        <v>22500</v>
      </c>
      <c r="DQ36" s="1">
        <f t="shared" si="8"/>
        <v>0</v>
      </c>
      <c r="DR36" s="1">
        <f t="shared" si="9"/>
        <v>22500</v>
      </c>
      <c r="DS36" s="2">
        <f>IFERROR((V36*#REF!)/#REF!, 0)</f>
        <v>0</v>
      </c>
      <c r="DT36" s="2">
        <v>0</v>
      </c>
      <c r="DU36" s="160"/>
      <c r="DV36" s="40"/>
      <c r="DW36" s="105" t="s">
        <v>219</v>
      </c>
      <c r="DX36" s="105">
        <v>0.66</v>
      </c>
      <c r="DY36" s="34" t="s">
        <v>99</v>
      </c>
      <c r="DZ36" s="34" t="s">
        <v>290</v>
      </c>
    </row>
    <row r="37" spans="1:130" s="15" customFormat="1" ht="15" customHeight="1" x14ac:dyDescent="0.25">
      <c r="A37" s="52"/>
      <c r="B37" s="55" t="s">
        <v>144</v>
      </c>
      <c r="C37" s="55" t="s">
        <v>145</v>
      </c>
      <c r="D37" s="55" t="s">
        <v>337</v>
      </c>
      <c r="E37" s="55" t="s">
        <v>156</v>
      </c>
      <c r="F37" s="55" t="s">
        <v>79</v>
      </c>
      <c r="G37" s="55" t="s">
        <v>80</v>
      </c>
      <c r="H37" s="55" t="s">
        <v>81</v>
      </c>
      <c r="I37" s="58">
        <v>4220</v>
      </c>
      <c r="J37" s="55" t="s">
        <v>20</v>
      </c>
      <c r="K37" s="55" t="s">
        <v>332</v>
      </c>
      <c r="L37" s="55" t="s">
        <v>22</v>
      </c>
      <c r="M37" s="55" t="s">
        <v>62</v>
      </c>
      <c r="N37" s="55" t="s">
        <v>284</v>
      </c>
      <c r="O37" s="59" t="s">
        <v>176</v>
      </c>
      <c r="P37" s="56">
        <v>0.1</v>
      </c>
      <c r="Q37" s="55">
        <v>10</v>
      </c>
      <c r="R37" s="55">
        <v>24</v>
      </c>
      <c r="S37" s="55" t="s">
        <v>154</v>
      </c>
      <c r="T37" s="55"/>
      <c r="U37" s="57">
        <v>21000</v>
      </c>
      <c r="V37" s="57"/>
      <c r="W37" s="57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6" t="s">
        <v>1</v>
      </c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1">
        <f t="shared" si="7"/>
        <v>21000</v>
      </c>
      <c r="DQ37" s="1">
        <f t="shared" si="8"/>
        <v>0</v>
      </c>
      <c r="DR37" s="1">
        <f t="shared" si="9"/>
        <v>21000</v>
      </c>
      <c r="DS37" s="2">
        <f>IFERROR((V37*#REF!)/#REF!, 0)</f>
        <v>0</v>
      </c>
      <c r="DT37" s="2">
        <v>0</v>
      </c>
      <c r="DU37" s="161"/>
      <c r="DV37" s="40"/>
      <c r="DW37" s="37" t="s">
        <v>176</v>
      </c>
      <c r="DX37" s="37">
        <v>3.7777777777777777</v>
      </c>
      <c r="DY37" s="34" t="s">
        <v>284</v>
      </c>
      <c r="DZ37" s="34" t="s">
        <v>290</v>
      </c>
    </row>
    <row r="38" spans="1:130" s="14" customFormat="1" ht="15" customHeight="1" x14ac:dyDescent="0.25">
      <c r="B38" s="63"/>
      <c r="C38" s="63"/>
      <c r="D38" s="63"/>
      <c r="E38" s="63"/>
      <c r="F38" s="114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6"/>
      <c r="V38" s="66"/>
      <c r="W38" s="66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3"/>
      <c r="DD38" s="63"/>
      <c r="DE38" s="63"/>
      <c r="DF38" s="63"/>
      <c r="DG38" s="63"/>
      <c r="DH38" s="63"/>
      <c r="DI38" s="63"/>
      <c r="DJ38" s="63"/>
      <c r="DK38" s="63"/>
      <c r="DL38" s="63"/>
      <c r="DM38" s="63"/>
      <c r="DN38" s="63"/>
      <c r="DO38" s="63"/>
      <c r="DP38" s="67">
        <f t="shared" ref="DP38:DU38" si="10">SUM(DP11:DP37)</f>
        <v>1089250</v>
      </c>
      <c r="DQ38" s="67">
        <f t="shared" si="10"/>
        <v>0</v>
      </c>
      <c r="DR38" s="67">
        <f t="shared" si="10"/>
        <v>1089250</v>
      </c>
      <c r="DS38" s="68">
        <f t="shared" si="10"/>
        <v>0</v>
      </c>
      <c r="DT38" s="68">
        <f t="shared" si="10"/>
        <v>0</v>
      </c>
      <c r="DU38" s="69">
        <f t="shared" si="10"/>
        <v>87500</v>
      </c>
      <c r="DV38" s="16"/>
      <c r="DW38" s="63"/>
      <c r="DX38" s="65"/>
      <c r="DY38" s="63"/>
      <c r="DZ38" s="64"/>
    </row>
    <row r="39" spans="1:130" s="15" customFormat="1" ht="16.5" customHeight="1" x14ac:dyDescent="0.25">
      <c r="B39" s="16"/>
      <c r="C39" s="16"/>
      <c r="D39" s="16"/>
      <c r="E39" s="70" t="s">
        <v>339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</row>
    <row r="40" spans="1:130" s="15" customFormat="1" ht="16.5" customHeight="1" x14ac:dyDescent="0.25">
      <c r="B40" s="16"/>
      <c r="C40" s="16"/>
      <c r="D40" s="16"/>
      <c r="E40" s="50" t="s">
        <v>269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</row>
    <row r="41" spans="1:130" s="15" customFormat="1" ht="17.25" customHeight="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73" t="s">
        <v>253</v>
      </c>
      <c r="DQ41" s="74"/>
      <c r="DR41" s="74"/>
      <c r="DS41" s="74"/>
      <c r="DT41" s="74"/>
      <c r="DU41" s="75"/>
      <c r="DV41" s="16"/>
      <c r="DW41" s="16"/>
      <c r="DX41" s="16"/>
      <c r="DY41" s="16"/>
      <c r="DZ41" s="16"/>
    </row>
    <row r="42" spans="1:130" s="15" customFormat="1" ht="17.25" customHeight="1" x14ac:dyDescent="0.25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29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76" t="s">
        <v>324</v>
      </c>
      <c r="DQ42" s="77"/>
      <c r="DR42" s="77"/>
      <c r="DS42" s="77"/>
      <c r="DT42" s="77"/>
      <c r="DU42" s="78">
        <f>SUMIF(D:D,"Digital Large Format",DP:DP)+SUMIF(D:D,"Static Large Format",DP:DP)</f>
        <v>1089250</v>
      </c>
      <c r="DV42" s="24"/>
      <c r="DW42" s="16"/>
      <c r="DX42" s="16"/>
      <c r="DY42" s="16"/>
      <c r="DZ42" s="16"/>
    </row>
    <row r="43" spans="1:130" s="15" customFormat="1" ht="17.25" customHeight="1" x14ac:dyDescent="0.25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29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79" t="s">
        <v>254</v>
      </c>
      <c r="DQ43" s="80"/>
      <c r="DR43" s="80"/>
      <c r="DS43" s="80"/>
      <c r="DT43" s="80"/>
      <c r="DU43" s="81">
        <v>0</v>
      </c>
      <c r="DV43" s="23"/>
      <c r="DW43" s="16"/>
      <c r="DX43" s="16"/>
      <c r="DY43" s="16"/>
      <c r="DZ43" s="16"/>
    </row>
    <row r="44" spans="1:130" s="15" customFormat="1" ht="17.25" customHeight="1" x14ac:dyDescent="0.25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29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79" t="s">
        <v>325</v>
      </c>
      <c r="DQ44" s="82"/>
      <c r="DR44" s="82"/>
      <c r="DS44" s="82"/>
      <c r="DT44" s="82"/>
      <c r="DU44" s="83">
        <v>0</v>
      </c>
      <c r="DV44" s="23"/>
      <c r="DW44" s="16"/>
      <c r="DX44" s="16"/>
      <c r="DY44" s="16"/>
      <c r="DZ44" s="16"/>
    </row>
    <row r="45" spans="1:130" s="15" customFormat="1" ht="17.25" customHeight="1" x14ac:dyDescent="0.25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29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79" t="s">
        <v>15</v>
      </c>
      <c r="DQ45" s="92"/>
      <c r="DR45" s="92"/>
      <c r="DS45" s="92"/>
      <c r="DT45" s="92"/>
      <c r="DU45" s="93">
        <f>IFERROR(((DU42-DU44)/DU42),0)</f>
        <v>1</v>
      </c>
      <c r="DV45" s="23"/>
      <c r="DW45" s="16"/>
      <c r="DX45" s="16"/>
      <c r="DY45" s="16"/>
      <c r="DZ45" s="16"/>
    </row>
    <row r="46" spans="1:130" s="15" customFormat="1" ht="17.25" customHeight="1" x14ac:dyDescent="0.25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29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94" t="s">
        <v>345</v>
      </c>
      <c r="DQ46" s="95"/>
      <c r="DR46" s="96" t="s">
        <v>346</v>
      </c>
      <c r="DS46" s="95"/>
      <c r="DT46" s="95"/>
      <c r="DU46" s="97">
        <f>IF(DR46="YES", SUMIFS(#REF!, D:D, "Static Large Format", DT:DT, "&gt;0")*15,0)</f>
        <v>0</v>
      </c>
      <c r="DV46" s="23"/>
      <c r="DW46" s="16"/>
      <c r="DX46" s="16"/>
      <c r="DY46" s="16"/>
      <c r="DZ46" s="16"/>
    </row>
    <row r="218" spans="7:7" ht="12.75" hidden="1" customHeight="1" x14ac:dyDescent="0.25">
      <c r="G218" s="13" t="s">
        <v>267</v>
      </c>
    </row>
    <row r="219" spans="7:7" ht="12.75" hidden="1" customHeight="1" x14ac:dyDescent="0.25">
      <c r="G219" s="13" t="s">
        <v>360</v>
      </c>
    </row>
    <row r="220" spans="7:7" ht="12.75" hidden="1" customHeight="1" x14ac:dyDescent="0.25">
      <c r="G220" s="13" t="s">
        <v>361</v>
      </c>
    </row>
    <row r="221" spans="7:7" ht="12.75" hidden="1" customHeight="1" x14ac:dyDescent="0.25">
      <c r="G221" s="13" t="s">
        <v>362</v>
      </c>
    </row>
    <row r="222" spans="7:7" ht="12.75" hidden="1" customHeight="1" x14ac:dyDescent="0.25">
      <c r="G222" s="13" t="s">
        <v>363</v>
      </c>
    </row>
    <row r="223" spans="7:7" ht="12.75" hidden="1" customHeight="1" x14ac:dyDescent="0.25">
      <c r="G223" s="13" t="s">
        <v>364</v>
      </c>
    </row>
    <row r="224" spans="7:7" ht="12.75" hidden="1" customHeight="1" x14ac:dyDescent="0.25">
      <c r="G224" s="13" t="s">
        <v>365</v>
      </c>
    </row>
    <row r="225" spans="7:7" ht="12.75" hidden="1" customHeight="1" x14ac:dyDescent="0.25">
      <c r="G225" s="13" t="s">
        <v>366</v>
      </c>
    </row>
    <row r="226" spans="7:7" ht="12.75" hidden="1" customHeight="1" x14ac:dyDescent="0.25">
      <c r="G226" s="13" t="s">
        <v>367</v>
      </c>
    </row>
    <row r="227" spans="7:7" ht="12.75" hidden="1" customHeight="1" x14ac:dyDescent="0.25">
      <c r="G227" s="13" t="s">
        <v>368</v>
      </c>
    </row>
    <row r="228" spans="7:7" ht="12.75" hidden="1" customHeight="1" x14ac:dyDescent="0.25">
      <c r="G228" s="13" t="s">
        <v>369</v>
      </c>
    </row>
    <row r="229" spans="7:7" ht="12.75" hidden="1" customHeight="1" x14ac:dyDescent="0.25">
      <c r="G229" s="13" t="s">
        <v>370</v>
      </c>
    </row>
  </sheetData>
  <sheetProtection selectLockedCells="1" selectUnlockedCells="1"/>
  <mergeCells count="50">
    <mergeCell ref="DU13:DU37"/>
    <mergeCell ref="DL6:DO6"/>
    <mergeCell ref="DL7:DO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AZ6:BC6"/>
    <mergeCell ref="BD6:BG6"/>
    <mergeCell ref="BT6:BW6"/>
    <mergeCell ref="BT7:BW7"/>
    <mergeCell ref="BX6:CA6"/>
    <mergeCell ref="BX7:CA7"/>
    <mergeCell ref="BP6:BS6"/>
    <mergeCell ref="BP7:BS7"/>
    <mergeCell ref="BH7:BK7"/>
    <mergeCell ref="BL7:BO7"/>
    <mergeCell ref="BH6:BK6"/>
    <mergeCell ref="BL6:BO6"/>
    <mergeCell ref="B1:C2"/>
    <mergeCell ref="AN6:AQ6"/>
    <mergeCell ref="AR6:AU6"/>
    <mergeCell ref="AV6:AY6"/>
    <mergeCell ref="X6:AA6"/>
    <mergeCell ref="AB6:AE6"/>
    <mergeCell ref="AF6:AI6"/>
    <mergeCell ref="AJ6:AM6"/>
    <mergeCell ref="AR7:AU7"/>
    <mergeCell ref="AV7:AY7"/>
    <mergeCell ref="AZ7:BC7"/>
    <mergeCell ref="BD7:BG7"/>
    <mergeCell ref="X7:AA7"/>
    <mergeCell ref="AB7:AE7"/>
    <mergeCell ref="AF7:AI7"/>
    <mergeCell ref="AJ7:AM7"/>
    <mergeCell ref="AN7:AQ7"/>
  </mergeCells>
  <pageMargins left="0.7" right="0.7" top="0.75" bottom="0.75" header="0.3" footer="0.3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 MOVE Summary</vt:lpstr>
      <vt:lpstr>QMS_2026_Paid</vt:lpstr>
      <vt:lpstr>QMS_2026_Bonus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QMS Media Schedule 2024</dc:title>
  <dc:creator/>
  <cp:lastModifiedBy/>
  <dcterms:created xsi:type="dcterms:W3CDTF">2024-08-28T04:52:49Z</dcterms:created>
  <dcterms:modified xsi:type="dcterms:W3CDTF">2026-07-13T22:30:54Z</dcterms:modified>
</cp:coreProperties>
</file>